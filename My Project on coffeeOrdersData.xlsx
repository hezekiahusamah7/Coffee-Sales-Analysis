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hidePivotFieldList="1"/>
  <mc:AlternateContent xmlns:mc="http://schemas.openxmlformats.org/markup-compatibility/2006">
    <mc:Choice Requires="x15">
      <x15ac:absPath xmlns:x15ac="http://schemas.microsoft.com/office/spreadsheetml/2010/11/ac" url="C:\Users\hp\Downloads\"/>
    </mc:Choice>
  </mc:AlternateContent>
  <bookViews>
    <workbookView xWindow="0" yWindow="0" windowWidth="16230" windowHeight="9270" activeTab="1"/>
  </bookViews>
  <sheets>
    <sheet name="TotalSales" sheetId="18" r:id="rId1"/>
    <sheet name="Dashboard" sheetId="22" r:id="rId2"/>
    <sheet name=" CountryBarChart" sheetId="19" r:id="rId3"/>
    <sheet name="Top5Customers" sheetId="21" r:id="rId4"/>
    <sheet name="orders" sheetId="17" r:id="rId5"/>
    <sheet name="customers" sheetId="13" r:id="rId6"/>
    <sheet name="products" sheetId="2" r:id="rId7"/>
  </sheets>
  <definedNames>
    <definedName name="_xlnm._FilterDatabase" localSheetId="5" hidden="1">customers!$A$1:$I$1001</definedName>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52511"/>
  <pivotCaches>
    <pivotCache cacheId="25"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2" i="17"/>
  <c r="I3" i="17"/>
  <c r="I4" i="17"/>
  <c r="I5" i="17"/>
  <c r="N5" i="17" s="1"/>
  <c r="I6" i="17"/>
  <c r="I7" i="17"/>
  <c r="I8" i="17"/>
  <c r="I9" i="17"/>
  <c r="N9" i="17" s="1"/>
  <c r="I10" i="17"/>
  <c r="I11" i="17"/>
  <c r="I12" i="17"/>
  <c r="I13" i="17"/>
  <c r="N13" i="17" s="1"/>
  <c r="I14" i="17"/>
  <c r="I15" i="17"/>
  <c r="I16" i="17"/>
  <c r="I17" i="17"/>
  <c r="N17" i="17" s="1"/>
  <c r="I18" i="17"/>
  <c r="I19" i="17"/>
  <c r="I20" i="17"/>
  <c r="I21" i="17"/>
  <c r="N21" i="17" s="1"/>
  <c r="I22" i="17"/>
  <c r="I23" i="17"/>
  <c r="I24" i="17"/>
  <c r="I25" i="17"/>
  <c r="N25" i="17" s="1"/>
  <c r="I26" i="17"/>
  <c r="I27" i="17"/>
  <c r="I28" i="17"/>
  <c r="I29" i="17"/>
  <c r="N29" i="17" s="1"/>
  <c r="I30" i="17"/>
  <c r="I31" i="17"/>
  <c r="I32" i="17"/>
  <c r="I33" i="17"/>
  <c r="N33" i="17" s="1"/>
  <c r="I34" i="17"/>
  <c r="I35" i="17"/>
  <c r="I36" i="17"/>
  <c r="I37" i="17"/>
  <c r="N37" i="17" s="1"/>
  <c r="I38" i="17"/>
  <c r="I39" i="17"/>
  <c r="I40" i="17"/>
  <c r="I41" i="17"/>
  <c r="N41" i="17" s="1"/>
  <c r="I42" i="17"/>
  <c r="I43" i="17"/>
  <c r="I44" i="17"/>
  <c r="I45" i="17"/>
  <c r="N45" i="17" s="1"/>
  <c r="I46" i="17"/>
  <c r="I47" i="17"/>
  <c r="I48" i="17"/>
  <c r="I49" i="17"/>
  <c r="N49" i="17" s="1"/>
  <c r="I50" i="17"/>
  <c r="I51" i="17"/>
  <c r="I52" i="17"/>
  <c r="I53" i="17"/>
  <c r="N53" i="17" s="1"/>
  <c r="I54" i="17"/>
  <c r="I55" i="17"/>
  <c r="I56" i="17"/>
  <c r="I57" i="17"/>
  <c r="N57" i="17" s="1"/>
  <c r="I58" i="17"/>
  <c r="I59" i="17"/>
  <c r="I60" i="17"/>
  <c r="I61" i="17"/>
  <c r="N61" i="17" s="1"/>
  <c r="I62" i="17"/>
  <c r="I63" i="17"/>
  <c r="I64" i="17"/>
  <c r="I65" i="17"/>
  <c r="N65" i="17" s="1"/>
  <c r="I66" i="17"/>
  <c r="I67" i="17"/>
  <c r="I68" i="17"/>
  <c r="I69" i="17"/>
  <c r="N69" i="17" s="1"/>
  <c r="I70" i="17"/>
  <c r="I71" i="17"/>
  <c r="I72" i="17"/>
  <c r="I73" i="17"/>
  <c r="N73" i="17" s="1"/>
  <c r="I74" i="17"/>
  <c r="I75" i="17"/>
  <c r="I76" i="17"/>
  <c r="I77" i="17"/>
  <c r="N77" i="17" s="1"/>
  <c r="I78" i="17"/>
  <c r="I79" i="17"/>
  <c r="I80" i="17"/>
  <c r="I81" i="17"/>
  <c r="N81" i="17" s="1"/>
  <c r="I82" i="17"/>
  <c r="I83" i="17"/>
  <c r="I84" i="17"/>
  <c r="I85" i="17"/>
  <c r="N85" i="17" s="1"/>
  <c r="I86" i="17"/>
  <c r="I87" i="17"/>
  <c r="I88" i="17"/>
  <c r="I89" i="17"/>
  <c r="N89" i="17" s="1"/>
  <c r="I90" i="17"/>
  <c r="I91" i="17"/>
  <c r="I92" i="17"/>
  <c r="I93" i="17"/>
  <c r="N93" i="17" s="1"/>
  <c r="I94" i="17"/>
  <c r="I95" i="17"/>
  <c r="I96" i="17"/>
  <c r="I97" i="17"/>
  <c r="N97" i="17" s="1"/>
  <c r="I98" i="17"/>
  <c r="I99" i="17"/>
  <c r="I100" i="17"/>
  <c r="I101" i="17"/>
  <c r="N101" i="17" s="1"/>
  <c r="I102" i="17"/>
  <c r="I103" i="17"/>
  <c r="I104" i="17"/>
  <c r="I105" i="17"/>
  <c r="N105" i="17" s="1"/>
  <c r="I106" i="17"/>
  <c r="I107" i="17"/>
  <c r="I108" i="17"/>
  <c r="I109" i="17"/>
  <c r="N109" i="17" s="1"/>
  <c r="I110" i="17"/>
  <c r="I111" i="17"/>
  <c r="I112" i="17"/>
  <c r="I113" i="17"/>
  <c r="N113" i="17" s="1"/>
  <c r="I114" i="17"/>
  <c r="I115" i="17"/>
  <c r="I116" i="17"/>
  <c r="I117" i="17"/>
  <c r="N117" i="17" s="1"/>
  <c r="I118" i="17"/>
  <c r="I119" i="17"/>
  <c r="I120" i="17"/>
  <c r="I121" i="17"/>
  <c r="N121" i="17" s="1"/>
  <c r="I122" i="17"/>
  <c r="I123" i="17"/>
  <c r="I124" i="17"/>
  <c r="I125" i="17"/>
  <c r="N125" i="17" s="1"/>
  <c r="I126" i="17"/>
  <c r="I127" i="17"/>
  <c r="I128" i="17"/>
  <c r="I129" i="17"/>
  <c r="N129" i="17" s="1"/>
  <c r="I130" i="17"/>
  <c r="I131" i="17"/>
  <c r="I132" i="17"/>
  <c r="I133" i="17"/>
  <c r="N133" i="17" s="1"/>
  <c r="I134" i="17"/>
  <c r="I135" i="17"/>
  <c r="I136" i="17"/>
  <c r="I137" i="17"/>
  <c r="N137" i="17" s="1"/>
  <c r="I138" i="17"/>
  <c r="I139" i="17"/>
  <c r="I140" i="17"/>
  <c r="I141" i="17"/>
  <c r="N141" i="17" s="1"/>
  <c r="I142" i="17"/>
  <c r="I143" i="17"/>
  <c r="I144" i="17"/>
  <c r="I145" i="17"/>
  <c r="N145" i="17" s="1"/>
  <c r="I146" i="17"/>
  <c r="I147" i="17"/>
  <c r="I148" i="17"/>
  <c r="I149" i="17"/>
  <c r="N149" i="17" s="1"/>
  <c r="I150" i="17"/>
  <c r="I151" i="17"/>
  <c r="I152" i="17"/>
  <c r="I153" i="17"/>
  <c r="N153" i="17" s="1"/>
  <c r="I154" i="17"/>
  <c r="I155" i="17"/>
  <c r="I156" i="17"/>
  <c r="I157" i="17"/>
  <c r="N157" i="17" s="1"/>
  <c r="I158" i="17"/>
  <c r="I159" i="17"/>
  <c r="I160" i="17"/>
  <c r="I161" i="17"/>
  <c r="N161" i="17" s="1"/>
  <c r="I162" i="17"/>
  <c r="I163" i="17"/>
  <c r="I164" i="17"/>
  <c r="I165" i="17"/>
  <c r="N165" i="17" s="1"/>
  <c r="I166" i="17"/>
  <c r="I167" i="17"/>
  <c r="I168" i="17"/>
  <c r="I169" i="17"/>
  <c r="N169" i="17" s="1"/>
  <c r="I170" i="17"/>
  <c r="I171" i="17"/>
  <c r="I172" i="17"/>
  <c r="I173" i="17"/>
  <c r="N173" i="17" s="1"/>
  <c r="I174" i="17"/>
  <c r="I175" i="17"/>
  <c r="I176" i="17"/>
  <c r="I177" i="17"/>
  <c r="N177" i="17" s="1"/>
  <c r="I178" i="17"/>
  <c r="I179" i="17"/>
  <c r="I180" i="17"/>
  <c r="I181" i="17"/>
  <c r="N181" i="17" s="1"/>
  <c r="I182" i="17"/>
  <c r="I183" i="17"/>
  <c r="I184" i="17"/>
  <c r="I185" i="17"/>
  <c r="N185" i="17" s="1"/>
  <c r="I186" i="17"/>
  <c r="I187" i="17"/>
  <c r="I188" i="17"/>
  <c r="I189" i="17"/>
  <c r="N189" i="17" s="1"/>
  <c r="I190" i="17"/>
  <c r="I191" i="17"/>
  <c r="I192" i="17"/>
  <c r="I193" i="17"/>
  <c r="N193" i="17" s="1"/>
  <c r="I194" i="17"/>
  <c r="I195" i="17"/>
  <c r="I196" i="17"/>
  <c r="I197" i="17"/>
  <c r="N197" i="17" s="1"/>
  <c r="I198" i="17"/>
  <c r="I199" i="17"/>
  <c r="I200" i="17"/>
  <c r="I201" i="17"/>
  <c r="N201" i="17" s="1"/>
  <c r="I202" i="17"/>
  <c r="I203" i="17"/>
  <c r="I204" i="17"/>
  <c r="I205" i="17"/>
  <c r="N205" i="17" s="1"/>
  <c r="I206" i="17"/>
  <c r="I207" i="17"/>
  <c r="I208" i="17"/>
  <c r="I209" i="17"/>
  <c r="N209" i="17" s="1"/>
  <c r="I210" i="17"/>
  <c r="I211" i="17"/>
  <c r="I212" i="17"/>
  <c r="I213" i="17"/>
  <c r="N213" i="17" s="1"/>
  <c r="I214" i="17"/>
  <c r="I215" i="17"/>
  <c r="I216" i="17"/>
  <c r="I217" i="17"/>
  <c r="N217" i="17" s="1"/>
  <c r="I218" i="17"/>
  <c r="I219" i="17"/>
  <c r="I220" i="17"/>
  <c r="I221" i="17"/>
  <c r="N221" i="17" s="1"/>
  <c r="I222" i="17"/>
  <c r="I223" i="17"/>
  <c r="I224" i="17"/>
  <c r="I225" i="17"/>
  <c r="N225" i="17" s="1"/>
  <c r="I226" i="17"/>
  <c r="I227" i="17"/>
  <c r="I228" i="17"/>
  <c r="I229" i="17"/>
  <c r="N229" i="17" s="1"/>
  <c r="I230" i="17"/>
  <c r="I231" i="17"/>
  <c r="I232" i="17"/>
  <c r="I233" i="17"/>
  <c r="N233" i="17" s="1"/>
  <c r="I234" i="17"/>
  <c r="I235" i="17"/>
  <c r="I236" i="17"/>
  <c r="I237" i="17"/>
  <c r="N237" i="17" s="1"/>
  <c r="I238" i="17"/>
  <c r="I239" i="17"/>
  <c r="I240" i="17"/>
  <c r="I241" i="17"/>
  <c r="N241" i="17" s="1"/>
  <c r="I242" i="17"/>
  <c r="I243" i="17"/>
  <c r="I244" i="17"/>
  <c r="I245" i="17"/>
  <c r="N245" i="17" s="1"/>
  <c r="I246" i="17"/>
  <c r="I247" i="17"/>
  <c r="I248" i="17"/>
  <c r="I249" i="17"/>
  <c r="N249" i="17" s="1"/>
  <c r="I250" i="17"/>
  <c r="I251" i="17"/>
  <c r="I252" i="17"/>
  <c r="I253" i="17"/>
  <c r="N253" i="17" s="1"/>
  <c r="I254" i="17"/>
  <c r="I255" i="17"/>
  <c r="I256" i="17"/>
  <c r="I257" i="17"/>
  <c r="N257" i="17" s="1"/>
  <c r="I258" i="17"/>
  <c r="I259" i="17"/>
  <c r="I260" i="17"/>
  <c r="I261" i="17"/>
  <c r="N261" i="17" s="1"/>
  <c r="I262" i="17"/>
  <c r="I263" i="17"/>
  <c r="I264" i="17"/>
  <c r="I265" i="17"/>
  <c r="N265" i="17" s="1"/>
  <c r="I266" i="17"/>
  <c r="I267" i="17"/>
  <c r="I268" i="17"/>
  <c r="I269" i="17"/>
  <c r="N269" i="17" s="1"/>
  <c r="I270" i="17"/>
  <c r="I271" i="17"/>
  <c r="I272" i="17"/>
  <c r="I273" i="17"/>
  <c r="N273" i="17" s="1"/>
  <c r="I274" i="17"/>
  <c r="I275" i="17"/>
  <c r="I276" i="17"/>
  <c r="I277" i="17"/>
  <c r="N277" i="17" s="1"/>
  <c r="I278" i="17"/>
  <c r="I279" i="17"/>
  <c r="I280" i="17"/>
  <c r="I281" i="17"/>
  <c r="N281" i="17" s="1"/>
  <c r="I282" i="17"/>
  <c r="I283" i="17"/>
  <c r="I284" i="17"/>
  <c r="I285" i="17"/>
  <c r="N285" i="17" s="1"/>
  <c r="I286" i="17"/>
  <c r="I287" i="17"/>
  <c r="I288" i="17"/>
  <c r="I289" i="17"/>
  <c r="N289" i="17" s="1"/>
  <c r="I290" i="17"/>
  <c r="I291" i="17"/>
  <c r="I292" i="17"/>
  <c r="I293" i="17"/>
  <c r="N293" i="17" s="1"/>
  <c r="I294" i="17"/>
  <c r="I295" i="17"/>
  <c r="I296" i="17"/>
  <c r="I297" i="17"/>
  <c r="N297" i="17" s="1"/>
  <c r="I298" i="17"/>
  <c r="I299" i="17"/>
  <c r="I300" i="17"/>
  <c r="I301" i="17"/>
  <c r="N301" i="17" s="1"/>
  <c r="I302" i="17"/>
  <c r="I303" i="17"/>
  <c r="I304" i="17"/>
  <c r="I305" i="17"/>
  <c r="N305" i="17" s="1"/>
  <c r="I306" i="17"/>
  <c r="I307" i="17"/>
  <c r="I308" i="17"/>
  <c r="I309" i="17"/>
  <c r="N309" i="17" s="1"/>
  <c r="I310" i="17"/>
  <c r="I311" i="17"/>
  <c r="I312" i="17"/>
  <c r="I313" i="17"/>
  <c r="N313" i="17" s="1"/>
  <c r="I314" i="17"/>
  <c r="I315" i="17"/>
  <c r="I316" i="17"/>
  <c r="I317" i="17"/>
  <c r="N317" i="17" s="1"/>
  <c r="I318" i="17"/>
  <c r="I319" i="17"/>
  <c r="I320" i="17"/>
  <c r="I321" i="17"/>
  <c r="N321" i="17" s="1"/>
  <c r="I322" i="17"/>
  <c r="I323" i="17"/>
  <c r="I324" i="17"/>
  <c r="I325" i="17"/>
  <c r="N325" i="17" s="1"/>
  <c r="I326" i="17"/>
  <c r="I327" i="17"/>
  <c r="I328" i="17"/>
  <c r="I329" i="17"/>
  <c r="N329" i="17" s="1"/>
  <c r="I330" i="17"/>
  <c r="I331" i="17"/>
  <c r="I332" i="17"/>
  <c r="I333" i="17"/>
  <c r="N333" i="17" s="1"/>
  <c r="I334" i="17"/>
  <c r="I335" i="17"/>
  <c r="I336" i="17"/>
  <c r="I337" i="17"/>
  <c r="N337" i="17" s="1"/>
  <c r="I338" i="17"/>
  <c r="I339" i="17"/>
  <c r="I340" i="17"/>
  <c r="I341" i="17"/>
  <c r="N341" i="17" s="1"/>
  <c r="I342" i="17"/>
  <c r="I343" i="17"/>
  <c r="I344" i="17"/>
  <c r="I345" i="17"/>
  <c r="N345" i="17" s="1"/>
  <c r="I346" i="17"/>
  <c r="I347" i="17"/>
  <c r="I348" i="17"/>
  <c r="I349" i="17"/>
  <c r="N349" i="17" s="1"/>
  <c r="I350" i="17"/>
  <c r="I351" i="17"/>
  <c r="I352" i="17"/>
  <c r="I353" i="17"/>
  <c r="N353" i="17" s="1"/>
  <c r="I354" i="17"/>
  <c r="I355" i="17"/>
  <c r="I356" i="17"/>
  <c r="I357" i="17"/>
  <c r="N357" i="17" s="1"/>
  <c r="I358" i="17"/>
  <c r="I359" i="17"/>
  <c r="I360" i="17"/>
  <c r="I361" i="17"/>
  <c r="N361" i="17" s="1"/>
  <c r="I362" i="17"/>
  <c r="I363" i="17"/>
  <c r="I364" i="17"/>
  <c r="I365" i="17"/>
  <c r="N365" i="17" s="1"/>
  <c r="I366" i="17"/>
  <c r="I367" i="17"/>
  <c r="I368" i="17"/>
  <c r="I369" i="17"/>
  <c r="N369" i="17" s="1"/>
  <c r="I370" i="17"/>
  <c r="I371" i="17"/>
  <c r="I372" i="17"/>
  <c r="I373" i="17"/>
  <c r="N373" i="17" s="1"/>
  <c r="I374" i="17"/>
  <c r="I375" i="17"/>
  <c r="I376" i="17"/>
  <c r="I377" i="17"/>
  <c r="N377" i="17" s="1"/>
  <c r="I378" i="17"/>
  <c r="I379" i="17"/>
  <c r="I380" i="17"/>
  <c r="I381" i="17"/>
  <c r="N381" i="17" s="1"/>
  <c r="I382" i="17"/>
  <c r="I383" i="17"/>
  <c r="I384" i="17"/>
  <c r="I385" i="17"/>
  <c r="N385" i="17" s="1"/>
  <c r="I386" i="17"/>
  <c r="I387" i="17"/>
  <c r="I388" i="17"/>
  <c r="I389" i="17"/>
  <c r="N389" i="17" s="1"/>
  <c r="I390" i="17"/>
  <c r="I391" i="17"/>
  <c r="I392" i="17"/>
  <c r="I393" i="17"/>
  <c r="N393" i="17" s="1"/>
  <c r="I394" i="17"/>
  <c r="I395" i="17"/>
  <c r="I396" i="17"/>
  <c r="I397" i="17"/>
  <c r="N397" i="17" s="1"/>
  <c r="I398" i="17"/>
  <c r="I399" i="17"/>
  <c r="I400" i="17"/>
  <c r="I401" i="17"/>
  <c r="N401" i="17" s="1"/>
  <c r="I402" i="17"/>
  <c r="I403" i="17"/>
  <c r="I404" i="17"/>
  <c r="I405" i="17"/>
  <c r="N405" i="17" s="1"/>
  <c r="I406" i="17"/>
  <c r="I407" i="17"/>
  <c r="I408" i="17"/>
  <c r="I409" i="17"/>
  <c r="N409" i="17" s="1"/>
  <c r="I410" i="17"/>
  <c r="I411" i="17"/>
  <c r="I412" i="17"/>
  <c r="I413" i="17"/>
  <c r="N413" i="17" s="1"/>
  <c r="I414" i="17"/>
  <c r="I415" i="17"/>
  <c r="I416" i="17"/>
  <c r="I417" i="17"/>
  <c r="N417" i="17" s="1"/>
  <c r="I418" i="17"/>
  <c r="I419" i="17"/>
  <c r="I420" i="17"/>
  <c r="I421" i="17"/>
  <c r="N421" i="17" s="1"/>
  <c r="I422" i="17"/>
  <c r="I423" i="17"/>
  <c r="I424" i="17"/>
  <c r="I425" i="17"/>
  <c r="N425" i="17" s="1"/>
  <c r="I426" i="17"/>
  <c r="I427" i="17"/>
  <c r="I428" i="17"/>
  <c r="I429" i="17"/>
  <c r="N429" i="17" s="1"/>
  <c r="I430" i="17"/>
  <c r="I431" i="17"/>
  <c r="I432" i="17"/>
  <c r="I433" i="17"/>
  <c r="N433" i="17" s="1"/>
  <c r="I434" i="17"/>
  <c r="I435" i="17"/>
  <c r="I436" i="17"/>
  <c r="I437" i="17"/>
  <c r="N437" i="17" s="1"/>
  <c r="I438" i="17"/>
  <c r="I439" i="17"/>
  <c r="I440" i="17"/>
  <c r="I441" i="17"/>
  <c r="N441" i="17" s="1"/>
  <c r="I442" i="17"/>
  <c r="I443" i="17"/>
  <c r="I444" i="17"/>
  <c r="I445" i="17"/>
  <c r="N445" i="17" s="1"/>
  <c r="I446" i="17"/>
  <c r="I447" i="17"/>
  <c r="I448" i="17"/>
  <c r="I449" i="17"/>
  <c r="N449" i="17" s="1"/>
  <c r="I450" i="17"/>
  <c r="I451" i="17"/>
  <c r="I452" i="17"/>
  <c r="I453" i="17"/>
  <c r="N453" i="17" s="1"/>
  <c r="I454" i="17"/>
  <c r="I455" i="17"/>
  <c r="I456" i="17"/>
  <c r="I457" i="17"/>
  <c r="N457" i="17" s="1"/>
  <c r="I458" i="17"/>
  <c r="I459" i="17"/>
  <c r="I460" i="17"/>
  <c r="I461" i="17"/>
  <c r="N461" i="17" s="1"/>
  <c r="I462" i="17"/>
  <c r="I463" i="17"/>
  <c r="I464" i="17"/>
  <c r="I465" i="17"/>
  <c r="N465" i="17" s="1"/>
  <c r="I466" i="17"/>
  <c r="I467" i="17"/>
  <c r="I468" i="17"/>
  <c r="I469" i="17"/>
  <c r="N469" i="17" s="1"/>
  <c r="I470" i="17"/>
  <c r="I471" i="17"/>
  <c r="I472" i="17"/>
  <c r="I473" i="17"/>
  <c r="N473" i="17" s="1"/>
  <c r="I474" i="17"/>
  <c r="I475" i="17"/>
  <c r="I476" i="17"/>
  <c r="I477" i="17"/>
  <c r="N477" i="17" s="1"/>
  <c r="I478" i="17"/>
  <c r="I479" i="17"/>
  <c r="I480" i="17"/>
  <c r="I481" i="17"/>
  <c r="N481" i="17" s="1"/>
  <c r="I482" i="17"/>
  <c r="I483" i="17"/>
  <c r="I484" i="17"/>
  <c r="I485" i="17"/>
  <c r="N485" i="17" s="1"/>
  <c r="I486" i="17"/>
  <c r="I487" i="17"/>
  <c r="I488" i="17"/>
  <c r="I489" i="17"/>
  <c r="N489" i="17" s="1"/>
  <c r="I490" i="17"/>
  <c r="I491" i="17"/>
  <c r="I492" i="17"/>
  <c r="I493" i="17"/>
  <c r="N493" i="17" s="1"/>
  <c r="I494" i="17"/>
  <c r="I495" i="17"/>
  <c r="I496" i="17"/>
  <c r="I497" i="17"/>
  <c r="N497" i="17" s="1"/>
  <c r="I498" i="17"/>
  <c r="I499" i="17"/>
  <c r="I500" i="17"/>
  <c r="I501" i="17"/>
  <c r="N501" i="17" s="1"/>
  <c r="I502" i="17"/>
  <c r="I503" i="17"/>
  <c r="I504" i="17"/>
  <c r="I505" i="17"/>
  <c r="N505" i="17" s="1"/>
  <c r="I506" i="17"/>
  <c r="I507" i="17"/>
  <c r="I508" i="17"/>
  <c r="I509" i="17"/>
  <c r="N509" i="17" s="1"/>
  <c r="I510" i="17"/>
  <c r="I511" i="17"/>
  <c r="I512" i="17"/>
  <c r="I513" i="17"/>
  <c r="N513" i="17" s="1"/>
  <c r="I514" i="17"/>
  <c r="I515" i="17"/>
  <c r="I516" i="17"/>
  <c r="I517" i="17"/>
  <c r="N517" i="17" s="1"/>
  <c r="I518" i="17"/>
  <c r="I519" i="17"/>
  <c r="I520" i="17"/>
  <c r="I521" i="17"/>
  <c r="N521" i="17" s="1"/>
  <c r="I522" i="17"/>
  <c r="I523" i="17"/>
  <c r="I524" i="17"/>
  <c r="I525" i="17"/>
  <c r="N525" i="17" s="1"/>
  <c r="I526" i="17"/>
  <c r="I527" i="17"/>
  <c r="I528" i="17"/>
  <c r="I529" i="17"/>
  <c r="N529" i="17" s="1"/>
  <c r="I530" i="17"/>
  <c r="I531" i="17"/>
  <c r="I532" i="17"/>
  <c r="I533" i="17"/>
  <c r="N533" i="17" s="1"/>
  <c r="I534" i="17"/>
  <c r="I535" i="17"/>
  <c r="I536" i="17"/>
  <c r="I537" i="17"/>
  <c r="N537" i="17" s="1"/>
  <c r="I538" i="17"/>
  <c r="I539" i="17"/>
  <c r="I540" i="17"/>
  <c r="I541" i="17"/>
  <c r="N541" i="17" s="1"/>
  <c r="I542" i="17"/>
  <c r="I543" i="17"/>
  <c r="I544" i="17"/>
  <c r="I545" i="17"/>
  <c r="N545" i="17" s="1"/>
  <c r="I546" i="17"/>
  <c r="I547" i="17"/>
  <c r="I548" i="17"/>
  <c r="I549" i="17"/>
  <c r="N549" i="17" s="1"/>
  <c r="I550" i="17"/>
  <c r="I551" i="17"/>
  <c r="I552" i="17"/>
  <c r="I553" i="17"/>
  <c r="N553" i="17" s="1"/>
  <c r="I554" i="17"/>
  <c r="I555" i="17"/>
  <c r="I556" i="17"/>
  <c r="I557" i="17"/>
  <c r="N557" i="17" s="1"/>
  <c r="I558" i="17"/>
  <c r="I559" i="17"/>
  <c r="I560" i="17"/>
  <c r="I561" i="17"/>
  <c r="N561" i="17" s="1"/>
  <c r="I562" i="17"/>
  <c r="I563" i="17"/>
  <c r="I564" i="17"/>
  <c r="I565" i="17"/>
  <c r="N565" i="17" s="1"/>
  <c r="I566" i="17"/>
  <c r="I567" i="17"/>
  <c r="I568" i="17"/>
  <c r="I569" i="17"/>
  <c r="N569" i="17" s="1"/>
  <c r="I570" i="17"/>
  <c r="I571" i="17"/>
  <c r="I572" i="17"/>
  <c r="I573" i="17"/>
  <c r="N573" i="17" s="1"/>
  <c r="I574" i="17"/>
  <c r="I575" i="17"/>
  <c r="I576" i="17"/>
  <c r="I577" i="17"/>
  <c r="N577" i="17" s="1"/>
  <c r="I578" i="17"/>
  <c r="I579" i="17"/>
  <c r="I580" i="17"/>
  <c r="I581" i="17"/>
  <c r="N581" i="17" s="1"/>
  <c r="I582" i="17"/>
  <c r="I583" i="17"/>
  <c r="I584" i="17"/>
  <c r="I585" i="17"/>
  <c r="N585" i="17" s="1"/>
  <c r="I586" i="17"/>
  <c r="I587" i="17"/>
  <c r="I588" i="17"/>
  <c r="I589" i="17"/>
  <c r="N589" i="17" s="1"/>
  <c r="I590" i="17"/>
  <c r="I591" i="17"/>
  <c r="I592" i="17"/>
  <c r="I593" i="17"/>
  <c r="N593" i="17" s="1"/>
  <c r="I594" i="17"/>
  <c r="I595" i="17"/>
  <c r="I596" i="17"/>
  <c r="I597" i="17"/>
  <c r="N597" i="17" s="1"/>
  <c r="I598" i="17"/>
  <c r="I599" i="17"/>
  <c r="I600" i="17"/>
  <c r="I601" i="17"/>
  <c r="N601" i="17" s="1"/>
  <c r="I602" i="17"/>
  <c r="I603" i="17"/>
  <c r="I604" i="17"/>
  <c r="I605" i="17"/>
  <c r="N605" i="17" s="1"/>
  <c r="I606" i="17"/>
  <c r="I607" i="17"/>
  <c r="I608" i="17"/>
  <c r="I609" i="17"/>
  <c r="N609" i="17" s="1"/>
  <c r="I610" i="17"/>
  <c r="I611" i="17"/>
  <c r="I612" i="17"/>
  <c r="I613" i="17"/>
  <c r="N613" i="17" s="1"/>
  <c r="I614" i="17"/>
  <c r="I615" i="17"/>
  <c r="I616" i="17"/>
  <c r="I617" i="17"/>
  <c r="N617" i="17" s="1"/>
  <c r="I618" i="17"/>
  <c r="I619" i="17"/>
  <c r="I620" i="17"/>
  <c r="I621" i="17"/>
  <c r="N621" i="17" s="1"/>
  <c r="I622" i="17"/>
  <c r="I623" i="17"/>
  <c r="I624" i="17"/>
  <c r="I625" i="17"/>
  <c r="N625" i="17" s="1"/>
  <c r="I626" i="17"/>
  <c r="I627" i="17"/>
  <c r="I628" i="17"/>
  <c r="I629" i="17"/>
  <c r="N629" i="17" s="1"/>
  <c r="I630" i="17"/>
  <c r="I631" i="17"/>
  <c r="I632" i="17"/>
  <c r="I633" i="17"/>
  <c r="N633" i="17" s="1"/>
  <c r="I634" i="17"/>
  <c r="I635" i="17"/>
  <c r="I636" i="17"/>
  <c r="I637" i="17"/>
  <c r="N637" i="17" s="1"/>
  <c r="I638" i="17"/>
  <c r="I639" i="17"/>
  <c r="I640" i="17"/>
  <c r="I641" i="17"/>
  <c r="N641" i="17" s="1"/>
  <c r="I642" i="17"/>
  <c r="I643" i="17"/>
  <c r="I644" i="17"/>
  <c r="I645" i="17"/>
  <c r="N645" i="17" s="1"/>
  <c r="I646" i="17"/>
  <c r="I647" i="17"/>
  <c r="I648" i="17"/>
  <c r="I649" i="17"/>
  <c r="N649" i="17" s="1"/>
  <c r="I650" i="17"/>
  <c r="I651" i="17"/>
  <c r="I652" i="17"/>
  <c r="I653" i="17"/>
  <c r="N653" i="17" s="1"/>
  <c r="I654" i="17"/>
  <c r="I655" i="17"/>
  <c r="I656" i="17"/>
  <c r="I657" i="17"/>
  <c r="N657" i="17" s="1"/>
  <c r="I658" i="17"/>
  <c r="I659" i="17"/>
  <c r="I660" i="17"/>
  <c r="I661" i="17"/>
  <c r="N661" i="17" s="1"/>
  <c r="I662" i="17"/>
  <c r="I663" i="17"/>
  <c r="I664" i="17"/>
  <c r="I665" i="17"/>
  <c r="N665" i="17" s="1"/>
  <c r="I666" i="17"/>
  <c r="I667" i="17"/>
  <c r="I668" i="17"/>
  <c r="I669" i="17"/>
  <c r="N669" i="17" s="1"/>
  <c r="I670" i="17"/>
  <c r="I671" i="17"/>
  <c r="I672" i="17"/>
  <c r="I673" i="17"/>
  <c r="N673" i="17" s="1"/>
  <c r="I674" i="17"/>
  <c r="I675" i="17"/>
  <c r="I676" i="17"/>
  <c r="I677" i="17"/>
  <c r="N677" i="17" s="1"/>
  <c r="I678" i="17"/>
  <c r="I679" i="17"/>
  <c r="I680" i="17"/>
  <c r="I681" i="17"/>
  <c r="N681" i="17" s="1"/>
  <c r="I682" i="17"/>
  <c r="I683" i="17"/>
  <c r="I684" i="17"/>
  <c r="I685" i="17"/>
  <c r="N685" i="17" s="1"/>
  <c r="I686" i="17"/>
  <c r="I687" i="17"/>
  <c r="I688" i="17"/>
  <c r="I689" i="17"/>
  <c r="N689" i="17" s="1"/>
  <c r="I690" i="17"/>
  <c r="I691" i="17"/>
  <c r="I692" i="17"/>
  <c r="I693" i="17"/>
  <c r="N693" i="17" s="1"/>
  <c r="I694" i="17"/>
  <c r="I695" i="17"/>
  <c r="I696" i="17"/>
  <c r="I697" i="17"/>
  <c r="N697" i="17" s="1"/>
  <c r="I698" i="17"/>
  <c r="I699" i="17"/>
  <c r="I700" i="17"/>
  <c r="I701" i="17"/>
  <c r="N701" i="17" s="1"/>
  <c r="I702" i="17"/>
  <c r="I703" i="17"/>
  <c r="I704" i="17"/>
  <c r="I705" i="17"/>
  <c r="N705" i="17" s="1"/>
  <c r="I706" i="17"/>
  <c r="I707" i="17"/>
  <c r="I708" i="17"/>
  <c r="I709" i="17"/>
  <c r="N709" i="17" s="1"/>
  <c r="I710" i="17"/>
  <c r="I711" i="17"/>
  <c r="I712" i="17"/>
  <c r="I713" i="17"/>
  <c r="N713" i="17" s="1"/>
  <c r="I714" i="17"/>
  <c r="I715" i="17"/>
  <c r="I716" i="17"/>
  <c r="I717" i="17"/>
  <c r="N717" i="17" s="1"/>
  <c r="I718" i="17"/>
  <c r="I719" i="17"/>
  <c r="I720" i="17"/>
  <c r="I721" i="17"/>
  <c r="N721" i="17" s="1"/>
  <c r="I722" i="17"/>
  <c r="I723" i="17"/>
  <c r="I724" i="17"/>
  <c r="I725" i="17"/>
  <c r="N725" i="17" s="1"/>
  <c r="I726" i="17"/>
  <c r="I727" i="17"/>
  <c r="I728" i="17"/>
  <c r="I729" i="17"/>
  <c r="N729" i="17" s="1"/>
  <c r="I730" i="17"/>
  <c r="I731" i="17"/>
  <c r="I732" i="17"/>
  <c r="I733" i="17"/>
  <c r="N733" i="17" s="1"/>
  <c r="I734" i="17"/>
  <c r="I735" i="17"/>
  <c r="I736" i="17"/>
  <c r="I737" i="17"/>
  <c r="N737" i="17" s="1"/>
  <c r="I738" i="17"/>
  <c r="I739" i="17"/>
  <c r="I740" i="17"/>
  <c r="I741" i="17"/>
  <c r="N741" i="17" s="1"/>
  <c r="I742" i="17"/>
  <c r="I743" i="17"/>
  <c r="I744" i="17"/>
  <c r="I745" i="17"/>
  <c r="N745" i="17" s="1"/>
  <c r="I746" i="17"/>
  <c r="I747" i="17"/>
  <c r="I748" i="17"/>
  <c r="I749" i="17"/>
  <c r="N749" i="17" s="1"/>
  <c r="I750" i="17"/>
  <c r="I751" i="17"/>
  <c r="I752" i="17"/>
  <c r="I753" i="17"/>
  <c r="N753" i="17" s="1"/>
  <c r="I754" i="17"/>
  <c r="I755" i="17"/>
  <c r="I756" i="17"/>
  <c r="I757" i="17"/>
  <c r="N757" i="17" s="1"/>
  <c r="I758" i="17"/>
  <c r="I759" i="17"/>
  <c r="I760" i="17"/>
  <c r="I761" i="17"/>
  <c r="N761" i="17" s="1"/>
  <c r="I762" i="17"/>
  <c r="I763" i="17"/>
  <c r="I764" i="17"/>
  <c r="I765" i="17"/>
  <c r="N765" i="17" s="1"/>
  <c r="I766" i="17"/>
  <c r="I767" i="17"/>
  <c r="I768" i="17"/>
  <c r="I769" i="17"/>
  <c r="N769" i="17" s="1"/>
  <c r="I770" i="17"/>
  <c r="I771" i="17"/>
  <c r="I772" i="17"/>
  <c r="I773" i="17"/>
  <c r="N773" i="17" s="1"/>
  <c r="I774" i="17"/>
  <c r="I775" i="17"/>
  <c r="I776" i="17"/>
  <c r="I777" i="17"/>
  <c r="N777" i="17" s="1"/>
  <c r="I778" i="17"/>
  <c r="I779" i="17"/>
  <c r="I780" i="17"/>
  <c r="I781" i="17"/>
  <c r="N781" i="17" s="1"/>
  <c r="I782" i="17"/>
  <c r="I783" i="17"/>
  <c r="I784" i="17"/>
  <c r="I785" i="17"/>
  <c r="N785" i="17" s="1"/>
  <c r="I786" i="17"/>
  <c r="I787" i="17"/>
  <c r="I788" i="17"/>
  <c r="I789" i="17"/>
  <c r="N789" i="17" s="1"/>
  <c r="I790" i="17"/>
  <c r="I791" i="17"/>
  <c r="I792" i="17"/>
  <c r="I793" i="17"/>
  <c r="N793" i="17" s="1"/>
  <c r="I794" i="17"/>
  <c r="I795" i="17"/>
  <c r="I796" i="17"/>
  <c r="I797" i="17"/>
  <c r="N797" i="17" s="1"/>
  <c r="I798" i="17"/>
  <c r="I799" i="17"/>
  <c r="I800" i="17"/>
  <c r="I801" i="17"/>
  <c r="N801" i="17" s="1"/>
  <c r="I802" i="17"/>
  <c r="I803" i="17"/>
  <c r="I804" i="17"/>
  <c r="I805" i="17"/>
  <c r="N805" i="17" s="1"/>
  <c r="I806" i="17"/>
  <c r="I807" i="17"/>
  <c r="I808" i="17"/>
  <c r="I809" i="17"/>
  <c r="N809" i="17" s="1"/>
  <c r="I810" i="17"/>
  <c r="I811" i="17"/>
  <c r="I812" i="17"/>
  <c r="I813" i="17"/>
  <c r="N813" i="17" s="1"/>
  <c r="I814" i="17"/>
  <c r="I815" i="17"/>
  <c r="I816" i="17"/>
  <c r="I817" i="17"/>
  <c r="N817" i="17" s="1"/>
  <c r="I818" i="17"/>
  <c r="I819" i="17"/>
  <c r="I820" i="17"/>
  <c r="I821" i="17"/>
  <c r="N821" i="17" s="1"/>
  <c r="I822" i="17"/>
  <c r="I823" i="17"/>
  <c r="I824" i="17"/>
  <c r="I825" i="17"/>
  <c r="N825" i="17" s="1"/>
  <c r="I826" i="17"/>
  <c r="I827" i="17"/>
  <c r="I828" i="17"/>
  <c r="I829" i="17"/>
  <c r="N829" i="17" s="1"/>
  <c r="I830" i="17"/>
  <c r="I831" i="17"/>
  <c r="I832" i="17"/>
  <c r="I833" i="17"/>
  <c r="N833" i="17" s="1"/>
  <c r="I834" i="17"/>
  <c r="I835" i="17"/>
  <c r="I836" i="17"/>
  <c r="I837" i="17"/>
  <c r="N837" i="17" s="1"/>
  <c r="I838" i="17"/>
  <c r="I839" i="17"/>
  <c r="I840" i="17"/>
  <c r="I841" i="17"/>
  <c r="N841" i="17" s="1"/>
  <c r="I842" i="17"/>
  <c r="I843" i="17"/>
  <c r="I844" i="17"/>
  <c r="I845" i="17"/>
  <c r="N845" i="17" s="1"/>
  <c r="I846" i="17"/>
  <c r="I847" i="17"/>
  <c r="I848" i="17"/>
  <c r="I849" i="17"/>
  <c r="N849" i="17" s="1"/>
  <c r="I850" i="17"/>
  <c r="I851" i="17"/>
  <c r="I852" i="17"/>
  <c r="I853" i="17"/>
  <c r="N853" i="17" s="1"/>
  <c r="I854" i="17"/>
  <c r="I855" i="17"/>
  <c r="I856" i="17"/>
  <c r="I857" i="17"/>
  <c r="N857" i="17" s="1"/>
  <c r="I858" i="17"/>
  <c r="I859" i="17"/>
  <c r="I860" i="17"/>
  <c r="I861" i="17"/>
  <c r="N861" i="17" s="1"/>
  <c r="I862" i="17"/>
  <c r="I863" i="17"/>
  <c r="I864" i="17"/>
  <c r="I865" i="17"/>
  <c r="N865" i="17" s="1"/>
  <c r="I866" i="17"/>
  <c r="I867" i="17"/>
  <c r="I868" i="17"/>
  <c r="I869" i="17"/>
  <c r="N869" i="17" s="1"/>
  <c r="I870" i="17"/>
  <c r="I871" i="17"/>
  <c r="I872" i="17"/>
  <c r="I873" i="17"/>
  <c r="N873" i="17" s="1"/>
  <c r="I874" i="17"/>
  <c r="I875" i="17"/>
  <c r="I876" i="17"/>
  <c r="I877" i="17"/>
  <c r="N877" i="17" s="1"/>
  <c r="I878" i="17"/>
  <c r="I879" i="17"/>
  <c r="I880" i="17"/>
  <c r="I881" i="17"/>
  <c r="N881" i="17" s="1"/>
  <c r="I882" i="17"/>
  <c r="I883" i="17"/>
  <c r="I884" i="17"/>
  <c r="I885" i="17"/>
  <c r="N885" i="17" s="1"/>
  <c r="I886" i="17"/>
  <c r="I887" i="17"/>
  <c r="I888" i="17"/>
  <c r="I889" i="17"/>
  <c r="N889" i="17" s="1"/>
  <c r="I890" i="17"/>
  <c r="I891" i="17"/>
  <c r="I892" i="17"/>
  <c r="I893" i="17"/>
  <c r="N893" i="17" s="1"/>
  <c r="I894" i="17"/>
  <c r="I895" i="17"/>
  <c r="I896" i="17"/>
  <c r="I897" i="17"/>
  <c r="N897" i="17" s="1"/>
  <c r="I898" i="17"/>
  <c r="I899" i="17"/>
  <c r="I900" i="17"/>
  <c r="I901" i="17"/>
  <c r="N901" i="17" s="1"/>
  <c r="I902" i="17"/>
  <c r="N902" i="17" s="1"/>
  <c r="I903" i="17"/>
  <c r="I904" i="17"/>
  <c r="I905" i="17"/>
  <c r="N905" i="17" s="1"/>
  <c r="I906" i="17"/>
  <c r="N906" i="17" s="1"/>
  <c r="I907" i="17"/>
  <c r="I908" i="17"/>
  <c r="I909" i="17"/>
  <c r="N909" i="17" s="1"/>
  <c r="I910" i="17"/>
  <c r="N910" i="17" s="1"/>
  <c r="I911" i="17"/>
  <c r="I912" i="17"/>
  <c r="I913" i="17"/>
  <c r="N913" i="17" s="1"/>
  <c r="I914" i="17"/>
  <c r="N914" i="17" s="1"/>
  <c r="I915" i="17"/>
  <c r="I916" i="17"/>
  <c r="I917" i="17"/>
  <c r="N917" i="17" s="1"/>
  <c r="I918" i="17"/>
  <c r="N918" i="17" s="1"/>
  <c r="I919" i="17"/>
  <c r="I920" i="17"/>
  <c r="I921" i="17"/>
  <c r="N921" i="17" s="1"/>
  <c r="I922" i="17"/>
  <c r="N922" i="17" s="1"/>
  <c r="I923" i="17"/>
  <c r="I924" i="17"/>
  <c r="I925" i="17"/>
  <c r="N925" i="17" s="1"/>
  <c r="I926" i="17"/>
  <c r="N926" i="17" s="1"/>
  <c r="I927" i="17"/>
  <c r="I928" i="17"/>
  <c r="I929" i="17"/>
  <c r="N929" i="17" s="1"/>
  <c r="I930" i="17"/>
  <c r="N930" i="17" s="1"/>
  <c r="I931" i="17"/>
  <c r="I932" i="17"/>
  <c r="I933" i="17"/>
  <c r="N933" i="17" s="1"/>
  <c r="I934" i="17"/>
  <c r="N934" i="17" s="1"/>
  <c r="I935" i="17"/>
  <c r="I936" i="17"/>
  <c r="I937" i="17"/>
  <c r="N937" i="17" s="1"/>
  <c r="I938" i="17"/>
  <c r="N938" i="17" s="1"/>
  <c r="I939" i="17"/>
  <c r="I940" i="17"/>
  <c r="I941" i="17"/>
  <c r="N941" i="17" s="1"/>
  <c r="I942" i="17"/>
  <c r="N942" i="17" s="1"/>
  <c r="I943" i="17"/>
  <c r="I944" i="17"/>
  <c r="I945" i="17"/>
  <c r="N945" i="17" s="1"/>
  <c r="I946" i="17"/>
  <c r="N946" i="17" s="1"/>
  <c r="I947" i="17"/>
  <c r="I948" i="17"/>
  <c r="I949" i="17"/>
  <c r="N949" i="17" s="1"/>
  <c r="I950" i="17"/>
  <c r="N950" i="17" s="1"/>
  <c r="I951" i="17"/>
  <c r="I952" i="17"/>
  <c r="I953" i="17"/>
  <c r="N953" i="17" s="1"/>
  <c r="I954" i="17"/>
  <c r="N954" i="17" s="1"/>
  <c r="I955" i="17"/>
  <c r="I956" i="17"/>
  <c r="I957" i="17"/>
  <c r="N957" i="17" s="1"/>
  <c r="I958" i="17"/>
  <c r="N958" i="17" s="1"/>
  <c r="I959" i="17"/>
  <c r="I960" i="17"/>
  <c r="I961" i="17"/>
  <c r="N961" i="17" s="1"/>
  <c r="I962" i="17"/>
  <c r="N962" i="17" s="1"/>
  <c r="I963" i="17"/>
  <c r="I964" i="17"/>
  <c r="I965" i="17"/>
  <c r="N965" i="17" s="1"/>
  <c r="I966" i="17"/>
  <c r="N966" i="17" s="1"/>
  <c r="I967" i="17"/>
  <c r="I968" i="17"/>
  <c r="I969" i="17"/>
  <c r="N969" i="17" s="1"/>
  <c r="I970" i="17"/>
  <c r="N970" i="17" s="1"/>
  <c r="I971" i="17"/>
  <c r="I972" i="17"/>
  <c r="I973" i="17"/>
  <c r="N973" i="17" s="1"/>
  <c r="I974" i="17"/>
  <c r="N974" i="17" s="1"/>
  <c r="I975" i="17"/>
  <c r="I976" i="17"/>
  <c r="I977" i="17"/>
  <c r="N977" i="17" s="1"/>
  <c r="I978" i="17"/>
  <c r="N978" i="17" s="1"/>
  <c r="I979" i="17"/>
  <c r="I980" i="17"/>
  <c r="I981" i="17"/>
  <c r="I982" i="17"/>
  <c r="N982" i="17" s="1"/>
  <c r="I983" i="17"/>
  <c r="I984" i="17"/>
  <c r="I985" i="17"/>
  <c r="N985" i="17" s="1"/>
  <c r="I986" i="17"/>
  <c r="N986" i="17" s="1"/>
  <c r="I987" i="17"/>
  <c r="I988" i="17"/>
  <c r="I989" i="17"/>
  <c r="N989" i="17" s="1"/>
  <c r="I990" i="17"/>
  <c r="N990" i="17" s="1"/>
  <c r="I991" i="17"/>
  <c r="I992" i="17"/>
  <c r="I993" i="17"/>
  <c r="N993" i="17" s="1"/>
  <c r="I994" i="17"/>
  <c r="N994" i="17" s="1"/>
  <c r="I995" i="17"/>
  <c r="I996" i="17"/>
  <c r="I997" i="17"/>
  <c r="N997" i="17" s="1"/>
  <c r="I998" i="17"/>
  <c r="N998" i="17" s="1"/>
  <c r="I999" i="17"/>
  <c r="I1000" i="17"/>
  <c r="I1001" i="17"/>
  <c r="N1001" i="17" s="1"/>
  <c r="F16" i="17"/>
  <c r="F10" i="17"/>
  <c r="N2" i="17"/>
  <c r="N3" i="17"/>
  <c r="N4" i="17"/>
  <c r="N6" i="17"/>
  <c r="N7" i="17"/>
  <c r="N8" i="17"/>
  <c r="N10" i="17"/>
  <c r="N11" i="17"/>
  <c r="N12" i="17"/>
  <c r="N14" i="17"/>
  <c r="N15" i="17"/>
  <c r="N16" i="17"/>
  <c r="N18" i="17"/>
  <c r="N19" i="17"/>
  <c r="N20" i="17"/>
  <c r="N22" i="17"/>
  <c r="N23" i="17"/>
  <c r="N24" i="17"/>
  <c r="N26" i="17"/>
  <c r="N27" i="17"/>
  <c r="N28" i="17"/>
  <c r="N30" i="17"/>
  <c r="N31" i="17"/>
  <c r="N32" i="17"/>
  <c r="N34" i="17"/>
  <c r="N35" i="17"/>
  <c r="N36" i="17"/>
  <c r="N38" i="17"/>
  <c r="N39" i="17"/>
  <c r="N40" i="17"/>
  <c r="N42" i="17"/>
  <c r="N43" i="17"/>
  <c r="N44" i="17"/>
  <c r="N46" i="17"/>
  <c r="N47" i="17"/>
  <c r="N48" i="17"/>
  <c r="N50" i="17"/>
  <c r="N51" i="17"/>
  <c r="N52" i="17"/>
  <c r="N54" i="17"/>
  <c r="N55" i="17"/>
  <c r="N56" i="17"/>
  <c r="N58" i="17"/>
  <c r="N59" i="17"/>
  <c r="N60" i="17"/>
  <c r="N62" i="17"/>
  <c r="N63" i="17"/>
  <c r="N64" i="17"/>
  <c r="N66" i="17"/>
  <c r="N67" i="17"/>
  <c r="N68" i="17"/>
  <c r="N70" i="17"/>
  <c r="N71" i="17"/>
  <c r="N72" i="17"/>
  <c r="N74" i="17"/>
  <c r="N75" i="17"/>
  <c r="N76" i="17"/>
  <c r="N78" i="17"/>
  <c r="N79" i="17"/>
  <c r="N80" i="17"/>
  <c r="N82" i="17"/>
  <c r="N83" i="17"/>
  <c r="N84" i="17"/>
  <c r="N86" i="17"/>
  <c r="N87" i="17"/>
  <c r="N88" i="17"/>
  <c r="N90" i="17"/>
  <c r="N91" i="17"/>
  <c r="N92" i="17"/>
  <c r="N94" i="17"/>
  <c r="N95" i="17"/>
  <c r="N96" i="17"/>
  <c r="N98" i="17"/>
  <c r="N99" i="17"/>
  <c r="N100" i="17"/>
  <c r="N102" i="17"/>
  <c r="N103" i="17"/>
  <c r="N104" i="17"/>
  <c r="N106" i="17"/>
  <c r="N107" i="17"/>
  <c r="N108" i="17"/>
  <c r="N110" i="17"/>
  <c r="N111" i="17"/>
  <c r="N112" i="17"/>
  <c r="N114" i="17"/>
  <c r="N115" i="17"/>
  <c r="N116" i="17"/>
  <c r="N118" i="17"/>
  <c r="N119" i="17"/>
  <c r="N120" i="17"/>
  <c r="N122" i="17"/>
  <c r="N123" i="17"/>
  <c r="N124" i="17"/>
  <c r="N126" i="17"/>
  <c r="N127" i="17"/>
  <c r="N128" i="17"/>
  <c r="N130" i="17"/>
  <c r="N131" i="17"/>
  <c r="N132" i="17"/>
  <c r="N134" i="17"/>
  <c r="N135" i="17"/>
  <c r="N136" i="17"/>
  <c r="N138" i="17"/>
  <c r="N139" i="17"/>
  <c r="N140" i="17"/>
  <c r="N142" i="17"/>
  <c r="N143" i="17"/>
  <c r="N144" i="17"/>
  <c r="N146" i="17"/>
  <c r="N147" i="17"/>
  <c r="N148" i="17"/>
  <c r="N150" i="17"/>
  <c r="N151" i="17"/>
  <c r="N152" i="17"/>
  <c r="N154" i="17"/>
  <c r="N155" i="17"/>
  <c r="N156" i="17"/>
  <c r="N158" i="17"/>
  <c r="N159" i="17"/>
  <c r="N160" i="17"/>
  <c r="N162" i="17"/>
  <c r="N163" i="17"/>
  <c r="N164" i="17"/>
  <c r="N166" i="17"/>
  <c r="N167" i="17"/>
  <c r="N168" i="17"/>
  <c r="N170" i="17"/>
  <c r="N171" i="17"/>
  <c r="N172" i="17"/>
  <c r="N174" i="17"/>
  <c r="N175" i="17"/>
  <c r="N176" i="17"/>
  <c r="N178" i="17"/>
  <c r="N179" i="17"/>
  <c r="N180" i="17"/>
  <c r="N182" i="17"/>
  <c r="N183" i="17"/>
  <c r="N184" i="17"/>
  <c r="N186" i="17"/>
  <c r="N187" i="17"/>
  <c r="N188" i="17"/>
  <c r="N190" i="17"/>
  <c r="N191" i="17"/>
  <c r="N192" i="17"/>
  <c r="N194" i="17"/>
  <c r="N195" i="17"/>
  <c r="N196" i="17"/>
  <c r="N198" i="17"/>
  <c r="N199" i="17"/>
  <c r="N200" i="17"/>
  <c r="N202" i="17"/>
  <c r="N203" i="17"/>
  <c r="N204" i="17"/>
  <c r="N206" i="17"/>
  <c r="N207" i="17"/>
  <c r="N208" i="17"/>
  <c r="N210" i="17"/>
  <c r="N211" i="17"/>
  <c r="N212" i="17"/>
  <c r="N214" i="17"/>
  <c r="N215" i="17"/>
  <c r="N216" i="17"/>
  <c r="N218" i="17"/>
  <c r="N219" i="17"/>
  <c r="N220" i="17"/>
  <c r="N222" i="17"/>
  <c r="N223" i="17"/>
  <c r="N224" i="17"/>
  <c r="N226" i="17"/>
  <c r="N227" i="17"/>
  <c r="N228" i="17"/>
  <c r="N230" i="17"/>
  <c r="N231" i="17"/>
  <c r="N232" i="17"/>
  <c r="N234" i="17"/>
  <c r="N235" i="17"/>
  <c r="N236" i="17"/>
  <c r="N238" i="17"/>
  <c r="N239" i="17"/>
  <c r="N240" i="17"/>
  <c r="N242" i="17"/>
  <c r="N243" i="17"/>
  <c r="N244" i="17"/>
  <c r="N246" i="17"/>
  <c r="N247" i="17"/>
  <c r="N248" i="17"/>
  <c r="N250" i="17"/>
  <c r="N251" i="17"/>
  <c r="N252" i="17"/>
  <c r="N254" i="17"/>
  <c r="N255" i="17"/>
  <c r="N256" i="17"/>
  <c r="N258" i="17"/>
  <c r="N259" i="17"/>
  <c r="N260" i="17"/>
  <c r="N262" i="17"/>
  <c r="N263" i="17"/>
  <c r="N264" i="17"/>
  <c r="N266" i="17"/>
  <c r="N267" i="17"/>
  <c r="N268" i="17"/>
  <c r="N270" i="17"/>
  <c r="N271" i="17"/>
  <c r="N272" i="17"/>
  <c r="N274" i="17"/>
  <c r="N275" i="17"/>
  <c r="N276" i="17"/>
  <c r="N278" i="17"/>
  <c r="N279" i="17"/>
  <c r="N280" i="17"/>
  <c r="N282" i="17"/>
  <c r="N283" i="17"/>
  <c r="N284" i="17"/>
  <c r="N286" i="17"/>
  <c r="N287" i="17"/>
  <c r="N288" i="17"/>
  <c r="N290" i="17"/>
  <c r="N291" i="17"/>
  <c r="N292" i="17"/>
  <c r="N294" i="17"/>
  <c r="N295" i="17"/>
  <c r="N296" i="17"/>
  <c r="N298" i="17"/>
  <c r="N299" i="17"/>
  <c r="N300" i="17"/>
  <c r="N302" i="17"/>
  <c r="N303" i="17"/>
  <c r="N304" i="17"/>
  <c r="N306" i="17"/>
  <c r="N307" i="17"/>
  <c r="N308" i="17"/>
  <c r="N310" i="17"/>
  <c r="N311" i="17"/>
  <c r="N312" i="17"/>
  <c r="N314" i="17"/>
  <c r="N315" i="17"/>
  <c r="N316" i="17"/>
  <c r="N318" i="17"/>
  <c r="N319" i="17"/>
  <c r="N320" i="17"/>
  <c r="N322" i="17"/>
  <c r="N323" i="17"/>
  <c r="N324" i="17"/>
  <c r="N326" i="17"/>
  <c r="N327" i="17"/>
  <c r="N328" i="17"/>
  <c r="N330" i="17"/>
  <c r="N331" i="17"/>
  <c r="N332" i="17"/>
  <c r="N334" i="17"/>
  <c r="N335" i="17"/>
  <c r="N336" i="17"/>
  <c r="N338" i="17"/>
  <c r="N339" i="17"/>
  <c r="N340" i="17"/>
  <c r="N342" i="17"/>
  <c r="N343" i="17"/>
  <c r="N344" i="17"/>
  <c r="N346" i="17"/>
  <c r="N347" i="17"/>
  <c r="N348" i="17"/>
  <c r="N350" i="17"/>
  <c r="N351" i="17"/>
  <c r="N352" i="17"/>
  <c r="N354" i="17"/>
  <c r="N355" i="17"/>
  <c r="N356" i="17"/>
  <c r="N358" i="17"/>
  <c r="N359" i="17"/>
  <c r="N360" i="17"/>
  <c r="N362" i="17"/>
  <c r="N363" i="17"/>
  <c r="N364" i="17"/>
  <c r="N366" i="17"/>
  <c r="N367" i="17"/>
  <c r="N368" i="17"/>
  <c r="N370" i="17"/>
  <c r="N371" i="17"/>
  <c r="N372" i="17"/>
  <c r="N374" i="17"/>
  <c r="N375" i="17"/>
  <c r="N376" i="17"/>
  <c r="N378" i="17"/>
  <c r="N379" i="17"/>
  <c r="N380" i="17"/>
  <c r="N382" i="17"/>
  <c r="N383" i="17"/>
  <c r="N384" i="17"/>
  <c r="N386" i="17"/>
  <c r="N387" i="17"/>
  <c r="N388" i="17"/>
  <c r="N390" i="17"/>
  <c r="N391" i="17"/>
  <c r="N392" i="17"/>
  <c r="N394" i="17"/>
  <c r="N395" i="17"/>
  <c r="N396" i="17"/>
  <c r="N398" i="17"/>
  <c r="N399" i="17"/>
  <c r="N400" i="17"/>
  <c r="N402" i="17"/>
  <c r="N403" i="17"/>
  <c r="N404" i="17"/>
  <c r="N406" i="17"/>
  <c r="N407" i="17"/>
  <c r="N408" i="17"/>
  <c r="N410" i="17"/>
  <c r="N411" i="17"/>
  <c r="N412" i="17"/>
  <c r="N414" i="17"/>
  <c r="N415" i="17"/>
  <c r="N416" i="17"/>
  <c r="N418" i="17"/>
  <c r="N419" i="17"/>
  <c r="N420" i="17"/>
  <c r="N422" i="17"/>
  <c r="N423" i="17"/>
  <c r="N424" i="17"/>
  <c r="N426" i="17"/>
  <c r="N427" i="17"/>
  <c r="N428" i="17"/>
  <c r="N430" i="17"/>
  <c r="N431" i="17"/>
  <c r="N432" i="17"/>
  <c r="N434" i="17"/>
  <c r="N435" i="17"/>
  <c r="N436" i="17"/>
  <c r="N438" i="17"/>
  <c r="N439" i="17"/>
  <c r="N440" i="17"/>
  <c r="N442" i="17"/>
  <c r="N443" i="17"/>
  <c r="N444" i="17"/>
  <c r="N446" i="17"/>
  <c r="N447" i="17"/>
  <c r="N448" i="17"/>
  <c r="N450" i="17"/>
  <c r="N451" i="17"/>
  <c r="N452" i="17"/>
  <c r="N454" i="17"/>
  <c r="N455" i="17"/>
  <c r="N456" i="17"/>
  <c r="N458" i="17"/>
  <c r="N459" i="17"/>
  <c r="N460" i="17"/>
  <c r="N462" i="17"/>
  <c r="N463" i="17"/>
  <c r="N464" i="17"/>
  <c r="N466" i="17"/>
  <c r="N467" i="17"/>
  <c r="N468" i="17"/>
  <c r="N470" i="17"/>
  <c r="N471" i="17"/>
  <c r="N472" i="17"/>
  <c r="N474" i="17"/>
  <c r="N475" i="17"/>
  <c r="N476" i="17"/>
  <c r="N478" i="17"/>
  <c r="N479" i="17"/>
  <c r="N480" i="17"/>
  <c r="N482" i="17"/>
  <c r="N483" i="17"/>
  <c r="N484" i="17"/>
  <c r="N486" i="17"/>
  <c r="N487" i="17"/>
  <c r="N488" i="17"/>
  <c r="N490" i="17"/>
  <c r="N491" i="17"/>
  <c r="N492" i="17"/>
  <c r="N494" i="17"/>
  <c r="N495" i="17"/>
  <c r="N496" i="17"/>
  <c r="N498" i="17"/>
  <c r="N499" i="17"/>
  <c r="N500" i="17"/>
  <c r="N502" i="17"/>
  <c r="N503" i="17"/>
  <c r="N504" i="17"/>
  <c r="N506" i="17"/>
  <c r="N507" i="17"/>
  <c r="N508" i="17"/>
  <c r="N510" i="17"/>
  <c r="N511" i="17"/>
  <c r="N512" i="17"/>
  <c r="N514" i="17"/>
  <c r="N515" i="17"/>
  <c r="N516" i="17"/>
  <c r="N518" i="17"/>
  <c r="N519" i="17"/>
  <c r="N520" i="17"/>
  <c r="N522" i="17"/>
  <c r="N523" i="17"/>
  <c r="N524" i="17"/>
  <c r="N526" i="17"/>
  <c r="N527" i="17"/>
  <c r="N528" i="17"/>
  <c r="N530" i="17"/>
  <c r="N531" i="17"/>
  <c r="N532" i="17"/>
  <c r="N534" i="17"/>
  <c r="N535" i="17"/>
  <c r="N536" i="17"/>
  <c r="N538" i="17"/>
  <c r="N539" i="17"/>
  <c r="N540" i="17"/>
  <c r="N542" i="17"/>
  <c r="N543" i="17"/>
  <c r="N544" i="17"/>
  <c r="N546" i="17"/>
  <c r="N547" i="17"/>
  <c r="N548" i="17"/>
  <c r="N550" i="17"/>
  <c r="N551" i="17"/>
  <c r="N552" i="17"/>
  <c r="N554" i="17"/>
  <c r="N555" i="17"/>
  <c r="N556" i="17"/>
  <c r="N558" i="17"/>
  <c r="N559" i="17"/>
  <c r="N560" i="17"/>
  <c r="N562" i="17"/>
  <c r="N563" i="17"/>
  <c r="N564" i="17"/>
  <c r="N566" i="17"/>
  <c r="N567" i="17"/>
  <c r="N568" i="17"/>
  <c r="N570" i="17"/>
  <c r="N571" i="17"/>
  <c r="N572" i="17"/>
  <c r="N574" i="17"/>
  <c r="N575" i="17"/>
  <c r="N576" i="17"/>
  <c r="N578" i="17"/>
  <c r="N579" i="17"/>
  <c r="N580" i="17"/>
  <c r="N582" i="17"/>
  <c r="N583" i="17"/>
  <c r="N584" i="17"/>
  <c r="N586" i="17"/>
  <c r="N587" i="17"/>
  <c r="N588" i="17"/>
  <c r="N590" i="17"/>
  <c r="N591" i="17"/>
  <c r="N592" i="17"/>
  <c r="N594" i="17"/>
  <c r="N595" i="17"/>
  <c r="N596" i="17"/>
  <c r="N598" i="17"/>
  <c r="N599" i="17"/>
  <c r="N600" i="17"/>
  <c r="N602" i="17"/>
  <c r="N603" i="17"/>
  <c r="N604" i="17"/>
  <c r="N606" i="17"/>
  <c r="N607" i="17"/>
  <c r="N608" i="17"/>
  <c r="N610" i="17"/>
  <c r="N611" i="17"/>
  <c r="N612" i="17"/>
  <c r="N614" i="17"/>
  <c r="N615" i="17"/>
  <c r="N616" i="17"/>
  <c r="N618" i="17"/>
  <c r="N619" i="17"/>
  <c r="N620" i="17"/>
  <c r="N622" i="17"/>
  <c r="N623" i="17"/>
  <c r="N624" i="17"/>
  <c r="N626" i="17"/>
  <c r="N627" i="17"/>
  <c r="N628" i="17"/>
  <c r="N630" i="17"/>
  <c r="N631" i="17"/>
  <c r="N632" i="17"/>
  <c r="N634" i="17"/>
  <c r="N635" i="17"/>
  <c r="N636" i="17"/>
  <c r="N638" i="17"/>
  <c r="N639" i="17"/>
  <c r="N640" i="17"/>
  <c r="N642" i="17"/>
  <c r="N643" i="17"/>
  <c r="N644" i="17"/>
  <c r="N646" i="17"/>
  <c r="N647" i="17"/>
  <c r="N648" i="17"/>
  <c r="N650" i="17"/>
  <c r="N651" i="17"/>
  <c r="N652" i="17"/>
  <c r="N654" i="17"/>
  <c r="N655" i="17"/>
  <c r="N656" i="17"/>
  <c r="N658" i="17"/>
  <c r="N659" i="17"/>
  <c r="N660" i="17"/>
  <c r="N662" i="17"/>
  <c r="N663" i="17"/>
  <c r="N664" i="17"/>
  <c r="N666" i="17"/>
  <c r="N667" i="17"/>
  <c r="N668" i="17"/>
  <c r="N670" i="17"/>
  <c r="N671" i="17"/>
  <c r="N672" i="17"/>
  <c r="N674" i="17"/>
  <c r="N675" i="17"/>
  <c r="N676" i="17"/>
  <c r="N678" i="17"/>
  <c r="N679" i="17"/>
  <c r="N680" i="17"/>
  <c r="N682" i="17"/>
  <c r="N683" i="17"/>
  <c r="N684" i="17"/>
  <c r="N686" i="17"/>
  <c r="N687" i="17"/>
  <c r="N688" i="17"/>
  <c r="N690" i="17"/>
  <c r="N691" i="17"/>
  <c r="N692" i="17"/>
  <c r="N694" i="17"/>
  <c r="N695" i="17"/>
  <c r="N696" i="17"/>
  <c r="N698" i="17"/>
  <c r="N699" i="17"/>
  <c r="N700" i="17"/>
  <c r="N702" i="17"/>
  <c r="N703" i="17"/>
  <c r="N704" i="17"/>
  <c r="N706" i="17"/>
  <c r="N707" i="17"/>
  <c r="N708" i="17"/>
  <c r="N710" i="17"/>
  <c r="N711" i="17"/>
  <c r="N712" i="17"/>
  <c r="N714" i="17"/>
  <c r="N715" i="17"/>
  <c r="N716" i="17"/>
  <c r="N718" i="17"/>
  <c r="N719" i="17"/>
  <c r="N720" i="17"/>
  <c r="N722" i="17"/>
  <c r="N723" i="17"/>
  <c r="N724" i="17"/>
  <c r="N726" i="17"/>
  <c r="N727" i="17"/>
  <c r="N728" i="17"/>
  <c r="N730" i="17"/>
  <c r="N731" i="17"/>
  <c r="N732" i="17"/>
  <c r="N734" i="17"/>
  <c r="N735" i="17"/>
  <c r="N736" i="17"/>
  <c r="N738" i="17"/>
  <c r="N739" i="17"/>
  <c r="N740" i="17"/>
  <c r="N742" i="17"/>
  <c r="N743" i="17"/>
  <c r="N744" i="17"/>
  <c r="N746" i="17"/>
  <c r="N747" i="17"/>
  <c r="N748" i="17"/>
  <c r="N750" i="17"/>
  <c r="N751" i="17"/>
  <c r="N752" i="17"/>
  <c r="N754" i="17"/>
  <c r="N755" i="17"/>
  <c r="N756" i="17"/>
  <c r="N758" i="17"/>
  <c r="N759" i="17"/>
  <c r="N760" i="17"/>
  <c r="N762" i="17"/>
  <c r="N763" i="17"/>
  <c r="N764" i="17"/>
  <c r="N766" i="17"/>
  <c r="N767" i="17"/>
  <c r="N768" i="17"/>
  <c r="N770" i="17"/>
  <c r="N771" i="17"/>
  <c r="N772" i="17"/>
  <c r="N774" i="17"/>
  <c r="N775" i="17"/>
  <c r="N776" i="17"/>
  <c r="N778" i="17"/>
  <c r="N779" i="17"/>
  <c r="N780" i="17"/>
  <c r="N782" i="17"/>
  <c r="N783" i="17"/>
  <c r="N784" i="17"/>
  <c r="N786" i="17"/>
  <c r="N787" i="17"/>
  <c r="N788" i="17"/>
  <c r="N790" i="17"/>
  <c r="N791" i="17"/>
  <c r="N792" i="17"/>
  <c r="N794" i="17"/>
  <c r="N795" i="17"/>
  <c r="N796" i="17"/>
  <c r="N798" i="17"/>
  <c r="N799" i="17"/>
  <c r="N800" i="17"/>
  <c r="N802" i="17"/>
  <c r="N803" i="17"/>
  <c r="N804" i="17"/>
  <c r="N806" i="17"/>
  <c r="N807" i="17"/>
  <c r="N808" i="17"/>
  <c r="N810" i="17"/>
  <c r="N811" i="17"/>
  <c r="N812" i="17"/>
  <c r="N814" i="17"/>
  <c r="N815" i="17"/>
  <c r="N816" i="17"/>
  <c r="N818" i="17"/>
  <c r="N819" i="17"/>
  <c r="N820" i="17"/>
  <c r="N822" i="17"/>
  <c r="N823" i="17"/>
  <c r="N824" i="17"/>
  <c r="N826" i="17"/>
  <c r="N827" i="17"/>
  <c r="N828" i="17"/>
  <c r="N830" i="17"/>
  <c r="N831" i="17"/>
  <c r="N832" i="17"/>
  <c r="N834" i="17"/>
  <c r="N835" i="17"/>
  <c r="N836" i="17"/>
  <c r="N838" i="17"/>
  <c r="N839" i="17"/>
  <c r="N840" i="17"/>
  <c r="N842" i="17"/>
  <c r="N843" i="17"/>
  <c r="N844" i="17"/>
  <c r="N846" i="17"/>
  <c r="N847" i="17"/>
  <c r="N848" i="17"/>
  <c r="N850" i="17"/>
  <c r="N851" i="17"/>
  <c r="N852" i="17"/>
  <c r="N854" i="17"/>
  <c r="N855" i="17"/>
  <c r="N856" i="17"/>
  <c r="N858" i="17"/>
  <c r="N859" i="17"/>
  <c r="N860" i="17"/>
  <c r="N862" i="17"/>
  <c r="N863" i="17"/>
  <c r="N864" i="17"/>
  <c r="N866" i="17"/>
  <c r="N867" i="17"/>
  <c r="N868" i="17"/>
  <c r="N870" i="17"/>
  <c r="N871" i="17"/>
  <c r="N872" i="17"/>
  <c r="N874" i="17"/>
  <c r="N875" i="17"/>
  <c r="N876" i="17"/>
  <c r="N878" i="17"/>
  <c r="N879" i="17"/>
  <c r="N880" i="17"/>
  <c r="N882" i="17"/>
  <c r="N883" i="17"/>
  <c r="N884" i="17"/>
  <c r="N886" i="17"/>
  <c r="N887" i="17"/>
  <c r="N888" i="17"/>
  <c r="N890" i="17"/>
  <c r="N891" i="17"/>
  <c r="N892" i="17"/>
  <c r="N894" i="17"/>
  <c r="N895" i="17"/>
  <c r="N896" i="17"/>
  <c r="N898" i="17"/>
  <c r="N899" i="17"/>
  <c r="N900" i="17"/>
  <c r="N903" i="17"/>
  <c r="N904" i="17"/>
  <c r="N907" i="17"/>
  <c r="N908" i="17"/>
  <c r="N911" i="17"/>
  <c r="N912" i="17"/>
  <c r="N915" i="17"/>
  <c r="N916" i="17"/>
  <c r="N919" i="17"/>
  <c r="N920" i="17"/>
  <c r="N923" i="17"/>
  <c r="N924" i="17"/>
  <c r="N927" i="17"/>
  <c r="N928" i="17"/>
  <c r="N931" i="17"/>
  <c r="N932" i="17"/>
  <c r="N935" i="17"/>
  <c r="N936" i="17"/>
  <c r="N939" i="17"/>
  <c r="N940" i="17"/>
  <c r="N943" i="17"/>
  <c r="N944" i="17"/>
  <c r="N947" i="17"/>
  <c r="N948" i="17"/>
  <c r="N951" i="17"/>
  <c r="N952" i="17"/>
  <c r="N955" i="17"/>
  <c r="N956" i="17"/>
  <c r="N959" i="17"/>
  <c r="N960" i="17"/>
  <c r="N963" i="17"/>
  <c r="N964" i="17"/>
  <c r="N967" i="17"/>
  <c r="N968" i="17"/>
  <c r="N971" i="17"/>
  <c r="N972" i="17"/>
  <c r="N975" i="17"/>
  <c r="N976" i="17"/>
  <c r="N979" i="17"/>
  <c r="N980" i="17"/>
  <c r="N981" i="17"/>
  <c r="N983" i="17"/>
  <c r="N984" i="17"/>
  <c r="N987" i="17"/>
  <c r="N988" i="17"/>
  <c r="N991" i="17"/>
  <c r="N992" i="17"/>
  <c r="N995" i="17"/>
  <c r="N996" i="17"/>
  <c r="N999" i="17"/>
  <c r="N1000" i="17"/>
  <c r="J3" i="17"/>
  <c r="O3" i="17" s="1"/>
  <c r="K3" i="17"/>
  <c r="L3" i="17"/>
  <c r="M3" i="17" s="1"/>
  <c r="J4" i="17"/>
  <c r="O4" i="17" s="1"/>
  <c r="K4" i="17"/>
  <c r="L4" i="17"/>
  <c r="M4" i="17" s="1"/>
  <c r="J5" i="17"/>
  <c r="O5" i="17" s="1"/>
  <c r="K5" i="17"/>
  <c r="L5" i="17"/>
  <c r="M5" i="17" s="1"/>
  <c r="J6" i="17"/>
  <c r="O6" i="17" s="1"/>
  <c r="K6" i="17"/>
  <c r="L6" i="17"/>
  <c r="M6" i="17" s="1"/>
  <c r="J7" i="17"/>
  <c r="O7" i="17" s="1"/>
  <c r="K7" i="17"/>
  <c r="L7" i="17"/>
  <c r="M7" i="17" s="1"/>
  <c r="J8" i="17"/>
  <c r="O8" i="17" s="1"/>
  <c r="K8" i="17"/>
  <c r="L8" i="17"/>
  <c r="M8" i="17" s="1"/>
  <c r="J9" i="17"/>
  <c r="O9" i="17" s="1"/>
  <c r="K9" i="17"/>
  <c r="L9" i="17"/>
  <c r="M9" i="17" s="1"/>
  <c r="J10" i="17"/>
  <c r="O10" i="17" s="1"/>
  <c r="K10" i="17"/>
  <c r="L10" i="17"/>
  <c r="M10" i="17" s="1"/>
  <c r="J11" i="17"/>
  <c r="O11" i="17" s="1"/>
  <c r="K11" i="17"/>
  <c r="L11" i="17"/>
  <c r="M11" i="17" s="1"/>
  <c r="J12" i="17"/>
  <c r="O12" i="17" s="1"/>
  <c r="K12" i="17"/>
  <c r="L12" i="17"/>
  <c r="M12" i="17" s="1"/>
  <c r="J13" i="17"/>
  <c r="O13" i="17" s="1"/>
  <c r="K13" i="17"/>
  <c r="L13" i="17"/>
  <c r="M13" i="17" s="1"/>
  <c r="J14" i="17"/>
  <c r="O14" i="17" s="1"/>
  <c r="K14" i="17"/>
  <c r="L14" i="17"/>
  <c r="M14" i="17" s="1"/>
  <c r="J15" i="17"/>
  <c r="O15" i="17" s="1"/>
  <c r="K15" i="17"/>
  <c r="L15" i="17"/>
  <c r="M15" i="17" s="1"/>
  <c r="J16" i="17"/>
  <c r="O16" i="17" s="1"/>
  <c r="K16" i="17"/>
  <c r="L16" i="17"/>
  <c r="M16" i="17" s="1"/>
  <c r="J17" i="17"/>
  <c r="O17" i="17" s="1"/>
  <c r="K17" i="17"/>
  <c r="L17" i="17"/>
  <c r="M17" i="17" s="1"/>
  <c r="J18" i="17"/>
  <c r="O18" i="17" s="1"/>
  <c r="K18" i="17"/>
  <c r="L18" i="17"/>
  <c r="M18" i="17" s="1"/>
  <c r="J19" i="17"/>
  <c r="O19" i="17" s="1"/>
  <c r="K19" i="17"/>
  <c r="L19" i="17"/>
  <c r="M19" i="17" s="1"/>
  <c r="J20" i="17"/>
  <c r="O20" i="17" s="1"/>
  <c r="K20" i="17"/>
  <c r="L20" i="17"/>
  <c r="M20" i="17" s="1"/>
  <c r="J21" i="17"/>
  <c r="O21" i="17" s="1"/>
  <c r="K21" i="17"/>
  <c r="L21" i="17"/>
  <c r="M21" i="17" s="1"/>
  <c r="J22" i="17"/>
  <c r="O22" i="17" s="1"/>
  <c r="K22" i="17"/>
  <c r="L22" i="17"/>
  <c r="M22" i="17" s="1"/>
  <c r="J23" i="17"/>
  <c r="O23" i="17" s="1"/>
  <c r="K23" i="17"/>
  <c r="L23" i="17"/>
  <c r="M23" i="17" s="1"/>
  <c r="J24" i="17"/>
  <c r="O24" i="17" s="1"/>
  <c r="K24" i="17"/>
  <c r="L24" i="17"/>
  <c r="M24" i="17" s="1"/>
  <c r="J25" i="17"/>
  <c r="O25" i="17" s="1"/>
  <c r="K25" i="17"/>
  <c r="L25" i="17"/>
  <c r="M25" i="17" s="1"/>
  <c r="J26" i="17"/>
  <c r="O26" i="17" s="1"/>
  <c r="K26" i="17"/>
  <c r="L26" i="17"/>
  <c r="M26" i="17" s="1"/>
  <c r="J27" i="17"/>
  <c r="O27" i="17" s="1"/>
  <c r="K27" i="17"/>
  <c r="L27" i="17"/>
  <c r="M27" i="17" s="1"/>
  <c r="J28" i="17"/>
  <c r="O28" i="17" s="1"/>
  <c r="K28" i="17"/>
  <c r="L28" i="17"/>
  <c r="M28" i="17" s="1"/>
  <c r="J29" i="17"/>
  <c r="O29" i="17" s="1"/>
  <c r="K29" i="17"/>
  <c r="L29" i="17"/>
  <c r="M29" i="17" s="1"/>
  <c r="J30" i="17"/>
  <c r="O30" i="17" s="1"/>
  <c r="K30" i="17"/>
  <c r="L30" i="17"/>
  <c r="M30" i="17" s="1"/>
  <c r="J31" i="17"/>
  <c r="O31" i="17" s="1"/>
  <c r="K31" i="17"/>
  <c r="L31" i="17"/>
  <c r="M31" i="17" s="1"/>
  <c r="J32" i="17"/>
  <c r="O32" i="17" s="1"/>
  <c r="K32" i="17"/>
  <c r="L32" i="17"/>
  <c r="M32" i="17" s="1"/>
  <c r="J33" i="17"/>
  <c r="O33" i="17" s="1"/>
  <c r="K33" i="17"/>
  <c r="L33" i="17"/>
  <c r="M33" i="17" s="1"/>
  <c r="J34" i="17"/>
  <c r="O34" i="17" s="1"/>
  <c r="K34" i="17"/>
  <c r="L34" i="17"/>
  <c r="M34" i="17" s="1"/>
  <c r="J35" i="17"/>
  <c r="O35" i="17" s="1"/>
  <c r="K35" i="17"/>
  <c r="L35" i="17"/>
  <c r="M35" i="17" s="1"/>
  <c r="J36" i="17"/>
  <c r="O36" i="17" s="1"/>
  <c r="K36" i="17"/>
  <c r="L36" i="17"/>
  <c r="M36" i="17" s="1"/>
  <c r="J37" i="17"/>
  <c r="O37" i="17" s="1"/>
  <c r="K37" i="17"/>
  <c r="L37" i="17"/>
  <c r="M37" i="17" s="1"/>
  <c r="J38" i="17"/>
  <c r="O38" i="17" s="1"/>
  <c r="K38" i="17"/>
  <c r="L38" i="17"/>
  <c r="M38" i="17" s="1"/>
  <c r="J39" i="17"/>
  <c r="O39" i="17" s="1"/>
  <c r="K39" i="17"/>
  <c r="L39" i="17"/>
  <c r="M39" i="17" s="1"/>
  <c r="J40" i="17"/>
  <c r="O40" i="17" s="1"/>
  <c r="K40" i="17"/>
  <c r="L40" i="17"/>
  <c r="M40" i="17" s="1"/>
  <c r="J41" i="17"/>
  <c r="O41" i="17" s="1"/>
  <c r="K41" i="17"/>
  <c r="L41" i="17"/>
  <c r="M41" i="17" s="1"/>
  <c r="J42" i="17"/>
  <c r="O42" i="17" s="1"/>
  <c r="K42" i="17"/>
  <c r="L42" i="17"/>
  <c r="J43" i="17"/>
  <c r="O43" i="17" s="1"/>
  <c r="K43" i="17"/>
  <c r="L43" i="17"/>
  <c r="M43" i="17" s="1"/>
  <c r="J44" i="17"/>
  <c r="O44" i="17" s="1"/>
  <c r="K44" i="17"/>
  <c r="L44" i="17"/>
  <c r="M44" i="17" s="1"/>
  <c r="J45" i="17"/>
  <c r="O45" i="17" s="1"/>
  <c r="K45" i="17"/>
  <c r="L45" i="17"/>
  <c r="M45" i="17" s="1"/>
  <c r="J46" i="17"/>
  <c r="O46" i="17" s="1"/>
  <c r="K46" i="17"/>
  <c r="L46" i="17"/>
  <c r="M46" i="17" s="1"/>
  <c r="J47" i="17"/>
  <c r="O47" i="17" s="1"/>
  <c r="K47" i="17"/>
  <c r="L47" i="17"/>
  <c r="M47" i="17" s="1"/>
  <c r="J48" i="17"/>
  <c r="O48" i="17" s="1"/>
  <c r="K48" i="17"/>
  <c r="L48" i="17"/>
  <c r="M48" i="17" s="1"/>
  <c r="J49" i="17"/>
  <c r="O49" i="17" s="1"/>
  <c r="K49" i="17"/>
  <c r="L49" i="17"/>
  <c r="M49" i="17" s="1"/>
  <c r="J50" i="17"/>
  <c r="O50" i="17" s="1"/>
  <c r="K50" i="17"/>
  <c r="L50" i="17"/>
  <c r="M50" i="17" s="1"/>
  <c r="J51" i="17"/>
  <c r="O51" i="17" s="1"/>
  <c r="K51" i="17"/>
  <c r="L51" i="17"/>
  <c r="M51" i="17" s="1"/>
  <c r="J52" i="17"/>
  <c r="O52" i="17" s="1"/>
  <c r="K52" i="17"/>
  <c r="L52" i="17"/>
  <c r="M52" i="17" s="1"/>
  <c r="J53" i="17"/>
  <c r="O53" i="17" s="1"/>
  <c r="K53" i="17"/>
  <c r="L53" i="17"/>
  <c r="M53" i="17" s="1"/>
  <c r="J54" i="17"/>
  <c r="O54" i="17" s="1"/>
  <c r="K54" i="17"/>
  <c r="L54" i="17"/>
  <c r="M54" i="17" s="1"/>
  <c r="J55" i="17"/>
  <c r="O55" i="17" s="1"/>
  <c r="K55" i="17"/>
  <c r="L55" i="17"/>
  <c r="M55" i="17" s="1"/>
  <c r="J56" i="17"/>
  <c r="O56" i="17" s="1"/>
  <c r="K56" i="17"/>
  <c r="L56" i="17"/>
  <c r="M56" i="17" s="1"/>
  <c r="J57" i="17"/>
  <c r="O57" i="17" s="1"/>
  <c r="K57" i="17"/>
  <c r="L57" i="17"/>
  <c r="M57" i="17" s="1"/>
  <c r="J58" i="17"/>
  <c r="O58" i="17" s="1"/>
  <c r="K58" i="17"/>
  <c r="L58" i="17"/>
  <c r="M58" i="17" s="1"/>
  <c r="J59" i="17"/>
  <c r="O59" i="17" s="1"/>
  <c r="K59" i="17"/>
  <c r="L59" i="17"/>
  <c r="M59" i="17" s="1"/>
  <c r="J60" i="17"/>
  <c r="O60" i="17" s="1"/>
  <c r="K60" i="17"/>
  <c r="L60" i="17"/>
  <c r="M60" i="17" s="1"/>
  <c r="J61" i="17"/>
  <c r="O61" i="17" s="1"/>
  <c r="K61" i="17"/>
  <c r="L61" i="17"/>
  <c r="M61" i="17" s="1"/>
  <c r="J62" i="17"/>
  <c r="O62" i="17" s="1"/>
  <c r="K62" i="17"/>
  <c r="L62" i="17"/>
  <c r="M62" i="17" s="1"/>
  <c r="J63" i="17"/>
  <c r="O63" i="17" s="1"/>
  <c r="K63" i="17"/>
  <c r="L63" i="17"/>
  <c r="M63" i="17" s="1"/>
  <c r="J64" i="17"/>
  <c r="O64" i="17" s="1"/>
  <c r="K64" i="17"/>
  <c r="L64" i="17"/>
  <c r="M64" i="17" s="1"/>
  <c r="J65" i="17"/>
  <c r="O65" i="17" s="1"/>
  <c r="K65" i="17"/>
  <c r="L65" i="17"/>
  <c r="M65" i="17" s="1"/>
  <c r="J66" i="17"/>
  <c r="O66" i="17" s="1"/>
  <c r="K66" i="17"/>
  <c r="L66" i="17"/>
  <c r="M66" i="17" s="1"/>
  <c r="J67" i="17"/>
  <c r="O67" i="17" s="1"/>
  <c r="K67" i="17"/>
  <c r="L67" i="17"/>
  <c r="M67" i="17" s="1"/>
  <c r="J68" i="17"/>
  <c r="O68" i="17" s="1"/>
  <c r="K68" i="17"/>
  <c r="L68" i="17"/>
  <c r="M68" i="17" s="1"/>
  <c r="J69" i="17"/>
  <c r="O69" i="17" s="1"/>
  <c r="K69" i="17"/>
  <c r="L69" i="17"/>
  <c r="M69" i="17" s="1"/>
  <c r="J70" i="17"/>
  <c r="O70" i="17" s="1"/>
  <c r="K70" i="17"/>
  <c r="L70" i="17"/>
  <c r="M70" i="17" s="1"/>
  <c r="J71" i="17"/>
  <c r="O71" i="17" s="1"/>
  <c r="K71" i="17"/>
  <c r="L71" i="17"/>
  <c r="M71" i="17" s="1"/>
  <c r="J72" i="17"/>
  <c r="O72" i="17" s="1"/>
  <c r="K72" i="17"/>
  <c r="L72" i="17"/>
  <c r="M72" i="17" s="1"/>
  <c r="J73" i="17"/>
  <c r="O73" i="17" s="1"/>
  <c r="K73" i="17"/>
  <c r="L73" i="17"/>
  <c r="M73" i="17" s="1"/>
  <c r="J74" i="17"/>
  <c r="O74" i="17" s="1"/>
  <c r="K74" i="17"/>
  <c r="L74" i="17"/>
  <c r="M74" i="17" s="1"/>
  <c r="J75" i="17"/>
  <c r="O75" i="17" s="1"/>
  <c r="K75" i="17"/>
  <c r="L75" i="17"/>
  <c r="M75" i="17" s="1"/>
  <c r="J76" i="17"/>
  <c r="O76" i="17" s="1"/>
  <c r="K76" i="17"/>
  <c r="L76" i="17"/>
  <c r="M76" i="17" s="1"/>
  <c r="J77" i="17"/>
  <c r="O77" i="17" s="1"/>
  <c r="K77" i="17"/>
  <c r="L77" i="17"/>
  <c r="M77" i="17" s="1"/>
  <c r="J78" i="17"/>
  <c r="O78" i="17" s="1"/>
  <c r="K78" i="17"/>
  <c r="L78" i="17"/>
  <c r="M78" i="17" s="1"/>
  <c r="J79" i="17"/>
  <c r="O79" i="17" s="1"/>
  <c r="K79" i="17"/>
  <c r="L79" i="17"/>
  <c r="J80" i="17"/>
  <c r="O80" i="17" s="1"/>
  <c r="K80" i="17"/>
  <c r="L80" i="17"/>
  <c r="M80" i="17" s="1"/>
  <c r="J81" i="17"/>
  <c r="O81" i="17" s="1"/>
  <c r="K81" i="17"/>
  <c r="L81" i="17"/>
  <c r="M81" i="17" s="1"/>
  <c r="J82" i="17"/>
  <c r="O82" i="17" s="1"/>
  <c r="K82" i="17"/>
  <c r="L82" i="17"/>
  <c r="M82" i="17" s="1"/>
  <c r="J83" i="17"/>
  <c r="O83" i="17" s="1"/>
  <c r="K83" i="17"/>
  <c r="L83" i="17"/>
  <c r="M83" i="17" s="1"/>
  <c r="J84" i="17"/>
  <c r="O84" i="17" s="1"/>
  <c r="K84" i="17"/>
  <c r="L84" i="17"/>
  <c r="M84" i="17" s="1"/>
  <c r="J85" i="17"/>
  <c r="O85" i="17" s="1"/>
  <c r="K85" i="17"/>
  <c r="L85" i="17"/>
  <c r="M85" i="17" s="1"/>
  <c r="J86" i="17"/>
  <c r="O86" i="17" s="1"/>
  <c r="K86" i="17"/>
  <c r="L86" i="17"/>
  <c r="M86" i="17" s="1"/>
  <c r="J87" i="17"/>
  <c r="O87" i="17" s="1"/>
  <c r="K87" i="17"/>
  <c r="L87" i="17"/>
  <c r="M87" i="17" s="1"/>
  <c r="J88" i="17"/>
  <c r="O88" i="17" s="1"/>
  <c r="K88" i="17"/>
  <c r="L88" i="17"/>
  <c r="M88" i="17" s="1"/>
  <c r="J89" i="17"/>
  <c r="O89" i="17" s="1"/>
  <c r="K89" i="17"/>
  <c r="L89" i="17"/>
  <c r="M89" i="17" s="1"/>
  <c r="J90" i="17"/>
  <c r="O90" i="17" s="1"/>
  <c r="K90" i="17"/>
  <c r="L90" i="17"/>
  <c r="M90" i="17" s="1"/>
  <c r="J91" i="17"/>
  <c r="O91" i="17" s="1"/>
  <c r="K91" i="17"/>
  <c r="L91" i="17"/>
  <c r="M91" i="17" s="1"/>
  <c r="J92" i="17"/>
  <c r="O92" i="17" s="1"/>
  <c r="K92" i="17"/>
  <c r="L92" i="17"/>
  <c r="M92" i="17" s="1"/>
  <c r="J93" i="17"/>
  <c r="O93" i="17" s="1"/>
  <c r="K93" i="17"/>
  <c r="L93" i="17"/>
  <c r="M93" i="17" s="1"/>
  <c r="J94" i="17"/>
  <c r="O94" i="17" s="1"/>
  <c r="K94" i="17"/>
  <c r="L94" i="17"/>
  <c r="M94" i="17" s="1"/>
  <c r="J95" i="17"/>
  <c r="O95" i="17" s="1"/>
  <c r="K95" i="17"/>
  <c r="L95" i="17"/>
  <c r="M95" i="17" s="1"/>
  <c r="J96" i="17"/>
  <c r="O96" i="17" s="1"/>
  <c r="K96" i="17"/>
  <c r="L96" i="17"/>
  <c r="M96" i="17" s="1"/>
  <c r="J97" i="17"/>
  <c r="O97" i="17" s="1"/>
  <c r="K97" i="17"/>
  <c r="L97" i="17"/>
  <c r="M97" i="17" s="1"/>
  <c r="J98" i="17"/>
  <c r="O98" i="17" s="1"/>
  <c r="K98" i="17"/>
  <c r="L98" i="17"/>
  <c r="M98" i="17" s="1"/>
  <c r="J99" i="17"/>
  <c r="O99" i="17" s="1"/>
  <c r="K99" i="17"/>
  <c r="L99" i="17"/>
  <c r="M99" i="17" s="1"/>
  <c r="J100" i="17"/>
  <c r="O100" i="17" s="1"/>
  <c r="K100" i="17"/>
  <c r="L100" i="17"/>
  <c r="M100" i="17" s="1"/>
  <c r="J101" i="17"/>
  <c r="O101" i="17" s="1"/>
  <c r="K101" i="17"/>
  <c r="L101" i="17"/>
  <c r="M101" i="17" s="1"/>
  <c r="J102" i="17"/>
  <c r="O102" i="17" s="1"/>
  <c r="K102" i="17"/>
  <c r="L102" i="17"/>
  <c r="M102" i="17" s="1"/>
  <c r="J103" i="17"/>
  <c r="O103" i="17" s="1"/>
  <c r="K103" i="17"/>
  <c r="L103" i="17"/>
  <c r="M103" i="17" s="1"/>
  <c r="J104" i="17"/>
  <c r="O104" i="17" s="1"/>
  <c r="K104" i="17"/>
  <c r="L104" i="17"/>
  <c r="M104" i="17" s="1"/>
  <c r="J105" i="17"/>
  <c r="O105" i="17" s="1"/>
  <c r="K105" i="17"/>
  <c r="L105" i="17"/>
  <c r="M105" i="17" s="1"/>
  <c r="J106" i="17"/>
  <c r="O106" i="17" s="1"/>
  <c r="K106" i="17"/>
  <c r="L106" i="17"/>
  <c r="M106" i="17" s="1"/>
  <c r="J107" i="17"/>
  <c r="O107" i="17" s="1"/>
  <c r="K107" i="17"/>
  <c r="L107" i="17"/>
  <c r="M107" i="17" s="1"/>
  <c r="J108" i="17"/>
  <c r="O108" i="17" s="1"/>
  <c r="K108" i="17"/>
  <c r="L108" i="17"/>
  <c r="M108" i="17" s="1"/>
  <c r="J109" i="17"/>
  <c r="O109" i="17" s="1"/>
  <c r="K109" i="17"/>
  <c r="L109" i="17"/>
  <c r="M109" i="17" s="1"/>
  <c r="J110" i="17"/>
  <c r="O110" i="17" s="1"/>
  <c r="K110" i="17"/>
  <c r="L110" i="17"/>
  <c r="M110" i="17" s="1"/>
  <c r="J111" i="17"/>
  <c r="O111" i="17" s="1"/>
  <c r="K111" i="17"/>
  <c r="L111" i="17"/>
  <c r="M111" i="17" s="1"/>
  <c r="J112" i="17"/>
  <c r="O112" i="17" s="1"/>
  <c r="K112" i="17"/>
  <c r="L112" i="17"/>
  <c r="M112" i="17" s="1"/>
  <c r="J113" i="17"/>
  <c r="O113" i="17" s="1"/>
  <c r="K113" i="17"/>
  <c r="L113" i="17"/>
  <c r="M113" i="17" s="1"/>
  <c r="J114" i="17"/>
  <c r="O114" i="17" s="1"/>
  <c r="K114" i="17"/>
  <c r="L114" i="17"/>
  <c r="M114" i="17" s="1"/>
  <c r="J115" i="17"/>
  <c r="O115" i="17" s="1"/>
  <c r="K115" i="17"/>
  <c r="L115" i="17"/>
  <c r="M115" i="17" s="1"/>
  <c r="J116" i="17"/>
  <c r="O116" i="17" s="1"/>
  <c r="K116" i="17"/>
  <c r="L116" i="17"/>
  <c r="M116" i="17" s="1"/>
  <c r="J117" i="17"/>
  <c r="O117" i="17" s="1"/>
  <c r="K117" i="17"/>
  <c r="L117" i="17"/>
  <c r="M117" i="17" s="1"/>
  <c r="J118" i="17"/>
  <c r="O118" i="17" s="1"/>
  <c r="K118" i="17"/>
  <c r="L118" i="17"/>
  <c r="M118" i="17" s="1"/>
  <c r="J119" i="17"/>
  <c r="O119" i="17" s="1"/>
  <c r="K119" i="17"/>
  <c r="L119" i="17"/>
  <c r="M119" i="17" s="1"/>
  <c r="J120" i="17"/>
  <c r="O120" i="17" s="1"/>
  <c r="K120" i="17"/>
  <c r="L120" i="17"/>
  <c r="M120" i="17" s="1"/>
  <c r="J121" i="17"/>
  <c r="O121" i="17" s="1"/>
  <c r="K121" i="17"/>
  <c r="L121" i="17"/>
  <c r="M121" i="17" s="1"/>
  <c r="J122" i="17"/>
  <c r="O122" i="17" s="1"/>
  <c r="K122" i="17"/>
  <c r="L122" i="17"/>
  <c r="M122" i="17" s="1"/>
  <c r="J123" i="17"/>
  <c r="O123" i="17" s="1"/>
  <c r="K123" i="17"/>
  <c r="L123" i="17"/>
  <c r="M123" i="17" s="1"/>
  <c r="J124" i="17"/>
  <c r="O124" i="17" s="1"/>
  <c r="K124" i="17"/>
  <c r="L124" i="17"/>
  <c r="M124" i="17" s="1"/>
  <c r="J125" i="17"/>
  <c r="O125" i="17" s="1"/>
  <c r="K125" i="17"/>
  <c r="L125" i="17"/>
  <c r="M125" i="17" s="1"/>
  <c r="J126" i="17"/>
  <c r="O126" i="17" s="1"/>
  <c r="K126" i="17"/>
  <c r="L126" i="17"/>
  <c r="M126" i="17" s="1"/>
  <c r="J127" i="17"/>
  <c r="O127" i="17" s="1"/>
  <c r="K127" i="17"/>
  <c r="L127" i="17"/>
  <c r="M127" i="17" s="1"/>
  <c r="J128" i="17"/>
  <c r="O128" i="17" s="1"/>
  <c r="K128" i="17"/>
  <c r="L128" i="17"/>
  <c r="M128" i="17" s="1"/>
  <c r="J129" i="17"/>
  <c r="O129" i="17" s="1"/>
  <c r="K129" i="17"/>
  <c r="L129" i="17"/>
  <c r="M129" i="17" s="1"/>
  <c r="J130" i="17"/>
  <c r="O130" i="17" s="1"/>
  <c r="K130" i="17"/>
  <c r="L130" i="17"/>
  <c r="M130" i="17" s="1"/>
  <c r="J131" i="17"/>
  <c r="O131" i="17" s="1"/>
  <c r="K131" i="17"/>
  <c r="L131" i="17"/>
  <c r="M131" i="17" s="1"/>
  <c r="J132" i="17"/>
  <c r="O132" i="17" s="1"/>
  <c r="K132" i="17"/>
  <c r="L132" i="17"/>
  <c r="M132" i="17" s="1"/>
  <c r="J133" i="17"/>
  <c r="O133" i="17" s="1"/>
  <c r="K133" i="17"/>
  <c r="L133" i="17"/>
  <c r="M133" i="17" s="1"/>
  <c r="J134" i="17"/>
  <c r="O134" i="17" s="1"/>
  <c r="K134" i="17"/>
  <c r="L134" i="17"/>
  <c r="M134" i="17" s="1"/>
  <c r="J135" i="17"/>
  <c r="O135" i="17" s="1"/>
  <c r="K135" i="17"/>
  <c r="L135" i="17"/>
  <c r="M135" i="17" s="1"/>
  <c r="J136" i="17"/>
  <c r="O136" i="17" s="1"/>
  <c r="K136" i="17"/>
  <c r="L136" i="17"/>
  <c r="M136" i="17" s="1"/>
  <c r="J137" i="17"/>
  <c r="O137" i="17" s="1"/>
  <c r="K137" i="17"/>
  <c r="L137" i="17"/>
  <c r="M137" i="17" s="1"/>
  <c r="J138" i="17"/>
  <c r="O138" i="17" s="1"/>
  <c r="K138" i="17"/>
  <c r="L138" i="17"/>
  <c r="M138" i="17" s="1"/>
  <c r="J139" i="17"/>
  <c r="O139" i="17" s="1"/>
  <c r="K139" i="17"/>
  <c r="L139" i="17"/>
  <c r="M139" i="17" s="1"/>
  <c r="J140" i="17"/>
  <c r="O140" i="17" s="1"/>
  <c r="K140" i="17"/>
  <c r="L140" i="17"/>
  <c r="M140" i="17" s="1"/>
  <c r="J141" i="17"/>
  <c r="O141" i="17" s="1"/>
  <c r="K141" i="17"/>
  <c r="L141" i="17"/>
  <c r="M141" i="17" s="1"/>
  <c r="J142" i="17"/>
  <c r="O142" i="17" s="1"/>
  <c r="K142" i="17"/>
  <c r="L142" i="17"/>
  <c r="M142" i="17" s="1"/>
  <c r="J143" i="17"/>
  <c r="O143" i="17" s="1"/>
  <c r="K143" i="17"/>
  <c r="L143" i="17"/>
  <c r="M143" i="17" s="1"/>
  <c r="J144" i="17"/>
  <c r="O144" i="17" s="1"/>
  <c r="K144" i="17"/>
  <c r="L144" i="17"/>
  <c r="M144" i="17" s="1"/>
  <c r="J145" i="17"/>
  <c r="O145" i="17" s="1"/>
  <c r="K145" i="17"/>
  <c r="L145" i="17"/>
  <c r="M145" i="17" s="1"/>
  <c r="J146" i="17"/>
  <c r="O146" i="17" s="1"/>
  <c r="K146" i="17"/>
  <c r="L146" i="17"/>
  <c r="M146" i="17" s="1"/>
  <c r="J147" i="17"/>
  <c r="O147" i="17" s="1"/>
  <c r="K147" i="17"/>
  <c r="L147" i="17"/>
  <c r="M147" i="17" s="1"/>
  <c r="J148" i="17"/>
  <c r="O148" i="17" s="1"/>
  <c r="K148" i="17"/>
  <c r="L148" i="17"/>
  <c r="M148" i="17" s="1"/>
  <c r="J149" i="17"/>
  <c r="O149" i="17" s="1"/>
  <c r="K149" i="17"/>
  <c r="L149" i="17"/>
  <c r="M149" i="17" s="1"/>
  <c r="J150" i="17"/>
  <c r="O150" i="17" s="1"/>
  <c r="K150" i="17"/>
  <c r="L150" i="17"/>
  <c r="M150" i="17" s="1"/>
  <c r="J151" i="17"/>
  <c r="O151" i="17" s="1"/>
  <c r="K151" i="17"/>
  <c r="L151" i="17"/>
  <c r="M151" i="17" s="1"/>
  <c r="J152" i="17"/>
  <c r="O152" i="17" s="1"/>
  <c r="K152" i="17"/>
  <c r="L152" i="17"/>
  <c r="M152" i="17" s="1"/>
  <c r="J153" i="17"/>
  <c r="O153" i="17" s="1"/>
  <c r="K153" i="17"/>
  <c r="L153" i="17"/>
  <c r="M153" i="17" s="1"/>
  <c r="J154" i="17"/>
  <c r="O154" i="17" s="1"/>
  <c r="K154" i="17"/>
  <c r="L154" i="17"/>
  <c r="M154" i="17" s="1"/>
  <c r="J155" i="17"/>
  <c r="O155" i="17" s="1"/>
  <c r="K155" i="17"/>
  <c r="L155" i="17"/>
  <c r="J156" i="17"/>
  <c r="O156" i="17" s="1"/>
  <c r="K156" i="17"/>
  <c r="L156" i="17"/>
  <c r="M156" i="17" s="1"/>
  <c r="J157" i="17"/>
  <c r="O157" i="17" s="1"/>
  <c r="K157" i="17"/>
  <c r="L157" i="17"/>
  <c r="M157" i="17" s="1"/>
  <c r="J158" i="17"/>
  <c r="O158" i="17" s="1"/>
  <c r="K158" i="17"/>
  <c r="L158" i="17"/>
  <c r="M158" i="17" s="1"/>
  <c r="J159" i="17"/>
  <c r="O159" i="17" s="1"/>
  <c r="K159" i="17"/>
  <c r="L159" i="17"/>
  <c r="M159" i="17" s="1"/>
  <c r="J160" i="17"/>
  <c r="O160" i="17" s="1"/>
  <c r="K160" i="17"/>
  <c r="L160" i="17"/>
  <c r="M160" i="17" s="1"/>
  <c r="J161" i="17"/>
  <c r="O161" i="17" s="1"/>
  <c r="K161" i="17"/>
  <c r="L161" i="17"/>
  <c r="M161" i="17" s="1"/>
  <c r="J162" i="17"/>
  <c r="O162" i="17" s="1"/>
  <c r="K162" i="17"/>
  <c r="L162" i="17"/>
  <c r="M162" i="17" s="1"/>
  <c r="J163" i="17"/>
  <c r="O163" i="17" s="1"/>
  <c r="K163" i="17"/>
  <c r="L163" i="17"/>
  <c r="M163" i="17" s="1"/>
  <c r="J164" i="17"/>
  <c r="O164" i="17" s="1"/>
  <c r="K164" i="17"/>
  <c r="L164" i="17"/>
  <c r="M164" i="17" s="1"/>
  <c r="J165" i="17"/>
  <c r="O165" i="17" s="1"/>
  <c r="K165" i="17"/>
  <c r="L165" i="17"/>
  <c r="M165" i="17" s="1"/>
  <c r="J166" i="17"/>
  <c r="O166" i="17" s="1"/>
  <c r="K166" i="17"/>
  <c r="L166" i="17"/>
  <c r="M166" i="17" s="1"/>
  <c r="J167" i="17"/>
  <c r="O167" i="17" s="1"/>
  <c r="K167" i="17"/>
  <c r="L167" i="17"/>
  <c r="M167" i="17" s="1"/>
  <c r="J168" i="17"/>
  <c r="O168" i="17" s="1"/>
  <c r="K168" i="17"/>
  <c r="L168" i="17"/>
  <c r="M168" i="17" s="1"/>
  <c r="J169" i="17"/>
  <c r="O169" i="17" s="1"/>
  <c r="K169" i="17"/>
  <c r="L169" i="17"/>
  <c r="M169" i="17" s="1"/>
  <c r="J170" i="17"/>
  <c r="O170" i="17" s="1"/>
  <c r="K170" i="17"/>
  <c r="L170" i="17"/>
  <c r="M170" i="17" s="1"/>
  <c r="J171" i="17"/>
  <c r="O171" i="17" s="1"/>
  <c r="K171" i="17"/>
  <c r="L171" i="17"/>
  <c r="M171" i="17" s="1"/>
  <c r="J172" i="17"/>
  <c r="O172" i="17" s="1"/>
  <c r="K172" i="17"/>
  <c r="L172" i="17"/>
  <c r="M172" i="17" s="1"/>
  <c r="J173" i="17"/>
  <c r="O173" i="17" s="1"/>
  <c r="K173" i="17"/>
  <c r="L173" i="17"/>
  <c r="M173" i="17" s="1"/>
  <c r="J174" i="17"/>
  <c r="O174" i="17" s="1"/>
  <c r="K174" i="17"/>
  <c r="L174" i="17"/>
  <c r="M174" i="17" s="1"/>
  <c r="J175" i="17"/>
  <c r="O175" i="17" s="1"/>
  <c r="K175" i="17"/>
  <c r="L175" i="17"/>
  <c r="M175" i="17" s="1"/>
  <c r="J176" i="17"/>
  <c r="O176" i="17" s="1"/>
  <c r="K176" i="17"/>
  <c r="L176" i="17"/>
  <c r="M176" i="17" s="1"/>
  <c r="J177" i="17"/>
  <c r="O177" i="17" s="1"/>
  <c r="K177" i="17"/>
  <c r="L177" i="17"/>
  <c r="M177" i="17" s="1"/>
  <c r="J178" i="17"/>
  <c r="O178" i="17" s="1"/>
  <c r="K178" i="17"/>
  <c r="L178" i="17"/>
  <c r="M178" i="17" s="1"/>
  <c r="J179" i="17"/>
  <c r="O179" i="17" s="1"/>
  <c r="K179" i="17"/>
  <c r="L179" i="17"/>
  <c r="M179" i="17" s="1"/>
  <c r="J180" i="17"/>
  <c r="O180" i="17" s="1"/>
  <c r="K180" i="17"/>
  <c r="L180" i="17"/>
  <c r="M180" i="17" s="1"/>
  <c r="J181" i="17"/>
  <c r="O181" i="17" s="1"/>
  <c r="K181" i="17"/>
  <c r="L181" i="17"/>
  <c r="M181" i="17" s="1"/>
  <c r="J182" i="17"/>
  <c r="O182" i="17" s="1"/>
  <c r="K182" i="17"/>
  <c r="L182" i="17"/>
  <c r="M182" i="17" s="1"/>
  <c r="J183" i="17"/>
  <c r="O183" i="17" s="1"/>
  <c r="K183" i="17"/>
  <c r="L183" i="17"/>
  <c r="M183" i="17" s="1"/>
  <c r="J184" i="17"/>
  <c r="O184" i="17" s="1"/>
  <c r="K184" i="17"/>
  <c r="L184" i="17"/>
  <c r="M184" i="17" s="1"/>
  <c r="J185" i="17"/>
  <c r="O185" i="17" s="1"/>
  <c r="K185" i="17"/>
  <c r="L185" i="17"/>
  <c r="M185" i="17" s="1"/>
  <c r="J186" i="17"/>
  <c r="O186" i="17" s="1"/>
  <c r="K186" i="17"/>
  <c r="L186" i="17"/>
  <c r="M186" i="17" s="1"/>
  <c r="J187" i="17"/>
  <c r="O187" i="17" s="1"/>
  <c r="K187" i="17"/>
  <c r="L187" i="17"/>
  <c r="M187" i="17" s="1"/>
  <c r="J188" i="17"/>
  <c r="O188" i="17" s="1"/>
  <c r="K188" i="17"/>
  <c r="L188" i="17"/>
  <c r="M188" i="17" s="1"/>
  <c r="J189" i="17"/>
  <c r="O189" i="17" s="1"/>
  <c r="K189" i="17"/>
  <c r="L189" i="17"/>
  <c r="M189" i="17" s="1"/>
  <c r="J190" i="17"/>
  <c r="O190" i="17" s="1"/>
  <c r="K190" i="17"/>
  <c r="L190" i="17"/>
  <c r="M190" i="17" s="1"/>
  <c r="J191" i="17"/>
  <c r="O191" i="17" s="1"/>
  <c r="K191" i="17"/>
  <c r="L191" i="17"/>
  <c r="M191" i="17" s="1"/>
  <c r="J192" i="17"/>
  <c r="O192" i="17" s="1"/>
  <c r="K192" i="17"/>
  <c r="L192" i="17"/>
  <c r="J193" i="17"/>
  <c r="O193" i="17" s="1"/>
  <c r="K193" i="17"/>
  <c r="L193" i="17"/>
  <c r="M193" i="17" s="1"/>
  <c r="J194" i="17"/>
  <c r="O194" i="17" s="1"/>
  <c r="K194" i="17"/>
  <c r="L194" i="17"/>
  <c r="M194" i="17" s="1"/>
  <c r="J195" i="17"/>
  <c r="O195" i="17" s="1"/>
  <c r="K195" i="17"/>
  <c r="L195" i="17"/>
  <c r="M195" i="17" s="1"/>
  <c r="J196" i="17"/>
  <c r="O196" i="17" s="1"/>
  <c r="K196" i="17"/>
  <c r="L196" i="17"/>
  <c r="M196" i="17" s="1"/>
  <c r="J197" i="17"/>
  <c r="O197" i="17" s="1"/>
  <c r="K197" i="17"/>
  <c r="L197" i="17"/>
  <c r="M197" i="17" s="1"/>
  <c r="J198" i="17"/>
  <c r="O198" i="17" s="1"/>
  <c r="K198" i="17"/>
  <c r="L198" i="17"/>
  <c r="M198" i="17" s="1"/>
  <c r="J199" i="17"/>
  <c r="O199" i="17" s="1"/>
  <c r="K199" i="17"/>
  <c r="L199" i="17"/>
  <c r="M199" i="17" s="1"/>
  <c r="J200" i="17"/>
  <c r="O200" i="17" s="1"/>
  <c r="K200" i="17"/>
  <c r="L200" i="17"/>
  <c r="M200" i="17" s="1"/>
  <c r="J201" i="17"/>
  <c r="O201" i="17" s="1"/>
  <c r="K201" i="17"/>
  <c r="L201" i="17"/>
  <c r="M201" i="17" s="1"/>
  <c r="J202" i="17"/>
  <c r="O202" i="17" s="1"/>
  <c r="K202" i="17"/>
  <c r="L202" i="17"/>
  <c r="M202" i="17" s="1"/>
  <c r="J203" i="17"/>
  <c r="O203" i="17" s="1"/>
  <c r="K203" i="17"/>
  <c r="L203" i="17"/>
  <c r="M203" i="17" s="1"/>
  <c r="J204" i="17"/>
  <c r="O204" i="17" s="1"/>
  <c r="K204" i="17"/>
  <c r="L204" i="17"/>
  <c r="M204" i="17" s="1"/>
  <c r="J205" i="17"/>
  <c r="O205" i="17" s="1"/>
  <c r="K205" i="17"/>
  <c r="L205" i="17"/>
  <c r="M205" i="17" s="1"/>
  <c r="J206" i="17"/>
  <c r="O206" i="17" s="1"/>
  <c r="K206" i="17"/>
  <c r="L206" i="17"/>
  <c r="M206" i="17" s="1"/>
  <c r="J207" i="17"/>
  <c r="O207" i="17" s="1"/>
  <c r="K207" i="17"/>
  <c r="L207" i="17"/>
  <c r="M207" i="17" s="1"/>
  <c r="J208" i="17"/>
  <c r="O208" i="17" s="1"/>
  <c r="K208" i="17"/>
  <c r="L208" i="17"/>
  <c r="M208" i="17" s="1"/>
  <c r="J209" i="17"/>
  <c r="O209" i="17" s="1"/>
  <c r="K209" i="17"/>
  <c r="L209" i="17"/>
  <c r="M209" i="17" s="1"/>
  <c r="J210" i="17"/>
  <c r="O210" i="17" s="1"/>
  <c r="K210" i="17"/>
  <c r="L210" i="17"/>
  <c r="M210" i="17" s="1"/>
  <c r="J211" i="17"/>
  <c r="O211" i="17" s="1"/>
  <c r="K211" i="17"/>
  <c r="L211" i="17"/>
  <c r="M211" i="17" s="1"/>
  <c r="J212" i="17"/>
  <c r="O212" i="17" s="1"/>
  <c r="K212" i="17"/>
  <c r="L212" i="17"/>
  <c r="M212" i="17" s="1"/>
  <c r="J213" i="17"/>
  <c r="O213" i="17" s="1"/>
  <c r="K213" i="17"/>
  <c r="L213" i="17"/>
  <c r="M213" i="17" s="1"/>
  <c r="J214" i="17"/>
  <c r="O214" i="17" s="1"/>
  <c r="K214" i="17"/>
  <c r="L214" i="17"/>
  <c r="M214" i="17" s="1"/>
  <c r="J215" i="17"/>
  <c r="O215" i="17" s="1"/>
  <c r="K215" i="17"/>
  <c r="L215" i="17"/>
  <c r="M215" i="17" s="1"/>
  <c r="J216" i="17"/>
  <c r="O216" i="17" s="1"/>
  <c r="K216" i="17"/>
  <c r="L216" i="17"/>
  <c r="M216" i="17" s="1"/>
  <c r="J217" i="17"/>
  <c r="O217" i="17" s="1"/>
  <c r="K217" i="17"/>
  <c r="L217" i="17"/>
  <c r="M217" i="17" s="1"/>
  <c r="J218" i="17"/>
  <c r="O218" i="17" s="1"/>
  <c r="K218" i="17"/>
  <c r="L218" i="17"/>
  <c r="M218" i="17" s="1"/>
  <c r="J219" i="17"/>
  <c r="O219" i="17" s="1"/>
  <c r="K219" i="17"/>
  <c r="L219" i="17"/>
  <c r="M219" i="17" s="1"/>
  <c r="J220" i="17"/>
  <c r="O220" i="17" s="1"/>
  <c r="K220" i="17"/>
  <c r="L220" i="17"/>
  <c r="M220" i="17" s="1"/>
  <c r="J221" i="17"/>
  <c r="O221" i="17" s="1"/>
  <c r="K221" i="17"/>
  <c r="L221" i="17"/>
  <c r="M221" i="17" s="1"/>
  <c r="J222" i="17"/>
  <c r="O222" i="17" s="1"/>
  <c r="K222" i="17"/>
  <c r="L222" i="17"/>
  <c r="M222" i="17" s="1"/>
  <c r="J223" i="17"/>
  <c r="O223" i="17" s="1"/>
  <c r="K223" i="17"/>
  <c r="L223" i="17"/>
  <c r="M223" i="17" s="1"/>
  <c r="J224" i="17"/>
  <c r="O224" i="17" s="1"/>
  <c r="K224" i="17"/>
  <c r="L224" i="17"/>
  <c r="M224" i="17" s="1"/>
  <c r="J225" i="17"/>
  <c r="O225" i="17" s="1"/>
  <c r="K225" i="17"/>
  <c r="L225" i="17"/>
  <c r="M225" i="17" s="1"/>
  <c r="J226" i="17"/>
  <c r="O226" i="17" s="1"/>
  <c r="K226" i="17"/>
  <c r="L226" i="17"/>
  <c r="M226" i="17" s="1"/>
  <c r="J227" i="17"/>
  <c r="O227" i="17" s="1"/>
  <c r="K227" i="17"/>
  <c r="L227" i="17"/>
  <c r="M227" i="17" s="1"/>
  <c r="J228" i="17"/>
  <c r="O228" i="17" s="1"/>
  <c r="K228" i="17"/>
  <c r="L228" i="17"/>
  <c r="M228" i="17" s="1"/>
  <c r="J229" i="17"/>
  <c r="O229" i="17" s="1"/>
  <c r="K229" i="17"/>
  <c r="L229" i="17"/>
  <c r="M229" i="17" s="1"/>
  <c r="J230" i="17"/>
  <c r="O230" i="17" s="1"/>
  <c r="K230" i="17"/>
  <c r="L230" i="17"/>
  <c r="J231" i="17"/>
  <c r="O231" i="17" s="1"/>
  <c r="K231" i="17"/>
  <c r="L231" i="17"/>
  <c r="M231" i="17" s="1"/>
  <c r="J232" i="17"/>
  <c r="O232" i="17" s="1"/>
  <c r="K232" i="17"/>
  <c r="L232" i="17"/>
  <c r="M232" i="17" s="1"/>
  <c r="J233" i="17"/>
  <c r="O233" i="17" s="1"/>
  <c r="K233" i="17"/>
  <c r="L233" i="17"/>
  <c r="M233" i="17" s="1"/>
  <c r="J234" i="17"/>
  <c r="O234" i="17" s="1"/>
  <c r="K234" i="17"/>
  <c r="L234" i="17"/>
  <c r="M234" i="17" s="1"/>
  <c r="J235" i="17"/>
  <c r="O235" i="17" s="1"/>
  <c r="K235" i="17"/>
  <c r="L235" i="17"/>
  <c r="M235" i="17" s="1"/>
  <c r="J236" i="17"/>
  <c r="O236" i="17" s="1"/>
  <c r="K236" i="17"/>
  <c r="L236" i="17"/>
  <c r="M236" i="17" s="1"/>
  <c r="J237" i="17"/>
  <c r="O237" i="17" s="1"/>
  <c r="K237" i="17"/>
  <c r="L237" i="17"/>
  <c r="M237" i="17" s="1"/>
  <c r="J238" i="17"/>
  <c r="O238" i="17" s="1"/>
  <c r="K238" i="17"/>
  <c r="L238" i="17"/>
  <c r="M238" i="17" s="1"/>
  <c r="J239" i="17"/>
  <c r="O239" i="17" s="1"/>
  <c r="K239" i="17"/>
  <c r="L239" i="17"/>
  <c r="M239" i="17" s="1"/>
  <c r="J240" i="17"/>
  <c r="O240" i="17" s="1"/>
  <c r="K240" i="17"/>
  <c r="L240" i="17"/>
  <c r="M240" i="17" s="1"/>
  <c r="J241" i="17"/>
  <c r="O241" i="17" s="1"/>
  <c r="K241" i="17"/>
  <c r="L241" i="17"/>
  <c r="M241" i="17" s="1"/>
  <c r="J242" i="17"/>
  <c r="O242" i="17" s="1"/>
  <c r="K242" i="17"/>
  <c r="L242" i="17"/>
  <c r="M242" i="17" s="1"/>
  <c r="J243" i="17"/>
  <c r="O243" i="17" s="1"/>
  <c r="K243" i="17"/>
  <c r="L243" i="17"/>
  <c r="M243" i="17" s="1"/>
  <c r="J244" i="17"/>
  <c r="O244" i="17" s="1"/>
  <c r="K244" i="17"/>
  <c r="L244" i="17"/>
  <c r="M244" i="17" s="1"/>
  <c r="J245" i="17"/>
  <c r="O245" i="17" s="1"/>
  <c r="K245" i="17"/>
  <c r="L245" i="17"/>
  <c r="M245" i="17" s="1"/>
  <c r="J246" i="17"/>
  <c r="O246" i="17" s="1"/>
  <c r="K246" i="17"/>
  <c r="L246" i="17"/>
  <c r="M246" i="17" s="1"/>
  <c r="J247" i="17"/>
  <c r="O247" i="17" s="1"/>
  <c r="K247" i="17"/>
  <c r="L247" i="17"/>
  <c r="M247" i="17" s="1"/>
  <c r="J248" i="17"/>
  <c r="O248" i="17" s="1"/>
  <c r="K248" i="17"/>
  <c r="L248" i="17"/>
  <c r="M248" i="17" s="1"/>
  <c r="J249" i="17"/>
  <c r="O249" i="17" s="1"/>
  <c r="K249" i="17"/>
  <c r="L249" i="17"/>
  <c r="M249" i="17" s="1"/>
  <c r="J250" i="17"/>
  <c r="O250" i="17" s="1"/>
  <c r="K250" i="17"/>
  <c r="L250" i="17"/>
  <c r="M250" i="17" s="1"/>
  <c r="J251" i="17"/>
  <c r="O251" i="17" s="1"/>
  <c r="K251" i="17"/>
  <c r="L251" i="17"/>
  <c r="M251" i="17" s="1"/>
  <c r="J252" i="17"/>
  <c r="O252" i="17" s="1"/>
  <c r="K252" i="17"/>
  <c r="L252" i="17"/>
  <c r="M252" i="17" s="1"/>
  <c r="J253" i="17"/>
  <c r="O253" i="17" s="1"/>
  <c r="K253" i="17"/>
  <c r="L253" i="17"/>
  <c r="M253" i="17" s="1"/>
  <c r="J254" i="17"/>
  <c r="O254" i="17" s="1"/>
  <c r="K254" i="17"/>
  <c r="L254" i="17"/>
  <c r="M254" i="17" s="1"/>
  <c r="J255" i="17"/>
  <c r="O255" i="17" s="1"/>
  <c r="K255" i="17"/>
  <c r="L255" i="17"/>
  <c r="M255" i="17" s="1"/>
  <c r="J256" i="17"/>
  <c r="O256" i="17" s="1"/>
  <c r="K256" i="17"/>
  <c r="L256" i="17"/>
  <c r="M256" i="17" s="1"/>
  <c r="J257" i="17"/>
  <c r="O257" i="17" s="1"/>
  <c r="K257" i="17"/>
  <c r="L257" i="17"/>
  <c r="M257" i="17" s="1"/>
  <c r="J258" i="17"/>
  <c r="O258" i="17" s="1"/>
  <c r="K258" i="17"/>
  <c r="L258" i="17"/>
  <c r="M258" i="17" s="1"/>
  <c r="J259" i="17"/>
  <c r="O259" i="17" s="1"/>
  <c r="K259" i="17"/>
  <c r="L259" i="17"/>
  <c r="M259" i="17" s="1"/>
  <c r="J260" i="17"/>
  <c r="O260" i="17" s="1"/>
  <c r="K260" i="17"/>
  <c r="L260" i="17"/>
  <c r="M260" i="17" s="1"/>
  <c r="J261" i="17"/>
  <c r="O261" i="17" s="1"/>
  <c r="K261" i="17"/>
  <c r="L261" i="17"/>
  <c r="M261" i="17" s="1"/>
  <c r="J262" i="17"/>
  <c r="O262" i="17" s="1"/>
  <c r="K262" i="17"/>
  <c r="L262" i="17"/>
  <c r="M262" i="17" s="1"/>
  <c r="J263" i="17"/>
  <c r="O263" i="17" s="1"/>
  <c r="K263" i="17"/>
  <c r="L263" i="17"/>
  <c r="M263" i="17" s="1"/>
  <c r="J264" i="17"/>
  <c r="O264" i="17" s="1"/>
  <c r="K264" i="17"/>
  <c r="L264" i="17"/>
  <c r="M264" i="17" s="1"/>
  <c r="J265" i="17"/>
  <c r="O265" i="17" s="1"/>
  <c r="K265" i="17"/>
  <c r="L265" i="17"/>
  <c r="M265" i="17" s="1"/>
  <c r="J266" i="17"/>
  <c r="O266" i="17" s="1"/>
  <c r="K266" i="17"/>
  <c r="L266" i="17"/>
  <c r="M266" i="17" s="1"/>
  <c r="J267" i="17"/>
  <c r="O267" i="17" s="1"/>
  <c r="K267" i="17"/>
  <c r="L267" i="17"/>
  <c r="M267" i="17" s="1"/>
  <c r="J268" i="17"/>
  <c r="O268" i="17" s="1"/>
  <c r="K268" i="17"/>
  <c r="L268" i="17"/>
  <c r="M268" i="17" s="1"/>
  <c r="J269" i="17"/>
  <c r="O269" i="17" s="1"/>
  <c r="K269" i="17"/>
  <c r="L269" i="17"/>
  <c r="M269" i="17" s="1"/>
  <c r="J270" i="17"/>
  <c r="O270" i="17" s="1"/>
  <c r="K270" i="17"/>
  <c r="L270" i="17"/>
  <c r="M270" i="17" s="1"/>
  <c r="J271" i="17"/>
  <c r="O271" i="17" s="1"/>
  <c r="K271" i="17"/>
  <c r="L271" i="17"/>
  <c r="M271" i="17" s="1"/>
  <c r="J272" i="17"/>
  <c r="O272" i="17" s="1"/>
  <c r="K272" i="17"/>
  <c r="L272" i="17"/>
  <c r="M272" i="17" s="1"/>
  <c r="J273" i="17"/>
  <c r="O273" i="17" s="1"/>
  <c r="K273" i="17"/>
  <c r="L273" i="17"/>
  <c r="M273" i="17" s="1"/>
  <c r="J274" i="17"/>
  <c r="O274" i="17" s="1"/>
  <c r="K274" i="17"/>
  <c r="L274" i="17"/>
  <c r="M274" i="17" s="1"/>
  <c r="J275" i="17"/>
  <c r="O275" i="17" s="1"/>
  <c r="K275" i="17"/>
  <c r="L275" i="17"/>
  <c r="M275" i="17" s="1"/>
  <c r="J276" i="17"/>
  <c r="O276" i="17" s="1"/>
  <c r="K276" i="17"/>
  <c r="L276" i="17"/>
  <c r="M276" i="17" s="1"/>
  <c r="J277" i="17"/>
  <c r="O277" i="17" s="1"/>
  <c r="K277" i="17"/>
  <c r="L277" i="17"/>
  <c r="M277" i="17" s="1"/>
  <c r="J278" i="17"/>
  <c r="O278" i="17" s="1"/>
  <c r="K278" i="17"/>
  <c r="L278" i="17"/>
  <c r="M278" i="17" s="1"/>
  <c r="J279" i="17"/>
  <c r="O279" i="17" s="1"/>
  <c r="K279" i="17"/>
  <c r="L279" i="17"/>
  <c r="M279" i="17" s="1"/>
  <c r="J280" i="17"/>
  <c r="O280" i="17" s="1"/>
  <c r="K280" i="17"/>
  <c r="L280" i="17"/>
  <c r="M280" i="17" s="1"/>
  <c r="J281" i="17"/>
  <c r="O281" i="17" s="1"/>
  <c r="K281" i="17"/>
  <c r="L281" i="17"/>
  <c r="M281" i="17" s="1"/>
  <c r="J282" i="17"/>
  <c r="O282" i="17" s="1"/>
  <c r="K282" i="17"/>
  <c r="L282" i="17"/>
  <c r="M282" i="17" s="1"/>
  <c r="J283" i="17"/>
  <c r="O283" i="17" s="1"/>
  <c r="K283" i="17"/>
  <c r="L283" i="17"/>
  <c r="M283" i="17" s="1"/>
  <c r="J284" i="17"/>
  <c r="O284" i="17" s="1"/>
  <c r="K284" i="17"/>
  <c r="L284" i="17"/>
  <c r="M284" i="17" s="1"/>
  <c r="J285" i="17"/>
  <c r="O285" i="17" s="1"/>
  <c r="K285" i="17"/>
  <c r="L285" i="17"/>
  <c r="M285" i="17" s="1"/>
  <c r="J286" i="17"/>
  <c r="O286" i="17" s="1"/>
  <c r="K286" i="17"/>
  <c r="L286" i="17"/>
  <c r="M286" i="17" s="1"/>
  <c r="J287" i="17"/>
  <c r="O287" i="17" s="1"/>
  <c r="K287" i="17"/>
  <c r="L287" i="17"/>
  <c r="M287" i="17" s="1"/>
  <c r="J288" i="17"/>
  <c r="O288" i="17" s="1"/>
  <c r="K288" i="17"/>
  <c r="L288" i="17"/>
  <c r="M288" i="17" s="1"/>
  <c r="J289" i="17"/>
  <c r="O289" i="17" s="1"/>
  <c r="K289" i="17"/>
  <c r="L289" i="17"/>
  <c r="M289" i="17" s="1"/>
  <c r="J290" i="17"/>
  <c r="O290" i="17" s="1"/>
  <c r="K290" i="17"/>
  <c r="L290" i="17"/>
  <c r="M290" i="17" s="1"/>
  <c r="J291" i="17"/>
  <c r="O291" i="17" s="1"/>
  <c r="K291" i="17"/>
  <c r="L291" i="17"/>
  <c r="M291" i="17" s="1"/>
  <c r="J292" i="17"/>
  <c r="O292" i="17" s="1"/>
  <c r="K292" i="17"/>
  <c r="L292" i="17"/>
  <c r="M292" i="17" s="1"/>
  <c r="J293" i="17"/>
  <c r="O293" i="17" s="1"/>
  <c r="K293" i="17"/>
  <c r="L293" i="17"/>
  <c r="M293" i="17" s="1"/>
  <c r="J294" i="17"/>
  <c r="O294" i="17" s="1"/>
  <c r="K294" i="17"/>
  <c r="L294" i="17"/>
  <c r="M294" i="17" s="1"/>
  <c r="J295" i="17"/>
  <c r="O295" i="17" s="1"/>
  <c r="K295" i="17"/>
  <c r="L295" i="17"/>
  <c r="M295" i="17" s="1"/>
  <c r="J296" i="17"/>
  <c r="O296" i="17" s="1"/>
  <c r="K296" i="17"/>
  <c r="L296" i="17"/>
  <c r="M296" i="17" s="1"/>
  <c r="J297" i="17"/>
  <c r="O297" i="17" s="1"/>
  <c r="K297" i="17"/>
  <c r="L297" i="17"/>
  <c r="M297" i="17" s="1"/>
  <c r="J298" i="17"/>
  <c r="O298" i="17" s="1"/>
  <c r="K298" i="17"/>
  <c r="L298" i="17"/>
  <c r="M298" i="17" s="1"/>
  <c r="J299" i="17"/>
  <c r="O299" i="17" s="1"/>
  <c r="K299" i="17"/>
  <c r="L299" i="17"/>
  <c r="M299" i="17" s="1"/>
  <c r="J300" i="17"/>
  <c r="O300" i="17" s="1"/>
  <c r="K300" i="17"/>
  <c r="L300" i="17"/>
  <c r="M300" i="17" s="1"/>
  <c r="J301" i="17"/>
  <c r="O301" i="17" s="1"/>
  <c r="K301" i="17"/>
  <c r="L301" i="17"/>
  <c r="M301" i="17" s="1"/>
  <c r="J302" i="17"/>
  <c r="O302" i="17" s="1"/>
  <c r="K302" i="17"/>
  <c r="L302" i="17"/>
  <c r="M302" i="17" s="1"/>
  <c r="J303" i="17"/>
  <c r="O303" i="17" s="1"/>
  <c r="K303" i="17"/>
  <c r="L303" i="17"/>
  <c r="M303" i="17" s="1"/>
  <c r="J304" i="17"/>
  <c r="O304" i="17" s="1"/>
  <c r="K304" i="17"/>
  <c r="L304" i="17"/>
  <c r="M304" i="17" s="1"/>
  <c r="J305" i="17"/>
  <c r="O305" i="17" s="1"/>
  <c r="K305" i="17"/>
  <c r="L305" i="17"/>
  <c r="M305" i="17" s="1"/>
  <c r="J306" i="17"/>
  <c r="O306" i="17" s="1"/>
  <c r="K306" i="17"/>
  <c r="L306" i="17"/>
  <c r="J307" i="17"/>
  <c r="O307" i="17" s="1"/>
  <c r="K307" i="17"/>
  <c r="L307" i="17"/>
  <c r="M307" i="17" s="1"/>
  <c r="J308" i="17"/>
  <c r="O308" i="17" s="1"/>
  <c r="K308" i="17"/>
  <c r="L308" i="17"/>
  <c r="M308" i="17" s="1"/>
  <c r="J309" i="17"/>
  <c r="O309" i="17" s="1"/>
  <c r="K309" i="17"/>
  <c r="L309" i="17"/>
  <c r="M309" i="17" s="1"/>
  <c r="J310" i="17"/>
  <c r="O310" i="17" s="1"/>
  <c r="K310" i="17"/>
  <c r="L310" i="17"/>
  <c r="M310" i="17" s="1"/>
  <c r="J311" i="17"/>
  <c r="O311" i="17" s="1"/>
  <c r="K311" i="17"/>
  <c r="L311" i="17"/>
  <c r="M311" i="17" s="1"/>
  <c r="J312" i="17"/>
  <c r="O312" i="17" s="1"/>
  <c r="K312" i="17"/>
  <c r="L312" i="17"/>
  <c r="M312" i="17" s="1"/>
  <c r="J313" i="17"/>
  <c r="O313" i="17" s="1"/>
  <c r="K313" i="17"/>
  <c r="L313" i="17"/>
  <c r="M313" i="17" s="1"/>
  <c r="J314" i="17"/>
  <c r="O314" i="17" s="1"/>
  <c r="K314" i="17"/>
  <c r="L314" i="17"/>
  <c r="M314" i="17" s="1"/>
  <c r="J315" i="17"/>
  <c r="O315" i="17" s="1"/>
  <c r="K315" i="17"/>
  <c r="L315" i="17"/>
  <c r="M315" i="17" s="1"/>
  <c r="J316" i="17"/>
  <c r="O316" i="17" s="1"/>
  <c r="K316" i="17"/>
  <c r="L316" i="17"/>
  <c r="M316" i="17" s="1"/>
  <c r="J317" i="17"/>
  <c r="O317" i="17" s="1"/>
  <c r="K317" i="17"/>
  <c r="L317" i="17"/>
  <c r="M317" i="17" s="1"/>
  <c r="J318" i="17"/>
  <c r="O318" i="17" s="1"/>
  <c r="K318" i="17"/>
  <c r="L318" i="17"/>
  <c r="M318" i="17" s="1"/>
  <c r="J319" i="17"/>
  <c r="O319" i="17" s="1"/>
  <c r="K319" i="17"/>
  <c r="L319" i="17"/>
  <c r="M319" i="17" s="1"/>
  <c r="J320" i="17"/>
  <c r="O320" i="17" s="1"/>
  <c r="K320" i="17"/>
  <c r="L320" i="17"/>
  <c r="M320" i="17" s="1"/>
  <c r="J321" i="17"/>
  <c r="O321" i="17" s="1"/>
  <c r="K321" i="17"/>
  <c r="L321" i="17"/>
  <c r="M321" i="17" s="1"/>
  <c r="J322" i="17"/>
  <c r="O322" i="17" s="1"/>
  <c r="K322" i="17"/>
  <c r="L322" i="17"/>
  <c r="M322" i="17" s="1"/>
  <c r="J323" i="17"/>
  <c r="O323" i="17" s="1"/>
  <c r="K323" i="17"/>
  <c r="L323" i="17"/>
  <c r="M323" i="17" s="1"/>
  <c r="J324" i="17"/>
  <c r="O324" i="17" s="1"/>
  <c r="K324" i="17"/>
  <c r="L324" i="17"/>
  <c r="M324" i="17" s="1"/>
  <c r="J325" i="17"/>
  <c r="O325" i="17" s="1"/>
  <c r="K325" i="17"/>
  <c r="L325" i="17"/>
  <c r="M325" i="17" s="1"/>
  <c r="J326" i="17"/>
  <c r="O326" i="17" s="1"/>
  <c r="K326" i="17"/>
  <c r="L326" i="17"/>
  <c r="M326" i="17" s="1"/>
  <c r="J327" i="17"/>
  <c r="O327" i="17" s="1"/>
  <c r="K327" i="17"/>
  <c r="L327" i="17"/>
  <c r="M327" i="17" s="1"/>
  <c r="J328" i="17"/>
  <c r="O328" i="17" s="1"/>
  <c r="K328" i="17"/>
  <c r="L328" i="17"/>
  <c r="M328" i="17" s="1"/>
  <c r="J329" i="17"/>
  <c r="O329" i="17" s="1"/>
  <c r="K329" i="17"/>
  <c r="L329" i="17"/>
  <c r="M329" i="17" s="1"/>
  <c r="J330" i="17"/>
  <c r="O330" i="17" s="1"/>
  <c r="K330" i="17"/>
  <c r="L330" i="17"/>
  <c r="M330" i="17" s="1"/>
  <c r="J331" i="17"/>
  <c r="O331" i="17" s="1"/>
  <c r="K331" i="17"/>
  <c r="L331" i="17"/>
  <c r="M331" i="17" s="1"/>
  <c r="J332" i="17"/>
  <c r="O332" i="17" s="1"/>
  <c r="K332" i="17"/>
  <c r="L332" i="17"/>
  <c r="M332" i="17" s="1"/>
  <c r="J333" i="17"/>
  <c r="O333" i="17" s="1"/>
  <c r="K333" i="17"/>
  <c r="L333" i="17"/>
  <c r="M333" i="17" s="1"/>
  <c r="J334" i="17"/>
  <c r="O334" i="17" s="1"/>
  <c r="K334" i="17"/>
  <c r="L334" i="17"/>
  <c r="M334" i="17" s="1"/>
  <c r="J335" i="17"/>
  <c r="O335" i="17" s="1"/>
  <c r="K335" i="17"/>
  <c r="L335" i="17"/>
  <c r="M335" i="17" s="1"/>
  <c r="J336" i="17"/>
  <c r="O336" i="17" s="1"/>
  <c r="K336" i="17"/>
  <c r="L336" i="17"/>
  <c r="M336" i="17" s="1"/>
  <c r="J337" i="17"/>
  <c r="O337" i="17" s="1"/>
  <c r="K337" i="17"/>
  <c r="L337" i="17"/>
  <c r="M337" i="17" s="1"/>
  <c r="J338" i="17"/>
  <c r="O338" i="17" s="1"/>
  <c r="K338" i="17"/>
  <c r="L338" i="17"/>
  <c r="M338" i="17" s="1"/>
  <c r="J339" i="17"/>
  <c r="O339" i="17" s="1"/>
  <c r="K339" i="17"/>
  <c r="L339" i="17"/>
  <c r="M339" i="17" s="1"/>
  <c r="J340" i="17"/>
  <c r="O340" i="17" s="1"/>
  <c r="K340" i="17"/>
  <c r="L340" i="17"/>
  <c r="M340" i="17" s="1"/>
  <c r="J341" i="17"/>
  <c r="O341" i="17" s="1"/>
  <c r="K341" i="17"/>
  <c r="L341" i="17"/>
  <c r="M341" i="17" s="1"/>
  <c r="J342" i="17"/>
  <c r="O342" i="17" s="1"/>
  <c r="K342" i="17"/>
  <c r="L342" i="17"/>
  <c r="M342" i="17" s="1"/>
  <c r="J343" i="17"/>
  <c r="O343" i="17" s="1"/>
  <c r="K343" i="17"/>
  <c r="L343" i="17"/>
  <c r="J344" i="17"/>
  <c r="O344" i="17" s="1"/>
  <c r="K344" i="17"/>
  <c r="L344" i="17"/>
  <c r="M344" i="17" s="1"/>
  <c r="J345" i="17"/>
  <c r="O345" i="17" s="1"/>
  <c r="K345" i="17"/>
  <c r="L345" i="17"/>
  <c r="M345" i="17" s="1"/>
  <c r="J346" i="17"/>
  <c r="O346" i="17" s="1"/>
  <c r="K346" i="17"/>
  <c r="L346" i="17"/>
  <c r="M346" i="17" s="1"/>
  <c r="J347" i="17"/>
  <c r="O347" i="17" s="1"/>
  <c r="K347" i="17"/>
  <c r="L347" i="17"/>
  <c r="M347" i="17" s="1"/>
  <c r="J348" i="17"/>
  <c r="O348" i="17" s="1"/>
  <c r="K348" i="17"/>
  <c r="L348" i="17"/>
  <c r="M348" i="17" s="1"/>
  <c r="J349" i="17"/>
  <c r="O349" i="17" s="1"/>
  <c r="K349" i="17"/>
  <c r="L349" i="17"/>
  <c r="M349" i="17" s="1"/>
  <c r="J350" i="17"/>
  <c r="O350" i="17" s="1"/>
  <c r="K350" i="17"/>
  <c r="L350" i="17"/>
  <c r="M350" i="17" s="1"/>
  <c r="J351" i="17"/>
  <c r="O351" i="17" s="1"/>
  <c r="K351" i="17"/>
  <c r="L351" i="17"/>
  <c r="M351" i="17" s="1"/>
  <c r="J352" i="17"/>
  <c r="O352" i="17" s="1"/>
  <c r="K352" i="17"/>
  <c r="L352" i="17"/>
  <c r="M352" i="17" s="1"/>
  <c r="J353" i="17"/>
  <c r="O353" i="17" s="1"/>
  <c r="K353" i="17"/>
  <c r="L353" i="17"/>
  <c r="M353" i="17" s="1"/>
  <c r="J354" i="17"/>
  <c r="O354" i="17" s="1"/>
  <c r="K354" i="17"/>
  <c r="L354" i="17"/>
  <c r="M354" i="17" s="1"/>
  <c r="J355" i="17"/>
  <c r="O355" i="17" s="1"/>
  <c r="K355" i="17"/>
  <c r="L355" i="17"/>
  <c r="M355" i="17" s="1"/>
  <c r="J356" i="17"/>
  <c r="O356" i="17" s="1"/>
  <c r="K356" i="17"/>
  <c r="L356" i="17"/>
  <c r="M356" i="17" s="1"/>
  <c r="J357" i="17"/>
  <c r="O357" i="17" s="1"/>
  <c r="K357" i="17"/>
  <c r="L357" i="17"/>
  <c r="M357" i="17" s="1"/>
  <c r="J358" i="17"/>
  <c r="O358" i="17" s="1"/>
  <c r="K358" i="17"/>
  <c r="L358" i="17"/>
  <c r="M358" i="17" s="1"/>
  <c r="J359" i="17"/>
  <c r="O359" i="17" s="1"/>
  <c r="K359" i="17"/>
  <c r="L359" i="17"/>
  <c r="M359" i="17" s="1"/>
  <c r="J360" i="17"/>
  <c r="O360" i="17" s="1"/>
  <c r="K360" i="17"/>
  <c r="L360" i="17"/>
  <c r="M360" i="17" s="1"/>
  <c r="J361" i="17"/>
  <c r="O361" i="17" s="1"/>
  <c r="K361" i="17"/>
  <c r="L361" i="17"/>
  <c r="M361" i="17" s="1"/>
  <c r="J362" i="17"/>
  <c r="O362" i="17" s="1"/>
  <c r="K362" i="17"/>
  <c r="L362" i="17"/>
  <c r="M362" i="17" s="1"/>
  <c r="J363" i="17"/>
  <c r="O363" i="17" s="1"/>
  <c r="K363" i="17"/>
  <c r="L363" i="17"/>
  <c r="M363" i="17" s="1"/>
  <c r="J364" i="17"/>
  <c r="O364" i="17" s="1"/>
  <c r="K364" i="17"/>
  <c r="L364" i="17"/>
  <c r="M364" i="17" s="1"/>
  <c r="J365" i="17"/>
  <c r="O365" i="17" s="1"/>
  <c r="K365" i="17"/>
  <c r="L365" i="17"/>
  <c r="M365" i="17" s="1"/>
  <c r="J366" i="17"/>
  <c r="O366" i="17" s="1"/>
  <c r="K366" i="17"/>
  <c r="L366" i="17"/>
  <c r="M366" i="17" s="1"/>
  <c r="J367" i="17"/>
  <c r="O367" i="17" s="1"/>
  <c r="K367" i="17"/>
  <c r="L367" i="17"/>
  <c r="M367" i="17" s="1"/>
  <c r="J368" i="17"/>
  <c r="O368" i="17" s="1"/>
  <c r="K368" i="17"/>
  <c r="L368" i="17"/>
  <c r="M368" i="17" s="1"/>
  <c r="J369" i="17"/>
  <c r="O369" i="17" s="1"/>
  <c r="K369" i="17"/>
  <c r="L369" i="17"/>
  <c r="M369" i="17" s="1"/>
  <c r="J370" i="17"/>
  <c r="O370" i="17" s="1"/>
  <c r="K370" i="17"/>
  <c r="L370" i="17"/>
  <c r="M370" i="17" s="1"/>
  <c r="J371" i="17"/>
  <c r="O371" i="17" s="1"/>
  <c r="K371" i="17"/>
  <c r="L371" i="17"/>
  <c r="M371" i="17" s="1"/>
  <c r="J372" i="17"/>
  <c r="O372" i="17" s="1"/>
  <c r="K372" i="17"/>
  <c r="L372" i="17"/>
  <c r="M372" i="17" s="1"/>
  <c r="J373" i="17"/>
  <c r="O373" i="17" s="1"/>
  <c r="K373" i="17"/>
  <c r="L373" i="17"/>
  <c r="J374" i="17"/>
  <c r="O374" i="17" s="1"/>
  <c r="K374" i="17"/>
  <c r="L374" i="17"/>
  <c r="M374" i="17" s="1"/>
  <c r="J375" i="17"/>
  <c r="O375" i="17" s="1"/>
  <c r="K375" i="17"/>
  <c r="L375" i="17"/>
  <c r="M375" i="17" s="1"/>
  <c r="J376" i="17"/>
  <c r="O376" i="17" s="1"/>
  <c r="K376" i="17"/>
  <c r="L376" i="17"/>
  <c r="M376" i="17" s="1"/>
  <c r="J377" i="17"/>
  <c r="O377" i="17" s="1"/>
  <c r="K377" i="17"/>
  <c r="L377" i="17"/>
  <c r="M377" i="17" s="1"/>
  <c r="J378" i="17"/>
  <c r="O378" i="17" s="1"/>
  <c r="K378" i="17"/>
  <c r="L378" i="17"/>
  <c r="M378" i="17" s="1"/>
  <c r="J379" i="17"/>
  <c r="O379" i="17" s="1"/>
  <c r="K379" i="17"/>
  <c r="L379" i="17"/>
  <c r="M379" i="17" s="1"/>
  <c r="J380" i="17"/>
  <c r="O380" i="17" s="1"/>
  <c r="K380" i="17"/>
  <c r="L380" i="17"/>
  <c r="M380" i="17" s="1"/>
  <c r="J381" i="17"/>
  <c r="O381" i="17" s="1"/>
  <c r="K381" i="17"/>
  <c r="L381" i="17"/>
  <c r="M381" i="17" s="1"/>
  <c r="J382" i="17"/>
  <c r="O382" i="17" s="1"/>
  <c r="K382" i="17"/>
  <c r="L382" i="17"/>
  <c r="M382" i="17" s="1"/>
  <c r="J383" i="17"/>
  <c r="O383" i="17" s="1"/>
  <c r="K383" i="17"/>
  <c r="L383" i="17"/>
  <c r="M383" i="17" s="1"/>
  <c r="J384" i="17"/>
  <c r="O384" i="17" s="1"/>
  <c r="K384" i="17"/>
  <c r="L384" i="17"/>
  <c r="M384" i="17" s="1"/>
  <c r="J385" i="17"/>
  <c r="O385" i="17" s="1"/>
  <c r="K385" i="17"/>
  <c r="L385" i="17"/>
  <c r="M385" i="17" s="1"/>
  <c r="J386" i="17"/>
  <c r="O386" i="17" s="1"/>
  <c r="K386" i="17"/>
  <c r="L386" i="17"/>
  <c r="M386" i="17" s="1"/>
  <c r="J387" i="17"/>
  <c r="O387" i="17" s="1"/>
  <c r="K387" i="17"/>
  <c r="L387" i="17"/>
  <c r="M387" i="17" s="1"/>
  <c r="J388" i="17"/>
  <c r="O388" i="17" s="1"/>
  <c r="K388" i="17"/>
  <c r="L388" i="17"/>
  <c r="M388" i="17" s="1"/>
  <c r="J389" i="17"/>
  <c r="O389" i="17" s="1"/>
  <c r="K389" i="17"/>
  <c r="L389" i="17"/>
  <c r="M389" i="17" s="1"/>
  <c r="J390" i="17"/>
  <c r="O390" i="17" s="1"/>
  <c r="K390" i="17"/>
  <c r="L390" i="17"/>
  <c r="M390" i="17" s="1"/>
  <c r="J391" i="17"/>
  <c r="O391" i="17" s="1"/>
  <c r="K391" i="17"/>
  <c r="L391" i="17"/>
  <c r="M391" i="17" s="1"/>
  <c r="J392" i="17"/>
  <c r="O392" i="17" s="1"/>
  <c r="K392" i="17"/>
  <c r="L392" i="17"/>
  <c r="M392" i="17" s="1"/>
  <c r="J393" i="17"/>
  <c r="O393" i="17" s="1"/>
  <c r="K393" i="17"/>
  <c r="L393" i="17"/>
  <c r="M393" i="17" s="1"/>
  <c r="J394" i="17"/>
  <c r="O394" i="17" s="1"/>
  <c r="K394" i="17"/>
  <c r="L394" i="17"/>
  <c r="M394" i="17" s="1"/>
  <c r="J395" i="17"/>
  <c r="O395" i="17" s="1"/>
  <c r="K395" i="17"/>
  <c r="L395" i="17"/>
  <c r="M395" i="17" s="1"/>
  <c r="J396" i="17"/>
  <c r="O396" i="17" s="1"/>
  <c r="K396" i="17"/>
  <c r="L396" i="17"/>
  <c r="M396" i="17" s="1"/>
  <c r="J397" i="17"/>
  <c r="O397" i="17" s="1"/>
  <c r="K397" i="17"/>
  <c r="L397" i="17"/>
  <c r="M397" i="17" s="1"/>
  <c r="J398" i="17"/>
  <c r="O398" i="17" s="1"/>
  <c r="K398" i="17"/>
  <c r="L398" i="17"/>
  <c r="M398" i="17" s="1"/>
  <c r="J399" i="17"/>
  <c r="O399" i="17" s="1"/>
  <c r="K399" i="17"/>
  <c r="L399" i="17"/>
  <c r="M399" i="17" s="1"/>
  <c r="J400" i="17"/>
  <c r="O400" i="17" s="1"/>
  <c r="K400" i="17"/>
  <c r="L400" i="17"/>
  <c r="M400" i="17" s="1"/>
  <c r="J401" i="17"/>
  <c r="O401" i="17" s="1"/>
  <c r="K401" i="17"/>
  <c r="L401" i="17"/>
  <c r="J402" i="17"/>
  <c r="O402" i="17" s="1"/>
  <c r="K402" i="17"/>
  <c r="L402" i="17"/>
  <c r="M402" i="17" s="1"/>
  <c r="J403" i="17"/>
  <c r="O403" i="17" s="1"/>
  <c r="K403" i="17"/>
  <c r="L403" i="17"/>
  <c r="M403" i="17" s="1"/>
  <c r="J404" i="17"/>
  <c r="O404" i="17" s="1"/>
  <c r="K404" i="17"/>
  <c r="L404" i="17"/>
  <c r="M404" i="17" s="1"/>
  <c r="J405" i="17"/>
  <c r="O405" i="17" s="1"/>
  <c r="K405" i="17"/>
  <c r="L405" i="17"/>
  <c r="M405" i="17" s="1"/>
  <c r="J406" i="17"/>
  <c r="O406" i="17" s="1"/>
  <c r="K406" i="17"/>
  <c r="L406" i="17"/>
  <c r="M406" i="17" s="1"/>
  <c r="J407" i="17"/>
  <c r="O407" i="17" s="1"/>
  <c r="K407" i="17"/>
  <c r="L407" i="17"/>
  <c r="M407" i="17" s="1"/>
  <c r="J408" i="17"/>
  <c r="O408" i="17" s="1"/>
  <c r="K408" i="17"/>
  <c r="L408" i="17"/>
  <c r="M408" i="17" s="1"/>
  <c r="J409" i="17"/>
  <c r="O409" i="17" s="1"/>
  <c r="K409" i="17"/>
  <c r="L409" i="17"/>
  <c r="M409" i="17" s="1"/>
  <c r="J410" i="17"/>
  <c r="O410" i="17" s="1"/>
  <c r="K410" i="17"/>
  <c r="L410" i="17"/>
  <c r="M410" i="17" s="1"/>
  <c r="J411" i="17"/>
  <c r="O411" i="17" s="1"/>
  <c r="K411" i="17"/>
  <c r="L411" i="17"/>
  <c r="M411" i="17" s="1"/>
  <c r="J412" i="17"/>
  <c r="O412" i="17" s="1"/>
  <c r="K412" i="17"/>
  <c r="L412" i="17"/>
  <c r="M412" i="17" s="1"/>
  <c r="J413" i="17"/>
  <c r="O413" i="17" s="1"/>
  <c r="K413" i="17"/>
  <c r="L413" i="17"/>
  <c r="M413" i="17" s="1"/>
  <c r="J414" i="17"/>
  <c r="O414" i="17" s="1"/>
  <c r="K414" i="17"/>
  <c r="L414" i="17"/>
  <c r="M414" i="17" s="1"/>
  <c r="J415" i="17"/>
  <c r="O415" i="17" s="1"/>
  <c r="K415" i="17"/>
  <c r="L415" i="17"/>
  <c r="M415" i="17" s="1"/>
  <c r="J416" i="17"/>
  <c r="O416" i="17" s="1"/>
  <c r="K416" i="17"/>
  <c r="L416" i="17"/>
  <c r="M416" i="17" s="1"/>
  <c r="J417" i="17"/>
  <c r="O417" i="17" s="1"/>
  <c r="K417" i="17"/>
  <c r="L417" i="17"/>
  <c r="M417" i="17" s="1"/>
  <c r="J418" i="17"/>
  <c r="O418" i="17" s="1"/>
  <c r="K418" i="17"/>
  <c r="L418" i="17"/>
  <c r="M418" i="17" s="1"/>
  <c r="J419" i="17"/>
  <c r="O419" i="17" s="1"/>
  <c r="K419" i="17"/>
  <c r="L419" i="17"/>
  <c r="M419" i="17" s="1"/>
  <c r="J420" i="17"/>
  <c r="O420" i="17" s="1"/>
  <c r="K420" i="17"/>
  <c r="L420" i="17"/>
  <c r="M420" i="17" s="1"/>
  <c r="J421" i="17"/>
  <c r="O421" i="17" s="1"/>
  <c r="K421" i="17"/>
  <c r="L421" i="17"/>
  <c r="M421" i="17" s="1"/>
  <c r="J422" i="17"/>
  <c r="O422" i="17" s="1"/>
  <c r="K422" i="17"/>
  <c r="L422" i="17"/>
  <c r="M422" i="17" s="1"/>
  <c r="J423" i="17"/>
  <c r="O423" i="17" s="1"/>
  <c r="K423" i="17"/>
  <c r="L423" i="17"/>
  <c r="M423" i="17" s="1"/>
  <c r="J424" i="17"/>
  <c r="O424" i="17" s="1"/>
  <c r="K424" i="17"/>
  <c r="L424" i="17"/>
  <c r="M424" i="17" s="1"/>
  <c r="J425" i="17"/>
  <c r="O425" i="17" s="1"/>
  <c r="K425" i="17"/>
  <c r="L425" i="17"/>
  <c r="M425" i="17" s="1"/>
  <c r="J426" i="17"/>
  <c r="O426" i="17" s="1"/>
  <c r="K426" i="17"/>
  <c r="L426" i="17"/>
  <c r="M426" i="17" s="1"/>
  <c r="J427" i="17"/>
  <c r="O427" i="17" s="1"/>
  <c r="K427" i="17"/>
  <c r="L427" i="17"/>
  <c r="M427" i="17" s="1"/>
  <c r="J428" i="17"/>
  <c r="O428" i="17" s="1"/>
  <c r="K428" i="17"/>
  <c r="L428" i="17"/>
  <c r="M428" i="17" s="1"/>
  <c r="J429" i="17"/>
  <c r="O429" i="17" s="1"/>
  <c r="K429" i="17"/>
  <c r="L429" i="17"/>
  <c r="M429" i="17" s="1"/>
  <c r="J430" i="17"/>
  <c r="O430" i="17" s="1"/>
  <c r="K430" i="17"/>
  <c r="L430" i="17"/>
  <c r="M430" i="17" s="1"/>
  <c r="J431" i="17"/>
  <c r="O431" i="17" s="1"/>
  <c r="K431" i="17"/>
  <c r="L431" i="17"/>
  <c r="M431" i="17" s="1"/>
  <c r="J432" i="17"/>
  <c r="O432" i="17" s="1"/>
  <c r="K432" i="17"/>
  <c r="L432" i="17"/>
  <c r="M432" i="17" s="1"/>
  <c r="J433" i="17"/>
  <c r="O433" i="17" s="1"/>
  <c r="K433" i="17"/>
  <c r="L433" i="17"/>
  <c r="M433" i="17" s="1"/>
  <c r="J434" i="17"/>
  <c r="O434" i="17" s="1"/>
  <c r="K434" i="17"/>
  <c r="L434" i="17"/>
  <c r="M434" i="17" s="1"/>
  <c r="J435" i="17"/>
  <c r="O435" i="17" s="1"/>
  <c r="K435" i="17"/>
  <c r="L435" i="17"/>
  <c r="M435" i="17" s="1"/>
  <c r="J436" i="17"/>
  <c r="O436" i="17" s="1"/>
  <c r="K436" i="17"/>
  <c r="L436" i="17"/>
  <c r="M436" i="17" s="1"/>
  <c r="J437" i="17"/>
  <c r="O437" i="17" s="1"/>
  <c r="K437" i="17"/>
  <c r="L437" i="17"/>
  <c r="M437" i="17" s="1"/>
  <c r="J438" i="17"/>
  <c r="O438" i="17" s="1"/>
  <c r="K438" i="17"/>
  <c r="L438" i="17"/>
  <c r="M438" i="17" s="1"/>
  <c r="J439" i="17"/>
  <c r="O439" i="17" s="1"/>
  <c r="K439" i="17"/>
  <c r="L439" i="17"/>
  <c r="M439" i="17" s="1"/>
  <c r="J440" i="17"/>
  <c r="O440" i="17" s="1"/>
  <c r="K440" i="17"/>
  <c r="L440" i="17"/>
  <c r="M440" i="17" s="1"/>
  <c r="J441" i="17"/>
  <c r="O441" i="17" s="1"/>
  <c r="K441" i="17"/>
  <c r="L441" i="17"/>
  <c r="M441" i="17" s="1"/>
  <c r="J442" i="17"/>
  <c r="O442" i="17" s="1"/>
  <c r="K442" i="17"/>
  <c r="L442" i="17"/>
  <c r="M442" i="17" s="1"/>
  <c r="J443" i="17"/>
  <c r="O443" i="17" s="1"/>
  <c r="K443" i="17"/>
  <c r="L443" i="17"/>
  <c r="M443" i="17" s="1"/>
  <c r="J444" i="17"/>
  <c r="O444" i="17" s="1"/>
  <c r="K444" i="17"/>
  <c r="L444" i="17"/>
  <c r="M444" i="17" s="1"/>
  <c r="J445" i="17"/>
  <c r="O445" i="17" s="1"/>
  <c r="K445" i="17"/>
  <c r="L445" i="17"/>
  <c r="M445" i="17" s="1"/>
  <c r="J446" i="17"/>
  <c r="O446" i="17" s="1"/>
  <c r="K446" i="17"/>
  <c r="L446" i="17"/>
  <c r="M446" i="17" s="1"/>
  <c r="J447" i="17"/>
  <c r="O447" i="17" s="1"/>
  <c r="K447" i="17"/>
  <c r="L447" i="17"/>
  <c r="M447" i="17" s="1"/>
  <c r="J448" i="17"/>
  <c r="O448" i="17" s="1"/>
  <c r="K448" i="17"/>
  <c r="L448" i="17"/>
  <c r="M448" i="17" s="1"/>
  <c r="J449" i="17"/>
  <c r="O449" i="17" s="1"/>
  <c r="K449" i="17"/>
  <c r="L449" i="17"/>
  <c r="M449" i="17" s="1"/>
  <c r="J450" i="17"/>
  <c r="O450" i="17" s="1"/>
  <c r="K450" i="17"/>
  <c r="L450" i="17"/>
  <c r="M450" i="17" s="1"/>
  <c r="J451" i="17"/>
  <c r="O451" i="17" s="1"/>
  <c r="K451" i="17"/>
  <c r="L451" i="17"/>
  <c r="M451" i="17" s="1"/>
  <c r="J452" i="17"/>
  <c r="O452" i="17" s="1"/>
  <c r="K452" i="17"/>
  <c r="L452" i="17"/>
  <c r="M452" i="17" s="1"/>
  <c r="J453" i="17"/>
  <c r="O453" i="17" s="1"/>
  <c r="K453" i="17"/>
  <c r="L453" i="17"/>
  <c r="M453" i="17" s="1"/>
  <c r="J454" i="17"/>
  <c r="O454" i="17" s="1"/>
  <c r="K454" i="17"/>
  <c r="L454" i="17"/>
  <c r="M454" i="17" s="1"/>
  <c r="J455" i="17"/>
  <c r="O455" i="17" s="1"/>
  <c r="K455" i="17"/>
  <c r="L455" i="17"/>
  <c r="M455" i="17" s="1"/>
  <c r="J456" i="17"/>
  <c r="O456" i="17" s="1"/>
  <c r="K456" i="17"/>
  <c r="L456" i="17"/>
  <c r="M456" i="17" s="1"/>
  <c r="J457" i="17"/>
  <c r="O457" i="17" s="1"/>
  <c r="K457" i="17"/>
  <c r="L457" i="17"/>
  <c r="M457" i="17" s="1"/>
  <c r="J458" i="17"/>
  <c r="O458" i="17" s="1"/>
  <c r="K458" i="17"/>
  <c r="L458" i="17"/>
  <c r="M458" i="17" s="1"/>
  <c r="J459" i="17"/>
  <c r="O459" i="17" s="1"/>
  <c r="K459" i="17"/>
  <c r="L459" i="17"/>
  <c r="M459" i="17" s="1"/>
  <c r="J460" i="17"/>
  <c r="O460" i="17" s="1"/>
  <c r="K460" i="17"/>
  <c r="L460" i="17"/>
  <c r="M460" i="17" s="1"/>
  <c r="J461" i="17"/>
  <c r="O461" i="17" s="1"/>
  <c r="K461" i="17"/>
  <c r="L461" i="17"/>
  <c r="M461" i="17" s="1"/>
  <c r="J462" i="17"/>
  <c r="O462" i="17" s="1"/>
  <c r="K462" i="17"/>
  <c r="L462" i="17"/>
  <c r="M462" i="17" s="1"/>
  <c r="J463" i="17"/>
  <c r="O463" i="17" s="1"/>
  <c r="K463" i="17"/>
  <c r="L463" i="17"/>
  <c r="M463" i="17" s="1"/>
  <c r="J464" i="17"/>
  <c r="O464" i="17" s="1"/>
  <c r="K464" i="17"/>
  <c r="L464" i="17"/>
  <c r="M464" i="17" s="1"/>
  <c r="J465" i="17"/>
  <c r="O465" i="17" s="1"/>
  <c r="K465" i="17"/>
  <c r="L465" i="17"/>
  <c r="M465" i="17" s="1"/>
  <c r="J466" i="17"/>
  <c r="O466" i="17" s="1"/>
  <c r="K466" i="17"/>
  <c r="L466" i="17"/>
  <c r="M466" i="17" s="1"/>
  <c r="J467" i="17"/>
  <c r="O467" i="17" s="1"/>
  <c r="K467" i="17"/>
  <c r="L467" i="17"/>
  <c r="M467" i="17" s="1"/>
  <c r="J468" i="17"/>
  <c r="O468" i="17" s="1"/>
  <c r="K468" i="17"/>
  <c r="L468" i="17"/>
  <c r="M468" i="17" s="1"/>
  <c r="J469" i="17"/>
  <c r="O469" i="17" s="1"/>
  <c r="K469" i="17"/>
  <c r="L469" i="17"/>
  <c r="M469" i="17" s="1"/>
  <c r="J470" i="17"/>
  <c r="O470" i="17" s="1"/>
  <c r="K470" i="17"/>
  <c r="L470" i="17"/>
  <c r="M470" i="17" s="1"/>
  <c r="J471" i="17"/>
  <c r="O471" i="17" s="1"/>
  <c r="K471" i="17"/>
  <c r="L471" i="17"/>
  <c r="J472" i="17"/>
  <c r="O472" i="17" s="1"/>
  <c r="K472" i="17"/>
  <c r="L472" i="17"/>
  <c r="M472" i="17" s="1"/>
  <c r="J473" i="17"/>
  <c r="O473" i="17" s="1"/>
  <c r="K473" i="17"/>
  <c r="L473" i="17"/>
  <c r="M473" i="17" s="1"/>
  <c r="J474" i="17"/>
  <c r="O474" i="17" s="1"/>
  <c r="K474" i="17"/>
  <c r="L474" i="17"/>
  <c r="M474" i="17" s="1"/>
  <c r="J475" i="17"/>
  <c r="O475" i="17" s="1"/>
  <c r="K475" i="17"/>
  <c r="L475" i="17"/>
  <c r="M475" i="17" s="1"/>
  <c r="J476" i="17"/>
  <c r="O476" i="17" s="1"/>
  <c r="K476" i="17"/>
  <c r="L476" i="17"/>
  <c r="M476" i="17" s="1"/>
  <c r="J477" i="17"/>
  <c r="O477" i="17" s="1"/>
  <c r="K477" i="17"/>
  <c r="L477" i="17"/>
  <c r="M477" i="17" s="1"/>
  <c r="J478" i="17"/>
  <c r="O478" i="17" s="1"/>
  <c r="K478" i="17"/>
  <c r="L478" i="17"/>
  <c r="M478" i="17" s="1"/>
  <c r="J479" i="17"/>
  <c r="O479" i="17" s="1"/>
  <c r="K479" i="17"/>
  <c r="L479" i="17"/>
  <c r="M479" i="17" s="1"/>
  <c r="J480" i="17"/>
  <c r="O480" i="17" s="1"/>
  <c r="K480" i="17"/>
  <c r="L480" i="17"/>
  <c r="M480" i="17" s="1"/>
  <c r="J481" i="17"/>
  <c r="O481" i="17" s="1"/>
  <c r="K481" i="17"/>
  <c r="L481" i="17"/>
  <c r="M481" i="17" s="1"/>
  <c r="J482" i="17"/>
  <c r="O482" i="17" s="1"/>
  <c r="K482" i="17"/>
  <c r="L482" i="17"/>
  <c r="M482" i="17" s="1"/>
  <c r="J483" i="17"/>
  <c r="O483" i="17" s="1"/>
  <c r="K483" i="17"/>
  <c r="L483" i="17"/>
  <c r="M483" i="17" s="1"/>
  <c r="J484" i="17"/>
  <c r="O484" i="17" s="1"/>
  <c r="K484" i="17"/>
  <c r="L484" i="17"/>
  <c r="M484" i="17" s="1"/>
  <c r="J485" i="17"/>
  <c r="O485" i="17" s="1"/>
  <c r="K485" i="17"/>
  <c r="L485" i="17"/>
  <c r="M485" i="17" s="1"/>
  <c r="J486" i="17"/>
  <c r="O486" i="17" s="1"/>
  <c r="K486" i="17"/>
  <c r="L486" i="17"/>
  <c r="M486" i="17" s="1"/>
  <c r="J487" i="17"/>
  <c r="O487" i="17" s="1"/>
  <c r="K487" i="17"/>
  <c r="L487" i="17"/>
  <c r="M487" i="17" s="1"/>
  <c r="J488" i="17"/>
  <c r="O488" i="17" s="1"/>
  <c r="K488" i="17"/>
  <c r="L488" i="17"/>
  <c r="M488" i="17" s="1"/>
  <c r="J489" i="17"/>
  <c r="O489" i="17" s="1"/>
  <c r="K489" i="17"/>
  <c r="L489" i="17"/>
  <c r="M489" i="17" s="1"/>
  <c r="J490" i="17"/>
  <c r="O490" i="17" s="1"/>
  <c r="K490" i="17"/>
  <c r="L490" i="17"/>
  <c r="M490" i="17" s="1"/>
  <c r="J491" i="17"/>
  <c r="O491" i="17" s="1"/>
  <c r="K491" i="17"/>
  <c r="L491" i="17"/>
  <c r="M491" i="17" s="1"/>
  <c r="J492" i="17"/>
  <c r="O492" i="17" s="1"/>
  <c r="K492" i="17"/>
  <c r="L492" i="17"/>
  <c r="M492" i="17" s="1"/>
  <c r="J493" i="17"/>
  <c r="O493" i="17" s="1"/>
  <c r="K493" i="17"/>
  <c r="L493" i="17"/>
  <c r="M493" i="17" s="1"/>
  <c r="J494" i="17"/>
  <c r="O494" i="17" s="1"/>
  <c r="K494" i="17"/>
  <c r="L494" i="17"/>
  <c r="M494" i="17" s="1"/>
  <c r="J495" i="17"/>
  <c r="O495" i="17" s="1"/>
  <c r="K495" i="17"/>
  <c r="L495" i="17"/>
  <c r="M495" i="17" s="1"/>
  <c r="J496" i="17"/>
  <c r="O496" i="17" s="1"/>
  <c r="K496" i="17"/>
  <c r="L496" i="17"/>
  <c r="M496" i="17" s="1"/>
  <c r="J497" i="17"/>
  <c r="O497" i="17" s="1"/>
  <c r="K497" i="17"/>
  <c r="L497" i="17"/>
  <c r="M497" i="17" s="1"/>
  <c r="J498" i="17"/>
  <c r="O498" i="17" s="1"/>
  <c r="K498" i="17"/>
  <c r="L498" i="17"/>
  <c r="M498" i="17" s="1"/>
  <c r="J499" i="17"/>
  <c r="O499" i="17" s="1"/>
  <c r="K499" i="17"/>
  <c r="L499" i="17"/>
  <c r="M499" i="17" s="1"/>
  <c r="J500" i="17"/>
  <c r="O500" i="17" s="1"/>
  <c r="K500" i="17"/>
  <c r="L500" i="17"/>
  <c r="M500" i="17" s="1"/>
  <c r="J501" i="17"/>
  <c r="O501" i="17" s="1"/>
  <c r="K501" i="17"/>
  <c r="L501" i="17"/>
  <c r="M501" i="17" s="1"/>
  <c r="J502" i="17"/>
  <c r="O502" i="17" s="1"/>
  <c r="K502" i="17"/>
  <c r="L502" i="17"/>
  <c r="M502" i="17" s="1"/>
  <c r="J503" i="17"/>
  <c r="O503" i="17" s="1"/>
  <c r="K503" i="17"/>
  <c r="L503" i="17"/>
  <c r="M503" i="17" s="1"/>
  <c r="J504" i="17"/>
  <c r="O504" i="17" s="1"/>
  <c r="K504" i="17"/>
  <c r="L504" i="17"/>
  <c r="M504" i="17" s="1"/>
  <c r="J505" i="17"/>
  <c r="O505" i="17" s="1"/>
  <c r="K505" i="17"/>
  <c r="L505" i="17"/>
  <c r="M505" i="17" s="1"/>
  <c r="J506" i="17"/>
  <c r="O506" i="17" s="1"/>
  <c r="K506" i="17"/>
  <c r="L506" i="17"/>
  <c r="M506" i="17" s="1"/>
  <c r="J507" i="17"/>
  <c r="O507" i="17" s="1"/>
  <c r="K507" i="17"/>
  <c r="L507" i="17"/>
  <c r="M507" i="17" s="1"/>
  <c r="J508" i="17"/>
  <c r="O508" i="17" s="1"/>
  <c r="K508" i="17"/>
  <c r="L508" i="17"/>
  <c r="M508" i="17" s="1"/>
  <c r="J509" i="17"/>
  <c r="O509" i="17" s="1"/>
  <c r="K509" i="17"/>
  <c r="L509" i="17"/>
  <c r="M509" i="17" s="1"/>
  <c r="J510" i="17"/>
  <c r="O510" i="17" s="1"/>
  <c r="K510" i="17"/>
  <c r="L510" i="17"/>
  <c r="M510" i="17" s="1"/>
  <c r="J511" i="17"/>
  <c r="O511" i="17" s="1"/>
  <c r="K511" i="17"/>
  <c r="L511" i="17"/>
  <c r="M511" i="17" s="1"/>
  <c r="J512" i="17"/>
  <c r="O512" i="17" s="1"/>
  <c r="K512" i="17"/>
  <c r="L512" i="17"/>
  <c r="M512" i="17" s="1"/>
  <c r="J513" i="17"/>
  <c r="O513" i="17" s="1"/>
  <c r="K513" i="17"/>
  <c r="L513" i="17"/>
  <c r="M513" i="17" s="1"/>
  <c r="J514" i="17"/>
  <c r="O514" i="17" s="1"/>
  <c r="K514" i="17"/>
  <c r="L514" i="17"/>
  <c r="J515" i="17"/>
  <c r="O515" i="17" s="1"/>
  <c r="K515" i="17"/>
  <c r="L515" i="17"/>
  <c r="M515" i="17" s="1"/>
  <c r="J516" i="17"/>
  <c r="O516" i="17" s="1"/>
  <c r="K516" i="17"/>
  <c r="L516" i="17"/>
  <c r="M516" i="17" s="1"/>
  <c r="J517" i="17"/>
  <c r="O517" i="17" s="1"/>
  <c r="K517" i="17"/>
  <c r="L517" i="17"/>
  <c r="M517" i="17" s="1"/>
  <c r="J518" i="17"/>
  <c r="O518" i="17" s="1"/>
  <c r="K518" i="17"/>
  <c r="L518" i="17"/>
  <c r="M518" i="17" s="1"/>
  <c r="J519" i="17"/>
  <c r="O519" i="17" s="1"/>
  <c r="K519" i="17"/>
  <c r="L519" i="17"/>
  <c r="M519" i="17" s="1"/>
  <c r="J520" i="17"/>
  <c r="O520" i="17" s="1"/>
  <c r="K520" i="17"/>
  <c r="L520" i="17"/>
  <c r="M520" i="17" s="1"/>
  <c r="J521" i="17"/>
  <c r="O521" i="17" s="1"/>
  <c r="K521" i="17"/>
  <c r="L521" i="17"/>
  <c r="M521" i="17" s="1"/>
  <c r="J522" i="17"/>
  <c r="O522" i="17" s="1"/>
  <c r="K522" i="17"/>
  <c r="L522" i="17"/>
  <c r="M522" i="17" s="1"/>
  <c r="J523" i="17"/>
  <c r="O523" i="17" s="1"/>
  <c r="K523" i="17"/>
  <c r="L523" i="17"/>
  <c r="M523" i="17" s="1"/>
  <c r="J524" i="17"/>
  <c r="O524" i="17" s="1"/>
  <c r="K524" i="17"/>
  <c r="L524" i="17"/>
  <c r="M524" i="17" s="1"/>
  <c r="J525" i="17"/>
  <c r="O525" i="17" s="1"/>
  <c r="K525" i="17"/>
  <c r="L525" i="17"/>
  <c r="M525" i="17" s="1"/>
  <c r="J526" i="17"/>
  <c r="O526" i="17" s="1"/>
  <c r="K526" i="17"/>
  <c r="L526" i="17"/>
  <c r="M526" i="17" s="1"/>
  <c r="J527" i="17"/>
  <c r="O527" i="17" s="1"/>
  <c r="K527" i="17"/>
  <c r="L527" i="17"/>
  <c r="M527" i="17" s="1"/>
  <c r="J528" i="17"/>
  <c r="O528" i="17" s="1"/>
  <c r="K528" i="17"/>
  <c r="L528" i="17"/>
  <c r="M528" i="17" s="1"/>
  <c r="J529" i="17"/>
  <c r="O529" i="17" s="1"/>
  <c r="K529" i="17"/>
  <c r="L529" i="17"/>
  <c r="M529" i="17" s="1"/>
  <c r="J530" i="17"/>
  <c r="O530" i="17" s="1"/>
  <c r="K530" i="17"/>
  <c r="L530" i="17"/>
  <c r="M530" i="17" s="1"/>
  <c r="J531" i="17"/>
  <c r="O531" i="17" s="1"/>
  <c r="K531" i="17"/>
  <c r="L531" i="17"/>
  <c r="M531" i="17" s="1"/>
  <c r="J532" i="17"/>
  <c r="O532" i="17" s="1"/>
  <c r="K532" i="17"/>
  <c r="L532" i="17"/>
  <c r="M532" i="17" s="1"/>
  <c r="J533" i="17"/>
  <c r="O533" i="17" s="1"/>
  <c r="K533" i="17"/>
  <c r="L533" i="17"/>
  <c r="M533" i="17" s="1"/>
  <c r="J534" i="17"/>
  <c r="O534" i="17" s="1"/>
  <c r="K534" i="17"/>
  <c r="L534" i="17"/>
  <c r="M534" i="17" s="1"/>
  <c r="J535" i="17"/>
  <c r="O535" i="17" s="1"/>
  <c r="K535" i="17"/>
  <c r="L535" i="17"/>
  <c r="M535" i="17" s="1"/>
  <c r="J536" i="17"/>
  <c r="O536" i="17" s="1"/>
  <c r="K536" i="17"/>
  <c r="L536" i="17"/>
  <c r="M536" i="17" s="1"/>
  <c r="J537" i="17"/>
  <c r="O537" i="17" s="1"/>
  <c r="K537" i="17"/>
  <c r="L537" i="17"/>
  <c r="M537" i="17" s="1"/>
  <c r="J538" i="17"/>
  <c r="O538" i="17" s="1"/>
  <c r="K538" i="17"/>
  <c r="L538" i="17"/>
  <c r="M538" i="17" s="1"/>
  <c r="J539" i="17"/>
  <c r="O539" i="17" s="1"/>
  <c r="K539" i="17"/>
  <c r="L539" i="17"/>
  <c r="M539" i="17" s="1"/>
  <c r="J540" i="17"/>
  <c r="O540" i="17" s="1"/>
  <c r="K540" i="17"/>
  <c r="L540" i="17"/>
  <c r="M540" i="17" s="1"/>
  <c r="J541" i="17"/>
  <c r="O541" i="17" s="1"/>
  <c r="K541" i="17"/>
  <c r="L541" i="17"/>
  <c r="M541" i="17" s="1"/>
  <c r="J542" i="17"/>
  <c r="O542" i="17" s="1"/>
  <c r="K542" i="17"/>
  <c r="L542" i="17"/>
  <c r="M542" i="17" s="1"/>
  <c r="J543" i="17"/>
  <c r="O543" i="17" s="1"/>
  <c r="K543" i="17"/>
  <c r="L543" i="17"/>
  <c r="M543" i="17" s="1"/>
  <c r="J544" i="17"/>
  <c r="O544" i="17" s="1"/>
  <c r="K544" i="17"/>
  <c r="L544" i="17"/>
  <c r="M544" i="17" s="1"/>
  <c r="J545" i="17"/>
  <c r="O545" i="17" s="1"/>
  <c r="K545" i="17"/>
  <c r="L545" i="17"/>
  <c r="M545" i="17" s="1"/>
  <c r="J546" i="17"/>
  <c r="O546" i="17" s="1"/>
  <c r="K546" i="17"/>
  <c r="L546" i="17"/>
  <c r="M546" i="17" s="1"/>
  <c r="J547" i="17"/>
  <c r="O547" i="17" s="1"/>
  <c r="K547" i="17"/>
  <c r="L547" i="17"/>
  <c r="M547" i="17" s="1"/>
  <c r="J548" i="17"/>
  <c r="O548" i="17" s="1"/>
  <c r="K548" i="17"/>
  <c r="L548" i="17"/>
  <c r="M548" i="17" s="1"/>
  <c r="J549" i="17"/>
  <c r="O549" i="17" s="1"/>
  <c r="K549" i="17"/>
  <c r="L549" i="17"/>
  <c r="M549" i="17" s="1"/>
  <c r="J550" i="17"/>
  <c r="O550" i="17" s="1"/>
  <c r="K550" i="17"/>
  <c r="L550" i="17"/>
  <c r="M550" i="17" s="1"/>
  <c r="J551" i="17"/>
  <c r="O551" i="17" s="1"/>
  <c r="K551" i="17"/>
  <c r="L551" i="17"/>
  <c r="M551" i="17" s="1"/>
  <c r="J552" i="17"/>
  <c r="O552" i="17" s="1"/>
  <c r="K552" i="17"/>
  <c r="L552" i="17"/>
  <c r="M552" i="17" s="1"/>
  <c r="J553" i="17"/>
  <c r="O553" i="17" s="1"/>
  <c r="K553" i="17"/>
  <c r="L553" i="17"/>
  <c r="M553" i="17" s="1"/>
  <c r="J554" i="17"/>
  <c r="O554" i="17" s="1"/>
  <c r="K554" i="17"/>
  <c r="L554" i="17"/>
  <c r="M554" i="17" s="1"/>
  <c r="J555" i="17"/>
  <c r="O555" i="17" s="1"/>
  <c r="K555" i="17"/>
  <c r="L555" i="17"/>
  <c r="M555" i="17" s="1"/>
  <c r="J556" i="17"/>
  <c r="O556" i="17" s="1"/>
  <c r="K556" i="17"/>
  <c r="L556" i="17"/>
  <c r="M556" i="17" s="1"/>
  <c r="J557" i="17"/>
  <c r="O557" i="17" s="1"/>
  <c r="K557" i="17"/>
  <c r="L557" i="17"/>
  <c r="M557" i="17" s="1"/>
  <c r="J558" i="17"/>
  <c r="O558" i="17" s="1"/>
  <c r="K558" i="17"/>
  <c r="L558" i="17"/>
  <c r="M558" i="17" s="1"/>
  <c r="J559" i="17"/>
  <c r="O559" i="17" s="1"/>
  <c r="K559" i="17"/>
  <c r="L559" i="17"/>
  <c r="M559" i="17" s="1"/>
  <c r="J560" i="17"/>
  <c r="O560" i="17" s="1"/>
  <c r="K560" i="17"/>
  <c r="L560" i="17"/>
  <c r="M560" i="17" s="1"/>
  <c r="J561" i="17"/>
  <c r="O561" i="17" s="1"/>
  <c r="K561" i="17"/>
  <c r="L561" i="17"/>
  <c r="M561" i="17" s="1"/>
  <c r="J562" i="17"/>
  <c r="O562" i="17" s="1"/>
  <c r="K562" i="17"/>
  <c r="L562" i="17"/>
  <c r="M562" i="17" s="1"/>
  <c r="J563" i="17"/>
  <c r="O563" i="17" s="1"/>
  <c r="K563" i="17"/>
  <c r="L563" i="17"/>
  <c r="M563" i="17" s="1"/>
  <c r="J564" i="17"/>
  <c r="O564" i="17" s="1"/>
  <c r="K564" i="17"/>
  <c r="L564" i="17"/>
  <c r="M564" i="17" s="1"/>
  <c r="J565" i="17"/>
  <c r="O565" i="17" s="1"/>
  <c r="K565" i="17"/>
  <c r="L565" i="17"/>
  <c r="M565" i="17" s="1"/>
  <c r="J566" i="17"/>
  <c r="O566" i="17" s="1"/>
  <c r="K566" i="17"/>
  <c r="L566" i="17"/>
  <c r="M566" i="17" s="1"/>
  <c r="J567" i="17"/>
  <c r="O567" i="17" s="1"/>
  <c r="K567" i="17"/>
  <c r="L567" i="17"/>
  <c r="M567" i="17" s="1"/>
  <c r="J568" i="17"/>
  <c r="O568" i="17" s="1"/>
  <c r="K568" i="17"/>
  <c r="L568" i="17"/>
  <c r="M568" i="17" s="1"/>
  <c r="J569" i="17"/>
  <c r="O569" i="17" s="1"/>
  <c r="K569" i="17"/>
  <c r="L569" i="17"/>
  <c r="M569" i="17" s="1"/>
  <c r="J570" i="17"/>
  <c r="O570" i="17" s="1"/>
  <c r="K570" i="17"/>
  <c r="L570" i="17"/>
  <c r="M570" i="17" s="1"/>
  <c r="J571" i="17"/>
  <c r="O571" i="17" s="1"/>
  <c r="K571" i="17"/>
  <c r="L571" i="17"/>
  <c r="M571" i="17" s="1"/>
  <c r="J572" i="17"/>
  <c r="O572" i="17" s="1"/>
  <c r="K572" i="17"/>
  <c r="L572" i="17"/>
  <c r="M572" i="17" s="1"/>
  <c r="J573" i="17"/>
  <c r="O573" i="17" s="1"/>
  <c r="K573" i="17"/>
  <c r="L573" i="17"/>
  <c r="M573" i="17" s="1"/>
  <c r="J574" i="17"/>
  <c r="O574" i="17" s="1"/>
  <c r="K574" i="17"/>
  <c r="L574" i="17"/>
  <c r="M574" i="17" s="1"/>
  <c r="J575" i="17"/>
  <c r="O575" i="17" s="1"/>
  <c r="K575" i="17"/>
  <c r="L575" i="17"/>
  <c r="M575" i="17" s="1"/>
  <c r="J576" i="17"/>
  <c r="O576" i="17" s="1"/>
  <c r="K576" i="17"/>
  <c r="L576" i="17"/>
  <c r="M576" i="17" s="1"/>
  <c r="J577" i="17"/>
  <c r="O577" i="17" s="1"/>
  <c r="K577" i="17"/>
  <c r="L577" i="17"/>
  <c r="M577" i="17" s="1"/>
  <c r="J578" i="17"/>
  <c r="O578" i="17" s="1"/>
  <c r="K578" i="17"/>
  <c r="L578" i="17"/>
  <c r="J579" i="17"/>
  <c r="O579" i="17" s="1"/>
  <c r="K579" i="17"/>
  <c r="L579" i="17"/>
  <c r="M579" i="17" s="1"/>
  <c r="J580" i="17"/>
  <c r="O580" i="17" s="1"/>
  <c r="K580" i="17"/>
  <c r="L580" i="17"/>
  <c r="M580" i="17" s="1"/>
  <c r="J581" i="17"/>
  <c r="O581" i="17" s="1"/>
  <c r="K581" i="17"/>
  <c r="L581" i="17"/>
  <c r="M581" i="17" s="1"/>
  <c r="J582" i="17"/>
  <c r="O582" i="17" s="1"/>
  <c r="K582" i="17"/>
  <c r="L582" i="17"/>
  <c r="M582" i="17" s="1"/>
  <c r="J583" i="17"/>
  <c r="O583" i="17" s="1"/>
  <c r="K583" i="17"/>
  <c r="L583" i="17"/>
  <c r="M583" i="17" s="1"/>
  <c r="J584" i="17"/>
  <c r="O584" i="17" s="1"/>
  <c r="K584" i="17"/>
  <c r="L584" i="17"/>
  <c r="M584" i="17" s="1"/>
  <c r="J585" i="17"/>
  <c r="O585" i="17" s="1"/>
  <c r="K585" i="17"/>
  <c r="L585" i="17"/>
  <c r="M585" i="17" s="1"/>
  <c r="J586" i="17"/>
  <c r="O586" i="17" s="1"/>
  <c r="K586" i="17"/>
  <c r="L586" i="17"/>
  <c r="M586" i="17" s="1"/>
  <c r="J587" i="17"/>
  <c r="O587" i="17" s="1"/>
  <c r="K587" i="17"/>
  <c r="L587" i="17"/>
  <c r="M587" i="17" s="1"/>
  <c r="J588" i="17"/>
  <c r="O588" i="17" s="1"/>
  <c r="K588" i="17"/>
  <c r="L588" i="17"/>
  <c r="M588" i="17" s="1"/>
  <c r="J589" i="17"/>
  <c r="O589" i="17" s="1"/>
  <c r="K589" i="17"/>
  <c r="L589" i="17"/>
  <c r="M589" i="17" s="1"/>
  <c r="J590" i="17"/>
  <c r="O590" i="17" s="1"/>
  <c r="K590" i="17"/>
  <c r="L590" i="17"/>
  <c r="M590" i="17" s="1"/>
  <c r="J591" i="17"/>
  <c r="O591" i="17" s="1"/>
  <c r="K591" i="17"/>
  <c r="L591" i="17"/>
  <c r="M591" i="17" s="1"/>
  <c r="J592" i="17"/>
  <c r="O592" i="17" s="1"/>
  <c r="K592" i="17"/>
  <c r="L592" i="17"/>
  <c r="M592" i="17" s="1"/>
  <c r="J593" i="17"/>
  <c r="O593" i="17" s="1"/>
  <c r="K593" i="17"/>
  <c r="L593" i="17"/>
  <c r="M593" i="17" s="1"/>
  <c r="J594" i="17"/>
  <c r="O594" i="17" s="1"/>
  <c r="K594" i="17"/>
  <c r="L594" i="17"/>
  <c r="M594" i="17" s="1"/>
  <c r="J595" i="17"/>
  <c r="O595" i="17" s="1"/>
  <c r="K595" i="17"/>
  <c r="L595" i="17"/>
  <c r="M595" i="17" s="1"/>
  <c r="J596" i="17"/>
  <c r="O596" i="17" s="1"/>
  <c r="K596" i="17"/>
  <c r="L596" i="17"/>
  <c r="M596" i="17" s="1"/>
  <c r="J597" i="17"/>
  <c r="O597" i="17" s="1"/>
  <c r="K597" i="17"/>
  <c r="L597" i="17"/>
  <c r="M597" i="17" s="1"/>
  <c r="J598" i="17"/>
  <c r="O598" i="17" s="1"/>
  <c r="K598" i="17"/>
  <c r="L598" i="17"/>
  <c r="M598" i="17" s="1"/>
  <c r="J599" i="17"/>
  <c r="O599" i="17" s="1"/>
  <c r="K599" i="17"/>
  <c r="L599" i="17"/>
  <c r="J600" i="17"/>
  <c r="O600" i="17" s="1"/>
  <c r="K600" i="17"/>
  <c r="L600" i="17"/>
  <c r="M600" i="17" s="1"/>
  <c r="J601" i="17"/>
  <c r="O601" i="17" s="1"/>
  <c r="K601" i="17"/>
  <c r="L601" i="17"/>
  <c r="M601" i="17" s="1"/>
  <c r="J602" i="17"/>
  <c r="O602" i="17" s="1"/>
  <c r="K602" i="17"/>
  <c r="L602" i="17"/>
  <c r="M602" i="17" s="1"/>
  <c r="J603" i="17"/>
  <c r="O603" i="17" s="1"/>
  <c r="K603" i="17"/>
  <c r="L603" i="17"/>
  <c r="M603" i="17" s="1"/>
  <c r="J604" i="17"/>
  <c r="O604" i="17" s="1"/>
  <c r="K604" i="17"/>
  <c r="L604" i="17"/>
  <c r="M604" i="17" s="1"/>
  <c r="J605" i="17"/>
  <c r="O605" i="17" s="1"/>
  <c r="K605" i="17"/>
  <c r="L605" i="17"/>
  <c r="M605" i="17" s="1"/>
  <c r="J606" i="17"/>
  <c r="O606" i="17" s="1"/>
  <c r="K606" i="17"/>
  <c r="L606" i="17"/>
  <c r="M606" i="17" s="1"/>
  <c r="J607" i="17"/>
  <c r="O607" i="17" s="1"/>
  <c r="K607" i="17"/>
  <c r="L607" i="17"/>
  <c r="M607" i="17" s="1"/>
  <c r="J608" i="17"/>
  <c r="O608" i="17" s="1"/>
  <c r="K608" i="17"/>
  <c r="L608" i="17"/>
  <c r="M608" i="17" s="1"/>
  <c r="J609" i="17"/>
  <c r="O609" i="17" s="1"/>
  <c r="K609" i="17"/>
  <c r="L609" i="17"/>
  <c r="M609" i="17" s="1"/>
  <c r="J610" i="17"/>
  <c r="O610" i="17" s="1"/>
  <c r="K610" i="17"/>
  <c r="L610" i="17"/>
  <c r="M610" i="17" s="1"/>
  <c r="J611" i="17"/>
  <c r="O611" i="17" s="1"/>
  <c r="K611" i="17"/>
  <c r="L611" i="17"/>
  <c r="M611" i="17" s="1"/>
  <c r="J612" i="17"/>
  <c r="O612" i="17" s="1"/>
  <c r="K612" i="17"/>
  <c r="L612" i="17"/>
  <c r="M612" i="17" s="1"/>
  <c r="J613" i="17"/>
  <c r="O613" i="17" s="1"/>
  <c r="K613" i="17"/>
  <c r="L613" i="17"/>
  <c r="M613" i="17" s="1"/>
  <c r="J614" i="17"/>
  <c r="O614" i="17" s="1"/>
  <c r="K614" i="17"/>
  <c r="L614" i="17"/>
  <c r="M614" i="17" s="1"/>
  <c r="J615" i="17"/>
  <c r="O615" i="17" s="1"/>
  <c r="K615" i="17"/>
  <c r="L615" i="17"/>
  <c r="M615" i="17" s="1"/>
  <c r="J616" i="17"/>
  <c r="O616" i="17" s="1"/>
  <c r="K616" i="17"/>
  <c r="L616" i="17"/>
  <c r="M616" i="17" s="1"/>
  <c r="J617" i="17"/>
  <c r="O617" i="17" s="1"/>
  <c r="K617" i="17"/>
  <c r="L617" i="17"/>
  <c r="M617" i="17" s="1"/>
  <c r="J618" i="17"/>
  <c r="O618" i="17" s="1"/>
  <c r="K618" i="17"/>
  <c r="L618" i="17"/>
  <c r="M618" i="17" s="1"/>
  <c r="J619" i="17"/>
  <c r="O619" i="17" s="1"/>
  <c r="K619" i="17"/>
  <c r="L619" i="17"/>
  <c r="M619" i="17" s="1"/>
  <c r="J620" i="17"/>
  <c r="O620" i="17" s="1"/>
  <c r="K620" i="17"/>
  <c r="L620" i="17"/>
  <c r="M620" i="17" s="1"/>
  <c r="J621" i="17"/>
  <c r="O621" i="17" s="1"/>
  <c r="K621" i="17"/>
  <c r="L621" i="17"/>
  <c r="M621" i="17" s="1"/>
  <c r="J622" i="17"/>
  <c r="O622" i="17" s="1"/>
  <c r="K622" i="17"/>
  <c r="L622" i="17"/>
  <c r="M622" i="17" s="1"/>
  <c r="J623" i="17"/>
  <c r="O623" i="17" s="1"/>
  <c r="K623" i="17"/>
  <c r="L623" i="17"/>
  <c r="M623" i="17" s="1"/>
  <c r="J624" i="17"/>
  <c r="O624" i="17" s="1"/>
  <c r="K624" i="17"/>
  <c r="L624" i="17"/>
  <c r="M624" i="17" s="1"/>
  <c r="J625" i="17"/>
  <c r="O625" i="17" s="1"/>
  <c r="K625" i="17"/>
  <c r="L625" i="17"/>
  <c r="M625" i="17" s="1"/>
  <c r="J626" i="17"/>
  <c r="O626" i="17" s="1"/>
  <c r="K626" i="17"/>
  <c r="L626" i="17"/>
  <c r="M626" i="17" s="1"/>
  <c r="J627" i="17"/>
  <c r="O627" i="17" s="1"/>
  <c r="K627" i="17"/>
  <c r="L627" i="17"/>
  <c r="M627" i="17" s="1"/>
  <c r="J628" i="17"/>
  <c r="O628" i="17" s="1"/>
  <c r="K628" i="17"/>
  <c r="L628" i="17"/>
  <c r="M628" i="17" s="1"/>
  <c r="J629" i="17"/>
  <c r="O629" i="17" s="1"/>
  <c r="K629" i="17"/>
  <c r="L629" i="17"/>
  <c r="M629" i="17" s="1"/>
  <c r="J630" i="17"/>
  <c r="O630" i="17" s="1"/>
  <c r="K630" i="17"/>
  <c r="L630" i="17"/>
  <c r="M630" i="17" s="1"/>
  <c r="J631" i="17"/>
  <c r="O631" i="17" s="1"/>
  <c r="K631" i="17"/>
  <c r="L631" i="17"/>
  <c r="M631" i="17" s="1"/>
  <c r="J632" i="17"/>
  <c r="O632" i="17" s="1"/>
  <c r="K632" i="17"/>
  <c r="L632" i="17"/>
  <c r="M632" i="17" s="1"/>
  <c r="J633" i="17"/>
  <c r="O633" i="17" s="1"/>
  <c r="K633" i="17"/>
  <c r="L633" i="17"/>
  <c r="M633" i="17" s="1"/>
  <c r="J634" i="17"/>
  <c r="O634" i="17" s="1"/>
  <c r="K634" i="17"/>
  <c r="L634" i="17"/>
  <c r="J635" i="17"/>
  <c r="O635" i="17" s="1"/>
  <c r="K635" i="17"/>
  <c r="L635" i="17"/>
  <c r="M635" i="17" s="1"/>
  <c r="J636" i="17"/>
  <c r="O636" i="17" s="1"/>
  <c r="K636" i="17"/>
  <c r="L636" i="17"/>
  <c r="M636" i="17" s="1"/>
  <c r="J637" i="17"/>
  <c r="O637" i="17" s="1"/>
  <c r="K637" i="17"/>
  <c r="L637" i="17"/>
  <c r="M637" i="17" s="1"/>
  <c r="J638" i="17"/>
  <c r="O638" i="17" s="1"/>
  <c r="K638" i="17"/>
  <c r="L638" i="17"/>
  <c r="M638" i="17" s="1"/>
  <c r="J639" i="17"/>
  <c r="O639" i="17" s="1"/>
  <c r="K639" i="17"/>
  <c r="L639" i="17"/>
  <c r="M639" i="17" s="1"/>
  <c r="J640" i="17"/>
  <c r="O640" i="17" s="1"/>
  <c r="K640" i="17"/>
  <c r="L640" i="17"/>
  <c r="M640" i="17" s="1"/>
  <c r="J641" i="17"/>
  <c r="O641" i="17" s="1"/>
  <c r="K641" i="17"/>
  <c r="L641" i="17"/>
  <c r="M641" i="17" s="1"/>
  <c r="J642" i="17"/>
  <c r="O642" i="17" s="1"/>
  <c r="K642" i="17"/>
  <c r="L642" i="17"/>
  <c r="M642" i="17" s="1"/>
  <c r="J643" i="17"/>
  <c r="O643" i="17" s="1"/>
  <c r="K643" i="17"/>
  <c r="L643" i="17"/>
  <c r="M643" i="17" s="1"/>
  <c r="J644" i="17"/>
  <c r="O644" i="17" s="1"/>
  <c r="K644" i="17"/>
  <c r="L644" i="17"/>
  <c r="J645" i="17"/>
  <c r="O645" i="17" s="1"/>
  <c r="K645" i="17"/>
  <c r="L645" i="17"/>
  <c r="M645" i="17" s="1"/>
  <c r="J646" i="17"/>
  <c r="O646" i="17" s="1"/>
  <c r="K646" i="17"/>
  <c r="L646" i="17"/>
  <c r="M646" i="17" s="1"/>
  <c r="J647" i="17"/>
  <c r="O647" i="17" s="1"/>
  <c r="K647" i="17"/>
  <c r="L647" i="17"/>
  <c r="M647" i="17" s="1"/>
  <c r="J648" i="17"/>
  <c r="O648" i="17" s="1"/>
  <c r="K648" i="17"/>
  <c r="L648" i="17"/>
  <c r="M648" i="17" s="1"/>
  <c r="J649" i="17"/>
  <c r="O649" i="17" s="1"/>
  <c r="K649" i="17"/>
  <c r="L649" i="17"/>
  <c r="M649" i="17" s="1"/>
  <c r="J650" i="17"/>
  <c r="O650" i="17" s="1"/>
  <c r="K650" i="17"/>
  <c r="L650" i="17"/>
  <c r="M650" i="17" s="1"/>
  <c r="J651" i="17"/>
  <c r="O651" i="17" s="1"/>
  <c r="K651" i="17"/>
  <c r="L651" i="17"/>
  <c r="M651" i="17" s="1"/>
  <c r="J652" i="17"/>
  <c r="O652" i="17" s="1"/>
  <c r="K652" i="17"/>
  <c r="L652" i="17"/>
  <c r="M652" i="17" s="1"/>
  <c r="J653" i="17"/>
  <c r="O653" i="17" s="1"/>
  <c r="K653" i="17"/>
  <c r="L653" i="17"/>
  <c r="M653" i="17" s="1"/>
  <c r="J654" i="17"/>
  <c r="O654" i="17" s="1"/>
  <c r="K654" i="17"/>
  <c r="L654" i="17"/>
  <c r="M654" i="17" s="1"/>
  <c r="J655" i="17"/>
  <c r="O655" i="17" s="1"/>
  <c r="K655" i="17"/>
  <c r="L655" i="17"/>
  <c r="J656" i="17"/>
  <c r="O656" i="17" s="1"/>
  <c r="K656" i="17"/>
  <c r="L656" i="17"/>
  <c r="M656" i="17" s="1"/>
  <c r="J657" i="17"/>
  <c r="O657" i="17" s="1"/>
  <c r="K657" i="17"/>
  <c r="L657" i="17"/>
  <c r="M657" i="17" s="1"/>
  <c r="J658" i="17"/>
  <c r="O658" i="17" s="1"/>
  <c r="K658" i="17"/>
  <c r="L658" i="17"/>
  <c r="M658" i="17" s="1"/>
  <c r="J659" i="17"/>
  <c r="O659" i="17" s="1"/>
  <c r="K659" i="17"/>
  <c r="L659" i="17"/>
  <c r="M659" i="17" s="1"/>
  <c r="J660" i="17"/>
  <c r="O660" i="17" s="1"/>
  <c r="K660" i="17"/>
  <c r="L660" i="17"/>
  <c r="M660" i="17" s="1"/>
  <c r="J661" i="17"/>
  <c r="O661" i="17" s="1"/>
  <c r="K661" i="17"/>
  <c r="L661" i="17"/>
  <c r="M661" i="17" s="1"/>
  <c r="J662" i="17"/>
  <c r="O662" i="17" s="1"/>
  <c r="K662" i="17"/>
  <c r="L662" i="17"/>
  <c r="M662" i="17" s="1"/>
  <c r="J663" i="17"/>
  <c r="O663" i="17" s="1"/>
  <c r="K663" i="17"/>
  <c r="L663" i="17"/>
  <c r="M663" i="17" s="1"/>
  <c r="J664" i="17"/>
  <c r="O664" i="17" s="1"/>
  <c r="K664" i="17"/>
  <c r="L664" i="17"/>
  <c r="M664" i="17" s="1"/>
  <c r="J665" i="17"/>
  <c r="O665" i="17" s="1"/>
  <c r="K665" i="17"/>
  <c r="L665" i="17"/>
  <c r="M665" i="17" s="1"/>
  <c r="J666" i="17"/>
  <c r="O666" i="17" s="1"/>
  <c r="K666" i="17"/>
  <c r="L666" i="17"/>
  <c r="M666" i="17" s="1"/>
  <c r="J667" i="17"/>
  <c r="O667" i="17" s="1"/>
  <c r="K667" i="17"/>
  <c r="L667" i="17"/>
  <c r="M667" i="17" s="1"/>
  <c r="J668" i="17"/>
  <c r="O668" i="17" s="1"/>
  <c r="K668" i="17"/>
  <c r="L668" i="17"/>
  <c r="M668" i="17" s="1"/>
  <c r="J669" i="17"/>
  <c r="O669" i="17" s="1"/>
  <c r="K669" i="17"/>
  <c r="L669" i="17"/>
  <c r="M669" i="17" s="1"/>
  <c r="J670" i="17"/>
  <c r="O670" i="17" s="1"/>
  <c r="K670" i="17"/>
  <c r="L670" i="17"/>
  <c r="M670" i="17" s="1"/>
  <c r="J671" i="17"/>
  <c r="O671" i="17" s="1"/>
  <c r="K671" i="17"/>
  <c r="L671" i="17"/>
  <c r="M671" i="17" s="1"/>
  <c r="J672" i="17"/>
  <c r="O672" i="17" s="1"/>
  <c r="K672" i="17"/>
  <c r="L672" i="17"/>
  <c r="M672" i="17" s="1"/>
  <c r="J673" i="17"/>
  <c r="O673" i="17" s="1"/>
  <c r="K673" i="17"/>
  <c r="L673" i="17"/>
  <c r="M673" i="17" s="1"/>
  <c r="J674" i="17"/>
  <c r="O674" i="17" s="1"/>
  <c r="K674" i="17"/>
  <c r="L674" i="17"/>
  <c r="M674" i="17" s="1"/>
  <c r="J675" i="17"/>
  <c r="O675" i="17" s="1"/>
  <c r="K675" i="17"/>
  <c r="L675" i="17"/>
  <c r="M675" i="17" s="1"/>
  <c r="J676" i="17"/>
  <c r="O676" i="17" s="1"/>
  <c r="K676" i="17"/>
  <c r="L676" i="17"/>
  <c r="M676" i="17" s="1"/>
  <c r="J677" i="17"/>
  <c r="O677" i="17" s="1"/>
  <c r="K677" i="17"/>
  <c r="L677" i="17"/>
  <c r="M677" i="17" s="1"/>
  <c r="J678" i="17"/>
  <c r="O678" i="17" s="1"/>
  <c r="K678" i="17"/>
  <c r="L678" i="17"/>
  <c r="M678" i="17" s="1"/>
  <c r="J679" i="17"/>
  <c r="O679" i="17" s="1"/>
  <c r="K679" i="17"/>
  <c r="L679" i="17"/>
  <c r="M679" i="17" s="1"/>
  <c r="J680" i="17"/>
  <c r="O680" i="17" s="1"/>
  <c r="K680" i="17"/>
  <c r="L680" i="17"/>
  <c r="M680" i="17" s="1"/>
  <c r="J681" i="17"/>
  <c r="O681" i="17" s="1"/>
  <c r="K681" i="17"/>
  <c r="L681" i="17"/>
  <c r="M681" i="17" s="1"/>
  <c r="J682" i="17"/>
  <c r="O682" i="17" s="1"/>
  <c r="K682" i="17"/>
  <c r="L682" i="17"/>
  <c r="M682" i="17" s="1"/>
  <c r="J683" i="17"/>
  <c r="O683" i="17" s="1"/>
  <c r="K683" i="17"/>
  <c r="L683" i="17"/>
  <c r="M683" i="17" s="1"/>
  <c r="J684" i="17"/>
  <c r="O684" i="17" s="1"/>
  <c r="K684" i="17"/>
  <c r="L684" i="17"/>
  <c r="M684" i="17" s="1"/>
  <c r="J685" i="17"/>
  <c r="O685" i="17" s="1"/>
  <c r="K685" i="17"/>
  <c r="L685" i="17"/>
  <c r="M685" i="17" s="1"/>
  <c r="J686" i="17"/>
  <c r="O686" i="17" s="1"/>
  <c r="K686" i="17"/>
  <c r="L686" i="17"/>
  <c r="M686" i="17" s="1"/>
  <c r="J687" i="17"/>
  <c r="O687" i="17" s="1"/>
  <c r="K687" i="17"/>
  <c r="L687" i="17"/>
  <c r="J688" i="17"/>
  <c r="O688" i="17" s="1"/>
  <c r="K688" i="17"/>
  <c r="L688" i="17"/>
  <c r="M688" i="17" s="1"/>
  <c r="J689" i="17"/>
  <c r="O689" i="17" s="1"/>
  <c r="K689" i="17"/>
  <c r="L689" i="17"/>
  <c r="M689" i="17" s="1"/>
  <c r="J690" i="17"/>
  <c r="O690" i="17" s="1"/>
  <c r="K690" i="17"/>
  <c r="L690" i="17"/>
  <c r="M690" i="17" s="1"/>
  <c r="J691" i="17"/>
  <c r="O691" i="17" s="1"/>
  <c r="K691" i="17"/>
  <c r="L691" i="17"/>
  <c r="M691" i="17" s="1"/>
  <c r="J692" i="17"/>
  <c r="O692" i="17" s="1"/>
  <c r="K692" i="17"/>
  <c r="L692" i="17"/>
  <c r="M692" i="17" s="1"/>
  <c r="J693" i="17"/>
  <c r="O693" i="17" s="1"/>
  <c r="K693" i="17"/>
  <c r="L693" i="17"/>
  <c r="M693" i="17" s="1"/>
  <c r="J694" i="17"/>
  <c r="O694" i="17" s="1"/>
  <c r="K694" i="17"/>
  <c r="L694" i="17"/>
  <c r="M694" i="17" s="1"/>
  <c r="J695" i="17"/>
  <c r="O695" i="17" s="1"/>
  <c r="K695" i="17"/>
  <c r="L695" i="17"/>
  <c r="M695" i="17" s="1"/>
  <c r="J696" i="17"/>
  <c r="O696" i="17" s="1"/>
  <c r="K696" i="17"/>
  <c r="L696" i="17"/>
  <c r="M696" i="17" s="1"/>
  <c r="J697" i="17"/>
  <c r="O697" i="17" s="1"/>
  <c r="K697" i="17"/>
  <c r="L697" i="17"/>
  <c r="M697" i="17" s="1"/>
  <c r="J698" i="17"/>
  <c r="O698" i="17" s="1"/>
  <c r="K698" i="17"/>
  <c r="L698" i="17"/>
  <c r="J699" i="17"/>
  <c r="O699" i="17" s="1"/>
  <c r="K699" i="17"/>
  <c r="L699" i="17"/>
  <c r="M699" i="17" s="1"/>
  <c r="J700" i="17"/>
  <c r="O700" i="17" s="1"/>
  <c r="K700" i="17"/>
  <c r="L700" i="17"/>
  <c r="M700" i="17" s="1"/>
  <c r="J701" i="17"/>
  <c r="O701" i="17" s="1"/>
  <c r="K701" i="17"/>
  <c r="L701" i="17"/>
  <c r="M701" i="17" s="1"/>
  <c r="J702" i="17"/>
  <c r="O702" i="17" s="1"/>
  <c r="K702" i="17"/>
  <c r="L702" i="17"/>
  <c r="M702" i="17" s="1"/>
  <c r="J703" i="17"/>
  <c r="O703" i="17" s="1"/>
  <c r="K703" i="17"/>
  <c r="L703" i="17"/>
  <c r="M703" i="17" s="1"/>
  <c r="J704" i="17"/>
  <c r="O704" i="17" s="1"/>
  <c r="K704" i="17"/>
  <c r="L704" i="17"/>
  <c r="M704" i="17" s="1"/>
  <c r="J705" i="17"/>
  <c r="O705" i="17" s="1"/>
  <c r="K705" i="17"/>
  <c r="L705" i="17"/>
  <c r="M705" i="17" s="1"/>
  <c r="J706" i="17"/>
  <c r="O706" i="17" s="1"/>
  <c r="K706" i="17"/>
  <c r="L706" i="17"/>
  <c r="M706" i="17" s="1"/>
  <c r="J707" i="17"/>
  <c r="O707" i="17" s="1"/>
  <c r="K707" i="17"/>
  <c r="L707" i="17"/>
  <c r="M707" i="17" s="1"/>
  <c r="J708" i="17"/>
  <c r="O708" i="17" s="1"/>
  <c r="K708" i="17"/>
  <c r="L708" i="17"/>
  <c r="M708" i="17" s="1"/>
  <c r="J709" i="17"/>
  <c r="O709" i="17" s="1"/>
  <c r="K709" i="17"/>
  <c r="L709" i="17"/>
  <c r="M709" i="17" s="1"/>
  <c r="J710" i="17"/>
  <c r="O710" i="17" s="1"/>
  <c r="K710" i="17"/>
  <c r="L710" i="17"/>
  <c r="M710" i="17" s="1"/>
  <c r="J711" i="17"/>
  <c r="O711" i="17" s="1"/>
  <c r="K711" i="17"/>
  <c r="L711" i="17"/>
  <c r="M711" i="17" s="1"/>
  <c r="J712" i="17"/>
  <c r="O712" i="17" s="1"/>
  <c r="K712" i="17"/>
  <c r="L712" i="17"/>
  <c r="M712" i="17" s="1"/>
  <c r="J713" i="17"/>
  <c r="O713" i="17" s="1"/>
  <c r="K713" i="17"/>
  <c r="L713" i="17"/>
  <c r="M713" i="17" s="1"/>
  <c r="J714" i="17"/>
  <c r="O714" i="17" s="1"/>
  <c r="K714" i="17"/>
  <c r="L714" i="17"/>
  <c r="M714" i="17" s="1"/>
  <c r="J715" i="17"/>
  <c r="O715" i="17" s="1"/>
  <c r="K715" i="17"/>
  <c r="L715" i="17"/>
  <c r="M715" i="17" s="1"/>
  <c r="J716" i="17"/>
  <c r="O716" i="17" s="1"/>
  <c r="K716" i="17"/>
  <c r="L716" i="17"/>
  <c r="M716" i="17" s="1"/>
  <c r="J717" i="17"/>
  <c r="O717" i="17" s="1"/>
  <c r="K717" i="17"/>
  <c r="L717" i="17"/>
  <c r="M717" i="17" s="1"/>
  <c r="J718" i="17"/>
  <c r="O718" i="17" s="1"/>
  <c r="K718" i="17"/>
  <c r="L718" i="17"/>
  <c r="M718" i="17" s="1"/>
  <c r="J719" i="17"/>
  <c r="O719" i="17" s="1"/>
  <c r="K719" i="17"/>
  <c r="L719" i="17"/>
  <c r="J720" i="17"/>
  <c r="O720" i="17" s="1"/>
  <c r="K720" i="17"/>
  <c r="L720" i="17"/>
  <c r="M720" i="17" s="1"/>
  <c r="J721" i="17"/>
  <c r="O721" i="17" s="1"/>
  <c r="K721" i="17"/>
  <c r="L721" i="17"/>
  <c r="M721" i="17" s="1"/>
  <c r="J722" i="17"/>
  <c r="O722" i="17" s="1"/>
  <c r="K722" i="17"/>
  <c r="L722" i="17"/>
  <c r="M722" i="17" s="1"/>
  <c r="J723" i="17"/>
  <c r="O723" i="17" s="1"/>
  <c r="K723" i="17"/>
  <c r="L723" i="17"/>
  <c r="M723" i="17" s="1"/>
  <c r="J724" i="17"/>
  <c r="O724" i="17" s="1"/>
  <c r="K724" i="17"/>
  <c r="L724" i="17"/>
  <c r="M724" i="17" s="1"/>
  <c r="J725" i="17"/>
  <c r="O725" i="17" s="1"/>
  <c r="K725" i="17"/>
  <c r="L725" i="17"/>
  <c r="M725" i="17" s="1"/>
  <c r="J726" i="17"/>
  <c r="O726" i="17" s="1"/>
  <c r="K726" i="17"/>
  <c r="L726" i="17"/>
  <c r="M726" i="17" s="1"/>
  <c r="J727" i="17"/>
  <c r="O727" i="17" s="1"/>
  <c r="K727" i="17"/>
  <c r="L727" i="17"/>
  <c r="M727" i="17" s="1"/>
  <c r="J728" i="17"/>
  <c r="O728" i="17" s="1"/>
  <c r="K728" i="17"/>
  <c r="L728" i="17"/>
  <c r="M728" i="17" s="1"/>
  <c r="J729" i="17"/>
  <c r="O729" i="17" s="1"/>
  <c r="K729" i="17"/>
  <c r="L729" i="17"/>
  <c r="M729" i="17" s="1"/>
  <c r="J730" i="17"/>
  <c r="O730" i="17" s="1"/>
  <c r="K730" i="17"/>
  <c r="L730" i="17"/>
  <c r="J731" i="17"/>
  <c r="O731" i="17" s="1"/>
  <c r="K731" i="17"/>
  <c r="L731" i="17"/>
  <c r="M731" i="17" s="1"/>
  <c r="J732" i="17"/>
  <c r="O732" i="17" s="1"/>
  <c r="K732" i="17"/>
  <c r="L732" i="17"/>
  <c r="M732" i="17" s="1"/>
  <c r="J733" i="17"/>
  <c r="O733" i="17" s="1"/>
  <c r="K733" i="17"/>
  <c r="L733" i="17"/>
  <c r="M733" i="17" s="1"/>
  <c r="J734" i="17"/>
  <c r="O734" i="17" s="1"/>
  <c r="K734" i="17"/>
  <c r="L734" i="17"/>
  <c r="M734" i="17" s="1"/>
  <c r="J735" i="17"/>
  <c r="O735" i="17" s="1"/>
  <c r="K735" i="17"/>
  <c r="L735" i="17"/>
  <c r="M735" i="17" s="1"/>
  <c r="J736" i="17"/>
  <c r="O736" i="17" s="1"/>
  <c r="K736" i="17"/>
  <c r="L736" i="17"/>
  <c r="M736" i="17" s="1"/>
  <c r="J737" i="17"/>
  <c r="O737" i="17" s="1"/>
  <c r="K737" i="17"/>
  <c r="L737" i="17"/>
  <c r="M737" i="17" s="1"/>
  <c r="J738" i="17"/>
  <c r="O738" i="17" s="1"/>
  <c r="K738" i="17"/>
  <c r="L738" i="17"/>
  <c r="M738" i="17" s="1"/>
  <c r="J739" i="17"/>
  <c r="O739" i="17" s="1"/>
  <c r="K739" i="17"/>
  <c r="L739" i="17"/>
  <c r="M739" i="17" s="1"/>
  <c r="J740" i="17"/>
  <c r="O740" i="17" s="1"/>
  <c r="K740" i="17"/>
  <c r="L740" i="17"/>
  <c r="J741" i="17"/>
  <c r="O741" i="17" s="1"/>
  <c r="K741" i="17"/>
  <c r="L741" i="17"/>
  <c r="M741" i="17" s="1"/>
  <c r="J742" i="17"/>
  <c r="O742" i="17" s="1"/>
  <c r="K742" i="17"/>
  <c r="L742" i="17"/>
  <c r="M742" i="17" s="1"/>
  <c r="J743" i="17"/>
  <c r="O743" i="17" s="1"/>
  <c r="K743" i="17"/>
  <c r="L743" i="17"/>
  <c r="M743" i="17" s="1"/>
  <c r="J744" i="17"/>
  <c r="O744" i="17" s="1"/>
  <c r="K744" i="17"/>
  <c r="L744" i="17"/>
  <c r="M744" i="17" s="1"/>
  <c r="J745" i="17"/>
  <c r="O745" i="17" s="1"/>
  <c r="K745" i="17"/>
  <c r="L745" i="17"/>
  <c r="M745" i="17" s="1"/>
  <c r="J746" i="17"/>
  <c r="O746" i="17" s="1"/>
  <c r="K746" i="17"/>
  <c r="L746" i="17"/>
  <c r="M746" i="17" s="1"/>
  <c r="J747" i="17"/>
  <c r="O747" i="17" s="1"/>
  <c r="K747" i="17"/>
  <c r="L747" i="17"/>
  <c r="M747" i="17" s="1"/>
  <c r="J748" i="17"/>
  <c r="O748" i="17" s="1"/>
  <c r="K748" i="17"/>
  <c r="L748" i="17"/>
  <c r="M748" i="17" s="1"/>
  <c r="J749" i="17"/>
  <c r="O749" i="17" s="1"/>
  <c r="K749" i="17"/>
  <c r="L749" i="17"/>
  <c r="M749" i="17" s="1"/>
  <c r="J750" i="17"/>
  <c r="O750" i="17" s="1"/>
  <c r="K750" i="17"/>
  <c r="L750" i="17"/>
  <c r="M750" i="17" s="1"/>
  <c r="J751" i="17"/>
  <c r="O751" i="17" s="1"/>
  <c r="K751" i="17"/>
  <c r="L751" i="17"/>
  <c r="M751" i="17" s="1"/>
  <c r="J752" i="17"/>
  <c r="O752" i="17" s="1"/>
  <c r="K752" i="17"/>
  <c r="L752" i="17"/>
  <c r="M752" i="17" s="1"/>
  <c r="J753" i="17"/>
  <c r="O753" i="17" s="1"/>
  <c r="K753" i="17"/>
  <c r="L753" i="17"/>
  <c r="M753" i="17" s="1"/>
  <c r="J754" i="17"/>
  <c r="O754" i="17" s="1"/>
  <c r="K754" i="17"/>
  <c r="L754" i="17"/>
  <c r="M754" i="17" s="1"/>
  <c r="J755" i="17"/>
  <c r="O755" i="17" s="1"/>
  <c r="K755" i="17"/>
  <c r="L755" i="17"/>
  <c r="M755" i="17" s="1"/>
  <c r="J756" i="17"/>
  <c r="O756" i="17" s="1"/>
  <c r="K756" i="17"/>
  <c r="L756" i="17"/>
  <c r="M756" i="17" s="1"/>
  <c r="J757" i="17"/>
  <c r="O757" i="17" s="1"/>
  <c r="K757" i="17"/>
  <c r="L757" i="17"/>
  <c r="M757" i="17" s="1"/>
  <c r="J758" i="17"/>
  <c r="O758" i="17" s="1"/>
  <c r="K758" i="17"/>
  <c r="L758" i="17"/>
  <c r="M758" i="17" s="1"/>
  <c r="J759" i="17"/>
  <c r="O759" i="17" s="1"/>
  <c r="K759" i="17"/>
  <c r="L759" i="17"/>
  <c r="M759" i="17" s="1"/>
  <c r="J760" i="17"/>
  <c r="O760" i="17" s="1"/>
  <c r="K760" i="17"/>
  <c r="L760" i="17"/>
  <c r="M760" i="17" s="1"/>
  <c r="J761" i="17"/>
  <c r="O761" i="17" s="1"/>
  <c r="K761" i="17"/>
  <c r="L761" i="17"/>
  <c r="M761" i="17" s="1"/>
  <c r="J762" i="17"/>
  <c r="O762" i="17" s="1"/>
  <c r="K762" i="17"/>
  <c r="L762" i="17"/>
  <c r="J763" i="17"/>
  <c r="O763" i="17" s="1"/>
  <c r="K763" i="17"/>
  <c r="L763" i="17"/>
  <c r="M763" i="17" s="1"/>
  <c r="J764" i="17"/>
  <c r="O764" i="17" s="1"/>
  <c r="K764" i="17"/>
  <c r="L764" i="17"/>
  <c r="M764" i="17" s="1"/>
  <c r="J765" i="17"/>
  <c r="O765" i="17" s="1"/>
  <c r="K765" i="17"/>
  <c r="L765" i="17"/>
  <c r="M765" i="17" s="1"/>
  <c r="J766" i="17"/>
  <c r="O766" i="17" s="1"/>
  <c r="K766" i="17"/>
  <c r="L766" i="17"/>
  <c r="M766" i="17" s="1"/>
  <c r="J767" i="17"/>
  <c r="O767" i="17" s="1"/>
  <c r="K767" i="17"/>
  <c r="L767" i="17"/>
  <c r="M767" i="17" s="1"/>
  <c r="J768" i="17"/>
  <c r="O768" i="17" s="1"/>
  <c r="K768" i="17"/>
  <c r="L768" i="17"/>
  <c r="M768" i="17" s="1"/>
  <c r="J769" i="17"/>
  <c r="O769" i="17" s="1"/>
  <c r="K769" i="17"/>
  <c r="L769" i="17"/>
  <c r="M769" i="17" s="1"/>
  <c r="J770" i="17"/>
  <c r="O770" i="17" s="1"/>
  <c r="K770" i="17"/>
  <c r="L770" i="17"/>
  <c r="M770" i="17" s="1"/>
  <c r="J771" i="17"/>
  <c r="O771" i="17" s="1"/>
  <c r="K771" i="17"/>
  <c r="L771" i="17"/>
  <c r="M771" i="17" s="1"/>
  <c r="J772" i="17"/>
  <c r="O772" i="17" s="1"/>
  <c r="K772" i="17"/>
  <c r="L772" i="17"/>
  <c r="M772" i="17" s="1"/>
  <c r="J773" i="17"/>
  <c r="O773" i="17" s="1"/>
  <c r="K773" i="17"/>
  <c r="L773" i="17"/>
  <c r="M773" i="17" s="1"/>
  <c r="J774" i="17"/>
  <c r="O774" i="17" s="1"/>
  <c r="K774" i="17"/>
  <c r="L774" i="17"/>
  <c r="M774" i="17" s="1"/>
  <c r="J775" i="17"/>
  <c r="O775" i="17" s="1"/>
  <c r="K775" i="17"/>
  <c r="L775" i="17"/>
  <c r="M775" i="17" s="1"/>
  <c r="J776" i="17"/>
  <c r="O776" i="17" s="1"/>
  <c r="K776" i="17"/>
  <c r="L776" i="17"/>
  <c r="M776" i="17" s="1"/>
  <c r="J777" i="17"/>
  <c r="O777" i="17" s="1"/>
  <c r="K777" i="17"/>
  <c r="L777" i="17"/>
  <c r="M777" i="17" s="1"/>
  <c r="J778" i="17"/>
  <c r="O778" i="17" s="1"/>
  <c r="K778" i="17"/>
  <c r="L778" i="17"/>
  <c r="M778" i="17" s="1"/>
  <c r="J779" i="17"/>
  <c r="O779" i="17" s="1"/>
  <c r="K779" i="17"/>
  <c r="L779" i="17"/>
  <c r="M779" i="17" s="1"/>
  <c r="J780" i="17"/>
  <c r="O780" i="17" s="1"/>
  <c r="K780" i="17"/>
  <c r="L780" i="17"/>
  <c r="M780" i="17" s="1"/>
  <c r="J781" i="17"/>
  <c r="O781" i="17" s="1"/>
  <c r="K781" i="17"/>
  <c r="L781" i="17"/>
  <c r="M781" i="17" s="1"/>
  <c r="J782" i="17"/>
  <c r="O782" i="17" s="1"/>
  <c r="K782" i="17"/>
  <c r="L782" i="17"/>
  <c r="M782" i="17" s="1"/>
  <c r="J783" i="17"/>
  <c r="O783" i="17" s="1"/>
  <c r="K783" i="17"/>
  <c r="L783" i="17"/>
  <c r="M783" i="17" s="1"/>
  <c r="J784" i="17"/>
  <c r="O784" i="17" s="1"/>
  <c r="K784" i="17"/>
  <c r="L784" i="17"/>
  <c r="M784" i="17" s="1"/>
  <c r="J785" i="17"/>
  <c r="O785" i="17" s="1"/>
  <c r="K785" i="17"/>
  <c r="L785" i="17"/>
  <c r="M785" i="17" s="1"/>
  <c r="J786" i="17"/>
  <c r="O786" i="17" s="1"/>
  <c r="K786" i="17"/>
  <c r="L786" i="17"/>
  <c r="M786" i="17" s="1"/>
  <c r="J787" i="17"/>
  <c r="O787" i="17" s="1"/>
  <c r="K787" i="17"/>
  <c r="L787" i="17"/>
  <c r="M787" i="17" s="1"/>
  <c r="J788" i="17"/>
  <c r="O788" i="17" s="1"/>
  <c r="K788" i="17"/>
  <c r="L788" i="17"/>
  <c r="M788" i="17" s="1"/>
  <c r="J789" i="17"/>
  <c r="O789" i="17" s="1"/>
  <c r="K789" i="17"/>
  <c r="L789" i="17"/>
  <c r="M789" i="17" s="1"/>
  <c r="J790" i="17"/>
  <c r="O790" i="17" s="1"/>
  <c r="K790" i="17"/>
  <c r="L790" i="17"/>
  <c r="M790" i="17" s="1"/>
  <c r="J791" i="17"/>
  <c r="O791" i="17" s="1"/>
  <c r="K791" i="17"/>
  <c r="L791" i="17"/>
  <c r="M791" i="17" s="1"/>
  <c r="J792" i="17"/>
  <c r="O792" i="17" s="1"/>
  <c r="K792" i="17"/>
  <c r="L792" i="17"/>
  <c r="M792" i="17" s="1"/>
  <c r="J793" i="17"/>
  <c r="O793" i="17" s="1"/>
  <c r="K793" i="17"/>
  <c r="L793" i="17"/>
  <c r="M793" i="17" s="1"/>
  <c r="J794" i="17"/>
  <c r="O794" i="17" s="1"/>
  <c r="K794" i="17"/>
  <c r="L794" i="17"/>
  <c r="J795" i="17"/>
  <c r="O795" i="17" s="1"/>
  <c r="K795" i="17"/>
  <c r="L795" i="17"/>
  <c r="M795" i="17" s="1"/>
  <c r="J796" i="17"/>
  <c r="O796" i="17" s="1"/>
  <c r="K796" i="17"/>
  <c r="L796" i="17"/>
  <c r="M796" i="17" s="1"/>
  <c r="J797" i="17"/>
  <c r="O797" i="17" s="1"/>
  <c r="K797" i="17"/>
  <c r="L797" i="17"/>
  <c r="M797" i="17" s="1"/>
  <c r="J798" i="17"/>
  <c r="O798" i="17" s="1"/>
  <c r="K798" i="17"/>
  <c r="L798" i="17"/>
  <c r="M798" i="17" s="1"/>
  <c r="J799" i="17"/>
  <c r="O799" i="17" s="1"/>
  <c r="K799" i="17"/>
  <c r="L799" i="17"/>
  <c r="M799" i="17" s="1"/>
  <c r="J800" i="17"/>
  <c r="O800" i="17" s="1"/>
  <c r="K800" i="17"/>
  <c r="L800" i="17"/>
  <c r="M800" i="17" s="1"/>
  <c r="J801" i="17"/>
  <c r="O801" i="17" s="1"/>
  <c r="K801" i="17"/>
  <c r="L801" i="17"/>
  <c r="M801" i="17" s="1"/>
  <c r="J802" i="17"/>
  <c r="O802" i="17" s="1"/>
  <c r="K802" i="17"/>
  <c r="L802" i="17"/>
  <c r="M802" i="17" s="1"/>
  <c r="J803" i="17"/>
  <c r="O803" i="17" s="1"/>
  <c r="K803" i="17"/>
  <c r="L803" i="17"/>
  <c r="M803" i="17" s="1"/>
  <c r="J804" i="17"/>
  <c r="O804" i="17" s="1"/>
  <c r="K804" i="17"/>
  <c r="L804" i="17"/>
  <c r="J805" i="17"/>
  <c r="O805" i="17" s="1"/>
  <c r="K805" i="17"/>
  <c r="L805" i="17"/>
  <c r="M805" i="17" s="1"/>
  <c r="J806" i="17"/>
  <c r="O806" i="17" s="1"/>
  <c r="K806" i="17"/>
  <c r="L806" i="17"/>
  <c r="M806" i="17" s="1"/>
  <c r="J807" i="17"/>
  <c r="O807" i="17" s="1"/>
  <c r="K807" i="17"/>
  <c r="L807" i="17"/>
  <c r="M807" i="17" s="1"/>
  <c r="J808" i="17"/>
  <c r="O808" i="17" s="1"/>
  <c r="K808" i="17"/>
  <c r="L808" i="17"/>
  <c r="M808" i="17" s="1"/>
  <c r="J809" i="17"/>
  <c r="O809" i="17" s="1"/>
  <c r="K809" i="17"/>
  <c r="L809" i="17"/>
  <c r="M809" i="17" s="1"/>
  <c r="J810" i="17"/>
  <c r="O810" i="17" s="1"/>
  <c r="K810" i="17"/>
  <c r="L810" i="17"/>
  <c r="M810" i="17" s="1"/>
  <c r="J811" i="17"/>
  <c r="O811" i="17" s="1"/>
  <c r="K811" i="17"/>
  <c r="L811" i="17"/>
  <c r="M811" i="17" s="1"/>
  <c r="J812" i="17"/>
  <c r="O812" i="17" s="1"/>
  <c r="K812" i="17"/>
  <c r="L812" i="17"/>
  <c r="M812" i="17" s="1"/>
  <c r="J813" i="17"/>
  <c r="O813" i="17" s="1"/>
  <c r="K813" i="17"/>
  <c r="L813" i="17"/>
  <c r="M813" i="17" s="1"/>
  <c r="J814" i="17"/>
  <c r="O814" i="17" s="1"/>
  <c r="K814" i="17"/>
  <c r="L814" i="17"/>
  <c r="M814" i="17" s="1"/>
  <c r="J815" i="17"/>
  <c r="O815" i="17" s="1"/>
  <c r="K815" i="17"/>
  <c r="L815" i="17"/>
  <c r="J816" i="17"/>
  <c r="O816" i="17" s="1"/>
  <c r="K816" i="17"/>
  <c r="L816" i="17"/>
  <c r="M816" i="17" s="1"/>
  <c r="J817" i="17"/>
  <c r="O817" i="17" s="1"/>
  <c r="K817" i="17"/>
  <c r="L817" i="17"/>
  <c r="M817" i="17" s="1"/>
  <c r="J818" i="17"/>
  <c r="O818" i="17" s="1"/>
  <c r="K818" i="17"/>
  <c r="L818" i="17"/>
  <c r="M818" i="17" s="1"/>
  <c r="J819" i="17"/>
  <c r="O819" i="17" s="1"/>
  <c r="K819" i="17"/>
  <c r="L819" i="17"/>
  <c r="M819" i="17" s="1"/>
  <c r="J820" i="17"/>
  <c r="O820" i="17" s="1"/>
  <c r="K820" i="17"/>
  <c r="L820" i="17"/>
  <c r="M820" i="17" s="1"/>
  <c r="J821" i="17"/>
  <c r="O821" i="17" s="1"/>
  <c r="K821" i="17"/>
  <c r="L821" i="17"/>
  <c r="M821" i="17" s="1"/>
  <c r="J822" i="17"/>
  <c r="O822" i="17" s="1"/>
  <c r="K822" i="17"/>
  <c r="L822" i="17"/>
  <c r="M822" i="17" s="1"/>
  <c r="J823" i="17"/>
  <c r="O823" i="17" s="1"/>
  <c r="K823" i="17"/>
  <c r="L823" i="17"/>
  <c r="M823" i="17" s="1"/>
  <c r="J824" i="17"/>
  <c r="O824" i="17" s="1"/>
  <c r="K824" i="17"/>
  <c r="L824" i="17"/>
  <c r="M824" i="17" s="1"/>
  <c r="J825" i="17"/>
  <c r="O825" i="17" s="1"/>
  <c r="K825" i="17"/>
  <c r="L825" i="17"/>
  <c r="M825" i="17" s="1"/>
  <c r="J826" i="17"/>
  <c r="O826" i="17" s="1"/>
  <c r="K826" i="17"/>
  <c r="L826" i="17"/>
  <c r="J827" i="17"/>
  <c r="O827" i="17" s="1"/>
  <c r="K827" i="17"/>
  <c r="L827" i="17"/>
  <c r="M827" i="17" s="1"/>
  <c r="J828" i="17"/>
  <c r="O828" i="17" s="1"/>
  <c r="K828" i="17"/>
  <c r="L828" i="17"/>
  <c r="M828" i="17" s="1"/>
  <c r="J829" i="17"/>
  <c r="O829" i="17" s="1"/>
  <c r="K829" i="17"/>
  <c r="L829" i="17"/>
  <c r="M829" i="17" s="1"/>
  <c r="J830" i="17"/>
  <c r="O830" i="17" s="1"/>
  <c r="K830" i="17"/>
  <c r="L830" i="17"/>
  <c r="M830" i="17" s="1"/>
  <c r="J831" i="17"/>
  <c r="O831" i="17" s="1"/>
  <c r="K831" i="17"/>
  <c r="L831" i="17"/>
  <c r="M831" i="17" s="1"/>
  <c r="J832" i="17"/>
  <c r="O832" i="17" s="1"/>
  <c r="K832" i="17"/>
  <c r="L832" i="17"/>
  <c r="M832" i="17" s="1"/>
  <c r="J833" i="17"/>
  <c r="O833" i="17" s="1"/>
  <c r="K833" i="17"/>
  <c r="L833" i="17"/>
  <c r="M833" i="17" s="1"/>
  <c r="J834" i="17"/>
  <c r="O834" i="17" s="1"/>
  <c r="K834" i="17"/>
  <c r="L834" i="17"/>
  <c r="M834" i="17" s="1"/>
  <c r="J835" i="17"/>
  <c r="O835" i="17" s="1"/>
  <c r="K835" i="17"/>
  <c r="L835" i="17"/>
  <c r="M835" i="17" s="1"/>
  <c r="J836" i="17"/>
  <c r="O836" i="17" s="1"/>
  <c r="K836" i="17"/>
  <c r="L836" i="17"/>
  <c r="M836" i="17" s="1"/>
  <c r="J837" i="17"/>
  <c r="O837" i="17" s="1"/>
  <c r="K837" i="17"/>
  <c r="L837" i="17"/>
  <c r="M837" i="17" s="1"/>
  <c r="J838" i="17"/>
  <c r="O838" i="17" s="1"/>
  <c r="K838" i="17"/>
  <c r="L838" i="17"/>
  <c r="M838" i="17" s="1"/>
  <c r="J839" i="17"/>
  <c r="O839" i="17" s="1"/>
  <c r="K839" i="17"/>
  <c r="L839" i="17"/>
  <c r="M839" i="17" s="1"/>
  <c r="J840" i="17"/>
  <c r="O840" i="17" s="1"/>
  <c r="K840" i="17"/>
  <c r="L840" i="17"/>
  <c r="M840" i="17" s="1"/>
  <c r="J841" i="17"/>
  <c r="O841" i="17" s="1"/>
  <c r="K841" i="17"/>
  <c r="L841" i="17"/>
  <c r="M841" i="17" s="1"/>
  <c r="J842" i="17"/>
  <c r="O842" i="17" s="1"/>
  <c r="K842" i="17"/>
  <c r="L842" i="17"/>
  <c r="M842" i="17" s="1"/>
  <c r="J843" i="17"/>
  <c r="O843" i="17" s="1"/>
  <c r="K843" i="17"/>
  <c r="L843" i="17"/>
  <c r="M843" i="17" s="1"/>
  <c r="J844" i="17"/>
  <c r="O844" i="17" s="1"/>
  <c r="K844" i="17"/>
  <c r="L844" i="17"/>
  <c r="M844" i="17" s="1"/>
  <c r="J845" i="17"/>
  <c r="O845" i="17" s="1"/>
  <c r="K845" i="17"/>
  <c r="L845" i="17"/>
  <c r="M845" i="17" s="1"/>
  <c r="J846" i="17"/>
  <c r="O846" i="17" s="1"/>
  <c r="K846" i="17"/>
  <c r="L846" i="17"/>
  <c r="M846" i="17" s="1"/>
  <c r="J847" i="17"/>
  <c r="O847" i="17" s="1"/>
  <c r="K847" i="17"/>
  <c r="L847" i="17"/>
  <c r="M847" i="17" s="1"/>
  <c r="J848" i="17"/>
  <c r="O848" i="17" s="1"/>
  <c r="K848" i="17"/>
  <c r="L848" i="17"/>
  <c r="M848" i="17" s="1"/>
  <c r="J849" i="17"/>
  <c r="O849" i="17" s="1"/>
  <c r="K849" i="17"/>
  <c r="L849" i="17"/>
  <c r="M849" i="17" s="1"/>
  <c r="J850" i="17"/>
  <c r="O850" i="17" s="1"/>
  <c r="K850" i="17"/>
  <c r="L850" i="17"/>
  <c r="M850" i="17" s="1"/>
  <c r="J851" i="17"/>
  <c r="O851" i="17" s="1"/>
  <c r="K851" i="17"/>
  <c r="L851" i="17"/>
  <c r="M851" i="17" s="1"/>
  <c r="J852" i="17"/>
  <c r="O852" i="17" s="1"/>
  <c r="K852" i="17"/>
  <c r="L852" i="17"/>
  <c r="M852" i="17" s="1"/>
  <c r="J853" i="17"/>
  <c r="O853" i="17" s="1"/>
  <c r="K853" i="17"/>
  <c r="L853" i="17"/>
  <c r="M853" i="17" s="1"/>
  <c r="J854" i="17"/>
  <c r="O854" i="17" s="1"/>
  <c r="K854" i="17"/>
  <c r="L854" i="17"/>
  <c r="M854" i="17" s="1"/>
  <c r="J855" i="17"/>
  <c r="O855" i="17" s="1"/>
  <c r="K855" i="17"/>
  <c r="L855" i="17"/>
  <c r="M855" i="17" s="1"/>
  <c r="J856" i="17"/>
  <c r="O856" i="17" s="1"/>
  <c r="K856" i="17"/>
  <c r="L856" i="17"/>
  <c r="M856" i="17" s="1"/>
  <c r="J857" i="17"/>
  <c r="O857" i="17" s="1"/>
  <c r="K857" i="17"/>
  <c r="L857" i="17"/>
  <c r="M857" i="17" s="1"/>
  <c r="J858" i="17"/>
  <c r="O858" i="17" s="1"/>
  <c r="K858" i="17"/>
  <c r="L858" i="17"/>
  <c r="M858" i="17" s="1"/>
  <c r="J859" i="17"/>
  <c r="O859" i="17" s="1"/>
  <c r="K859" i="17"/>
  <c r="L859" i="17"/>
  <c r="M859" i="17" s="1"/>
  <c r="J860" i="17"/>
  <c r="O860" i="17" s="1"/>
  <c r="K860" i="17"/>
  <c r="L860" i="17"/>
  <c r="M860" i="17" s="1"/>
  <c r="J861" i="17"/>
  <c r="O861" i="17" s="1"/>
  <c r="K861" i="17"/>
  <c r="L861" i="17"/>
  <c r="M861" i="17" s="1"/>
  <c r="J862" i="17"/>
  <c r="O862" i="17" s="1"/>
  <c r="K862" i="17"/>
  <c r="L862" i="17"/>
  <c r="M862" i="17" s="1"/>
  <c r="J863" i="17"/>
  <c r="O863" i="17" s="1"/>
  <c r="K863" i="17"/>
  <c r="L863" i="17"/>
  <c r="M863" i="17" s="1"/>
  <c r="J864" i="17"/>
  <c r="O864" i="17" s="1"/>
  <c r="K864" i="17"/>
  <c r="L864" i="17"/>
  <c r="M864" i="17" s="1"/>
  <c r="J865" i="17"/>
  <c r="O865" i="17" s="1"/>
  <c r="K865" i="17"/>
  <c r="L865" i="17"/>
  <c r="M865" i="17" s="1"/>
  <c r="J866" i="17"/>
  <c r="O866" i="17" s="1"/>
  <c r="K866" i="17"/>
  <c r="L866" i="17"/>
  <c r="M866" i="17" s="1"/>
  <c r="J867" i="17"/>
  <c r="O867" i="17" s="1"/>
  <c r="K867" i="17"/>
  <c r="L867" i="17"/>
  <c r="M867" i="17" s="1"/>
  <c r="J868" i="17"/>
  <c r="O868" i="17" s="1"/>
  <c r="K868" i="17"/>
  <c r="L868" i="17"/>
  <c r="M868" i="17" s="1"/>
  <c r="J869" i="17"/>
  <c r="O869" i="17" s="1"/>
  <c r="K869" i="17"/>
  <c r="L869" i="17"/>
  <c r="M869" i="17" s="1"/>
  <c r="J870" i="17"/>
  <c r="O870" i="17" s="1"/>
  <c r="K870" i="17"/>
  <c r="L870" i="17"/>
  <c r="M870" i="17" s="1"/>
  <c r="J871" i="17"/>
  <c r="O871" i="17" s="1"/>
  <c r="K871" i="17"/>
  <c r="L871" i="17"/>
  <c r="M871" i="17" s="1"/>
  <c r="J872" i="17"/>
  <c r="O872" i="17" s="1"/>
  <c r="K872" i="17"/>
  <c r="L872" i="17"/>
  <c r="J873" i="17"/>
  <c r="O873" i="17" s="1"/>
  <c r="K873" i="17"/>
  <c r="L873" i="17"/>
  <c r="M873" i="17" s="1"/>
  <c r="J874" i="17"/>
  <c r="O874" i="17" s="1"/>
  <c r="K874" i="17"/>
  <c r="L874" i="17"/>
  <c r="M874" i="17" s="1"/>
  <c r="J875" i="17"/>
  <c r="O875" i="17" s="1"/>
  <c r="K875" i="17"/>
  <c r="L875" i="17"/>
  <c r="M875" i="17" s="1"/>
  <c r="J876" i="17"/>
  <c r="O876" i="17" s="1"/>
  <c r="K876" i="17"/>
  <c r="L876" i="17"/>
  <c r="M876" i="17" s="1"/>
  <c r="J877" i="17"/>
  <c r="O877" i="17" s="1"/>
  <c r="K877" i="17"/>
  <c r="L877" i="17"/>
  <c r="M877" i="17" s="1"/>
  <c r="J878" i="17"/>
  <c r="O878" i="17" s="1"/>
  <c r="K878" i="17"/>
  <c r="L878" i="17"/>
  <c r="M878" i="17" s="1"/>
  <c r="J879" i="17"/>
  <c r="O879" i="17" s="1"/>
  <c r="K879" i="17"/>
  <c r="L879" i="17"/>
  <c r="M879" i="17" s="1"/>
  <c r="J880" i="17"/>
  <c r="O880" i="17" s="1"/>
  <c r="K880" i="17"/>
  <c r="L880" i="17"/>
  <c r="M880" i="17" s="1"/>
  <c r="J881" i="17"/>
  <c r="O881" i="17" s="1"/>
  <c r="K881" i="17"/>
  <c r="L881" i="17"/>
  <c r="M881" i="17" s="1"/>
  <c r="J882" i="17"/>
  <c r="O882" i="17" s="1"/>
  <c r="K882" i="17"/>
  <c r="L882" i="17"/>
  <c r="M882" i="17" s="1"/>
  <c r="J883" i="17"/>
  <c r="O883" i="17" s="1"/>
  <c r="K883" i="17"/>
  <c r="L883" i="17"/>
  <c r="M883" i="17" s="1"/>
  <c r="J884" i="17"/>
  <c r="O884" i="17" s="1"/>
  <c r="K884" i="17"/>
  <c r="L884" i="17"/>
  <c r="M884" i="17" s="1"/>
  <c r="J885" i="17"/>
  <c r="O885" i="17" s="1"/>
  <c r="K885" i="17"/>
  <c r="L885" i="17"/>
  <c r="M885" i="17" s="1"/>
  <c r="J886" i="17"/>
  <c r="O886" i="17" s="1"/>
  <c r="K886" i="17"/>
  <c r="L886" i="17"/>
  <c r="M886" i="17" s="1"/>
  <c r="J887" i="17"/>
  <c r="O887" i="17" s="1"/>
  <c r="K887" i="17"/>
  <c r="L887" i="17"/>
  <c r="M887" i="17" s="1"/>
  <c r="J888" i="17"/>
  <c r="O888" i="17" s="1"/>
  <c r="K888" i="17"/>
  <c r="L888" i="17"/>
  <c r="M888" i="17" s="1"/>
  <c r="J889" i="17"/>
  <c r="O889" i="17" s="1"/>
  <c r="K889" i="17"/>
  <c r="L889" i="17"/>
  <c r="M889" i="17" s="1"/>
  <c r="J890" i="17"/>
  <c r="O890" i="17" s="1"/>
  <c r="K890" i="17"/>
  <c r="L890" i="17"/>
  <c r="M890" i="17" s="1"/>
  <c r="J891" i="17"/>
  <c r="O891" i="17" s="1"/>
  <c r="K891" i="17"/>
  <c r="L891" i="17"/>
  <c r="M891" i="17" s="1"/>
  <c r="J892" i="17"/>
  <c r="O892" i="17" s="1"/>
  <c r="K892" i="17"/>
  <c r="L892" i="17"/>
  <c r="M892" i="17" s="1"/>
  <c r="J893" i="17"/>
  <c r="O893" i="17" s="1"/>
  <c r="K893" i="17"/>
  <c r="L893" i="17"/>
  <c r="M893" i="17" s="1"/>
  <c r="J894" i="17"/>
  <c r="O894" i="17" s="1"/>
  <c r="K894" i="17"/>
  <c r="L894" i="17"/>
  <c r="M894" i="17" s="1"/>
  <c r="J895" i="17"/>
  <c r="O895" i="17" s="1"/>
  <c r="K895" i="17"/>
  <c r="L895" i="17"/>
  <c r="M895" i="17" s="1"/>
  <c r="J896" i="17"/>
  <c r="O896" i="17" s="1"/>
  <c r="K896" i="17"/>
  <c r="L896" i="17"/>
  <c r="M896" i="17" s="1"/>
  <c r="J897" i="17"/>
  <c r="O897" i="17" s="1"/>
  <c r="K897" i="17"/>
  <c r="L897" i="17"/>
  <c r="M897" i="17" s="1"/>
  <c r="J898" i="17"/>
  <c r="O898" i="17" s="1"/>
  <c r="K898" i="17"/>
  <c r="L898" i="17"/>
  <c r="M898" i="17" s="1"/>
  <c r="J899" i="17"/>
  <c r="O899" i="17" s="1"/>
  <c r="K899" i="17"/>
  <c r="L899" i="17"/>
  <c r="M899" i="17" s="1"/>
  <c r="J900" i="17"/>
  <c r="O900" i="17" s="1"/>
  <c r="K900" i="17"/>
  <c r="L900" i="17"/>
  <c r="M900" i="17" s="1"/>
  <c r="J901" i="17"/>
  <c r="O901" i="17" s="1"/>
  <c r="K901" i="17"/>
  <c r="L901" i="17"/>
  <c r="M901" i="17" s="1"/>
  <c r="J902" i="17"/>
  <c r="O902" i="17" s="1"/>
  <c r="K902" i="17"/>
  <c r="L902" i="17"/>
  <c r="M902" i="17" s="1"/>
  <c r="J903" i="17"/>
  <c r="O903" i="17" s="1"/>
  <c r="K903" i="17"/>
  <c r="L903" i="17"/>
  <c r="M903" i="17" s="1"/>
  <c r="J904" i="17"/>
  <c r="O904" i="17" s="1"/>
  <c r="K904" i="17"/>
  <c r="L904" i="17"/>
  <c r="M904" i="17" s="1"/>
  <c r="J905" i="17"/>
  <c r="O905" i="17" s="1"/>
  <c r="K905" i="17"/>
  <c r="L905" i="17"/>
  <c r="M905" i="17" s="1"/>
  <c r="J906" i="17"/>
  <c r="O906" i="17" s="1"/>
  <c r="K906" i="17"/>
  <c r="L906" i="17"/>
  <c r="M906" i="17" s="1"/>
  <c r="J907" i="17"/>
  <c r="O907" i="17" s="1"/>
  <c r="K907" i="17"/>
  <c r="L907" i="17"/>
  <c r="M907" i="17" s="1"/>
  <c r="J908" i="17"/>
  <c r="O908" i="17" s="1"/>
  <c r="K908" i="17"/>
  <c r="L908" i="17"/>
  <c r="M908" i="17" s="1"/>
  <c r="J909" i="17"/>
  <c r="O909" i="17" s="1"/>
  <c r="K909" i="17"/>
  <c r="L909" i="17"/>
  <c r="M909" i="17" s="1"/>
  <c r="J910" i="17"/>
  <c r="O910" i="17" s="1"/>
  <c r="K910" i="17"/>
  <c r="L910" i="17"/>
  <c r="M910" i="17" s="1"/>
  <c r="J911" i="17"/>
  <c r="O911" i="17" s="1"/>
  <c r="K911" i="17"/>
  <c r="L911" i="17"/>
  <c r="M911" i="17" s="1"/>
  <c r="J912" i="17"/>
  <c r="O912" i="17" s="1"/>
  <c r="K912" i="17"/>
  <c r="L912" i="17"/>
  <c r="M912" i="17" s="1"/>
  <c r="J913" i="17"/>
  <c r="O913" i="17" s="1"/>
  <c r="K913" i="17"/>
  <c r="L913" i="17"/>
  <c r="M913" i="17" s="1"/>
  <c r="J914" i="17"/>
  <c r="O914" i="17" s="1"/>
  <c r="K914" i="17"/>
  <c r="L914" i="17"/>
  <c r="M914" i="17" s="1"/>
  <c r="J915" i="17"/>
  <c r="O915" i="17" s="1"/>
  <c r="K915" i="17"/>
  <c r="L915" i="17"/>
  <c r="M915" i="17" s="1"/>
  <c r="J916" i="17"/>
  <c r="O916" i="17" s="1"/>
  <c r="K916" i="17"/>
  <c r="L916" i="17"/>
  <c r="M916" i="17" s="1"/>
  <c r="J917" i="17"/>
  <c r="O917" i="17" s="1"/>
  <c r="K917" i="17"/>
  <c r="L917" i="17"/>
  <c r="M917" i="17" s="1"/>
  <c r="J918" i="17"/>
  <c r="O918" i="17" s="1"/>
  <c r="K918" i="17"/>
  <c r="L918" i="17"/>
  <c r="M918" i="17" s="1"/>
  <c r="J919" i="17"/>
  <c r="O919" i="17" s="1"/>
  <c r="K919" i="17"/>
  <c r="L919" i="17"/>
  <c r="M919" i="17" s="1"/>
  <c r="J920" i="17"/>
  <c r="O920" i="17" s="1"/>
  <c r="K920" i="17"/>
  <c r="L920" i="17"/>
  <c r="M920" i="17" s="1"/>
  <c r="J921" i="17"/>
  <c r="O921" i="17" s="1"/>
  <c r="K921" i="17"/>
  <c r="L921" i="17"/>
  <c r="M921" i="17" s="1"/>
  <c r="J922" i="17"/>
  <c r="O922" i="17" s="1"/>
  <c r="K922" i="17"/>
  <c r="L922" i="17"/>
  <c r="M922" i="17" s="1"/>
  <c r="J923" i="17"/>
  <c r="O923" i="17" s="1"/>
  <c r="K923" i="17"/>
  <c r="L923" i="17"/>
  <c r="M923" i="17" s="1"/>
  <c r="J924" i="17"/>
  <c r="O924" i="17" s="1"/>
  <c r="K924" i="17"/>
  <c r="L924" i="17"/>
  <c r="M924" i="17" s="1"/>
  <c r="J925" i="17"/>
  <c r="O925" i="17" s="1"/>
  <c r="K925" i="17"/>
  <c r="L925" i="17"/>
  <c r="M925" i="17" s="1"/>
  <c r="J926" i="17"/>
  <c r="O926" i="17" s="1"/>
  <c r="K926" i="17"/>
  <c r="L926" i="17"/>
  <c r="M926" i="17" s="1"/>
  <c r="J927" i="17"/>
  <c r="O927" i="17" s="1"/>
  <c r="K927" i="17"/>
  <c r="L927" i="17"/>
  <c r="M927" i="17" s="1"/>
  <c r="J928" i="17"/>
  <c r="O928" i="17" s="1"/>
  <c r="K928" i="17"/>
  <c r="L928" i="17"/>
  <c r="M928" i="17" s="1"/>
  <c r="J929" i="17"/>
  <c r="O929" i="17" s="1"/>
  <c r="K929" i="17"/>
  <c r="L929" i="17"/>
  <c r="M929" i="17" s="1"/>
  <c r="J930" i="17"/>
  <c r="O930" i="17" s="1"/>
  <c r="K930" i="17"/>
  <c r="L930" i="17"/>
  <c r="M930" i="17" s="1"/>
  <c r="J931" i="17"/>
  <c r="O931" i="17" s="1"/>
  <c r="K931" i="17"/>
  <c r="L931" i="17"/>
  <c r="M931" i="17" s="1"/>
  <c r="J932" i="17"/>
  <c r="O932" i="17" s="1"/>
  <c r="K932" i="17"/>
  <c r="L932" i="17"/>
  <c r="M932" i="17" s="1"/>
  <c r="J933" i="17"/>
  <c r="O933" i="17" s="1"/>
  <c r="K933" i="17"/>
  <c r="L933" i="17"/>
  <c r="M933" i="17" s="1"/>
  <c r="J934" i="17"/>
  <c r="O934" i="17" s="1"/>
  <c r="K934" i="17"/>
  <c r="L934" i="17"/>
  <c r="M934" i="17" s="1"/>
  <c r="J935" i="17"/>
  <c r="O935" i="17" s="1"/>
  <c r="K935" i="17"/>
  <c r="L935" i="17"/>
  <c r="M935" i="17" s="1"/>
  <c r="J936" i="17"/>
  <c r="O936" i="17" s="1"/>
  <c r="K936" i="17"/>
  <c r="L936" i="17"/>
  <c r="M936" i="17" s="1"/>
  <c r="J937" i="17"/>
  <c r="O937" i="17" s="1"/>
  <c r="K937" i="17"/>
  <c r="L937" i="17"/>
  <c r="M937" i="17" s="1"/>
  <c r="J938" i="17"/>
  <c r="O938" i="17" s="1"/>
  <c r="K938" i="17"/>
  <c r="L938" i="17"/>
  <c r="M938" i="17" s="1"/>
  <c r="J939" i="17"/>
  <c r="O939" i="17" s="1"/>
  <c r="K939" i="17"/>
  <c r="L939" i="17"/>
  <c r="M939" i="17" s="1"/>
  <c r="J940" i="17"/>
  <c r="O940" i="17" s="1"/>
  <c r="K940" i="17"/>
  <c r="L940" i="17"/>
  <c r="M940" i="17" s="1"/>
  <c r="J941" i="17"/>
  <c r="O941" i="17" s="1"/>
  <c r="K941" i="17"/>
  <c r="L941" i="17"/>
  <c r="M941" i="17" s="1"/>
  <c r="J942" i="17"/>
  <c r="O942" i="17" s="1"/>
  <c r="K942" i="17"/>
  <c r="L942" i="17"/>
  <c r="M942" i="17" s="1"/>
  <c r="J943" i="17"/>
  <c r="O943" i="17" s="1"/>
  <c r="K943" i="17"/>
  <c r="L943" i="17"/>
  <c r="M943" i="17" s="1"/>
  <c r="J944" i="17"/>
  <c r="O944" i="17" s="1"/>
  <c r="K944" i="17"/>
  <c r="L944" i="17"/>
  <c r="M944" i="17" s="1"/>
  <c r="J945" i="17"/>
  <c r="O945" i="17" s="1"/>
  <c r="K945" i="17"/>
  <c r="L945" i="17"/>
  <c r="M945" i="17" s="1"/>
  <c r="J946" i="17"/>
  <c r="O946" i="17" s="1"/>
  <c r="K946" i="17"/>
  <c r="L946" i="17"/>
  <c r="M946" i="17" s="1"/>
  <c r="J947" i="17"/>
  <c r="O947" i="17" s="1"/>
  <c r="K947" i="17"/>
  <c r="L947" i="17"/>
  <c r="M947" i="17" s="1"/>
  <c r="J948" i="17"/>
  <c r="O948" i="17" s="1"/>
  <c r="K948" i="17"/>
  <c r="L948" i="17"/>
  <c r="M948" i="17" s="1"/>
  <c r="J949" i="17"/>
  <c r="O949" i="17" s="1"/>
  <c r="K949" i="17"/>
  <c r="L949" i="17"/>
  <c r="M949" i="17" s="1"/>
  <c r="J950" i="17"/>
  <c r="O950" i="17" s="1"/>
  <c r="K950" i="17"/>
  <c r="L950" i="17"/>
  <c r="M950" i="17" s="1"/>
  <c r="J951" i="17"/>
  <c r="O951" i="17" s="1"/>
  <c r="K951" i="17"/>
  <c r="L951" i="17"/>
  <c r="M951" i="17" s="1"/>
  <c r="J952" i="17"/>
  <c r="O952" i="17" s="1"/>
  <c r="K952" i="17"/>
  <c r="L952" i="17"/>
  <c r="M952" i="17" s="1"/>
  <c r="J953" i="17"/>
  <c r="O953" i="17" s="1"/>
  <c r="K953" i="17"/>
  <c r="L953" i="17"/>
  <c r="M953" i="17" s="1"/>
  <c r="J954" i="17"/>
  <c r="O954" i="17" s="1"/>
  <c r="K954" i="17"/>
  <c r="L954" i="17"/>
  <c r="M954" i="17" s="1"/>
  <c r="J955" i="17"/>
  <c r="O955" i="17" s="1"/>
  <c r="K955" i="17"/>
  <c r="L955" i="17"/>
  <c r="M955" i="17" s="1"/>
  <c r="J956" i="17"/>
  <c r="O956" i="17" s="1"/>
  <c r="K956" i="17"/>
  <c r="L956" i="17"/>
  <c r="M956" i="17" s="1"/>
  <c r="J957" i="17"/>
  <c r="O957" i="17" s="1"/>
  <c r="K957" i="17"/>
  <c r="L957" i="17"/>
  <c r="M957" i="17" s="1"/>
  <c r="J958" i="17"/>
  <c r="O958" i="17" s="1"/>
  <c r="K958" i="17"/>
  <c r="L958" i="17"/>
  <c r="M958" i="17" s="1"/>
  <c r="J959" i="17"/>
  <c r="O959" i="17" s="1"/>
  <c r="K959" i="17"/>
  <c r="L959" i="17"/>
  <c r="M959" i="17" s="1"/>
  <c r="J960" i="17"/>
  <c r="O960" i="17" s="1"/>
  <c r="K960" i="17"/>
  <c r="L960" i="17"/>
  <c r="M960" i="17" s="1"/>
  <c r="J961" i="17"/>
  <c r="O961" i="17" s="1"/>
  <c r="K961" i="17"/>
  <c r="L961" i="17"/>
  <c r="M961" i="17" s="1"/>
  <c r="J962" i="17"/>
  <c r="O962" i="17" s="1"/>
  <c r="K962" i="17"/>
  <c r="L962" i="17"/>
  <c r="M962" i="17" s="1"/>
  <c r="J963" i="17"/>
  <c r="O963" i="17" s="1"/>
  <c r="K963" i="17"/>
  <c r="L963" i="17"/>
  <c r="M963" i="17" s="1"/>
  <c r="J964" i="17"/>
  <c r="O964" i="17" s="1"/>
  <c r="K964" i="17"/>
  <c r="L964" i="17"/>
  <c r="M964" i="17" s="1"/>
  <c r="J965" i="17"/>
  <c r="O965" i="17" s="1"/>
  <c r="K965" i="17"/>
  <c r="L965" i="17"/>
  <c r="M965" i="17" s="1"/>
  <c r="J966" i="17"/>
  <c r="O966" i="17" s="1"/>
  <c r="K966" i="17"/>
  <c r="L966" i="17"/>
  <c r="M966" i="17" s="1"/>
  <c r="J967" i="17"/>
  <c r="O967" i="17" s="1"/>
  <c r="K967" i="17"/>
  <c r="L967" i="17"/>
  <c r="M967" i="17" s="1"/>
  <c r="J968" i="17"/>
  <c r="O968" i="17" s="1"/>
  <c r="K968" i="17"/>
  <c r="L968" i="17"/>
  <c r="M968" i="17" s="1"/>
  <c r="J969" i="17"/>
  <c r="O969" i="17" s="1"/>
  <c r="K969" i="17"/>
  <c r="L969" i="17"/>
  <c r="M969" i="17" s="1"/>
  <c r="J970" i="17"/>
  <c r="O970" i="17" s="1"/>
  <c r="K970" i="17"/>
  <c r="L970" i="17"/>
  <c r="M970" i="17" s="1"/>
  <c r="J971" i="17"/>
  <c r="O971" i="17" s="1"/>
  <c r="K971" i="17"/>
  <c r="L971" i="17"/>
  <c r="M971" i="17" s="1"/>
  <c r="J972" i="17"/>
  <c r="O972" i="17" s="1"/>
  <c r="K972" i="17"/>
  <c r="L972" i="17"/>
  <c r="M972" i="17" s="1"/>
  <c r="J973" i="17"/>
  <c r="O973" i="17" s="1"/>
  <c r="K973" i="17"/>
  <c r="L973" i="17"/>
  <c r="M973" i="17" s="1"/>
  <c r="J974" i="17"/>
  <c r="O974" i="17" s="1"/>
  <c r="K974" i="17"/>
  <c r="L974" i="17"/>
  <c r="M974" i="17" s="1"/>
  <c r="J975" i="17"/>
  <c r="O975" i="17" s="1"/>
  <c r="K975" i="17"/>
  <c r="L975" i="17"/>
  <c r="M975" i="17" s="1"/>
  <c r="J976" i="17"/>
  <c r="O976" i="17" s="1"/>
  <c r="K976" i="17"/>
  <c r="L976" i="17"/>
  <c r="M976" i="17" s="1"/>
  <c r="J977" i="17"/>
  <c r="O977" i="17" s="1"/>
  <c r="K977" i="17"/>
  <c r="L977" i="17"/>
  <c r="M977" i="17" s="1"/>
  <c r="J978" i="17"/>
  <c r="O978" i="17" s="1"/>
  <c r="K978" i="17"/>
  <c r="L978" i="17"/>
  <c r="M978" i="17" s="1"/>
  <c r="J979" i="17"/>
  <c r="O979" i="17" s="1"/>
  <c r="K979" i="17"/>
  <c r="L979" i="17"/>
  <c r="M979" i="17" s="1"/>
  <c r="J980" i="17"/>
  <c r="O980" i="17" s="1"/>
  <c r="K980" i="17"/>
  <c r="L980" i="17"/>
  <c r="M980" i="17" s="1"/>
  <c r="J981" i="17"/>
  <c r="O981" i="17" s="1"/>
  <c r="K981" i="17"/>
  <c r="L981" i="17"/>
  <c r="M981" i="17" s="1"/>
  <c r="J982" i="17"/>
  <c r="O982" i="17" s="1"/>
  <c r="K982" i="17"/>
  <c r="L982" i="17"/>
  <c r="M982" i="17" s="1"/>
  <c r="J983" i="17"/>
  <c r="O983" i="17" s="1"/>
  <c r="K983" i="17"/>
  <c r="L983" i="17"/>
  <c r="M983" i="17" s="1"/>
  <c r="J984" i="17"/>
  <c r="O984" i="17" s="1"/>
  <c r="K984" i="17"/>
  <c r="L984" i="17"/>
  <c r="M984" i="17" s="1"/>
  <c r="J985" i="17"/>
  <c r="O985" i="17" s="1"/>
  <c r="K985" i="17"/>
  <c r="L985" i="17"/>
  <c r="M985" i="17" s="1"/>
  <c r="J986" i="17"/>
  <c r="O986" i="17" s="1"/>
  <c r="K986" i="17"/>
  <c r="L986" i="17"/>
  <c r="M986" i="17" s="1"/>
  <c r="J987" i="17"/>
  <c r="O987" i="17" s="1"/>
  <c r="K987" i="17"/>
  <c r="L987" i="17"/>
  <c r="M987" i="17" s="1"/>
  <c r="J988" i="17"/>
  <c r="O988" i="17" s="1"/>
  <c r="K988" i="17"/>
  <c r="L988" i="17"/>
  <c r="M988" i="17" s="1"/>
  <c r="J989" i="17"/>
  <c r="O989" i="17" s="1"/>
  <c r="K989" i="17"/>
  <c r="L989" i="17"/>
  <c r="M989" i="17" s="1"/>
  <c r="J990" i="17"/>
  <c r="O990" i="17" s="1"/>
  <c r="K990" i="17"/>
  <c r="L990" i="17"/>
  <c r="M990" i="17" s="1"/>
  <c r="J991" i="17"/>
  <c r="O991" i="17" s="1"/>
  <c r="K991" i="17"/>
  <c r="L991" i="17"/>
  <c r="M991" i="17" s="1"/>
  <c r="J992" i="17"/>
  <c r="O992" i="17" s="1"/>
  <c r="K992" i="17"/>
  <c r="L992" i="17"/>
  <c r="M992" i="17" s="1"/>
  <c r="J993" i="17"/>
  <c r="O993" i="17" s="1"/>
  <c r="K993" i="17"/>
  <c r="L993" i="17"/>
  <c r="M993" i="17" s="1"/>
  <c r="J994" i="17"/>
  <c r="O994" i="17" s="1"/>
  <c r="K994" i="17"/>
  <c r="L994" i="17"/>
  <c r="M994" i="17" s="1"/>
  <c r="J995" i="17"/>
  <c r="O995" i="17" s="1"/>
  <c r="K995" i="17"/>
  <c r="L995" i="17"/>
  <c r="M995" i="17" s="1"/>
  <c r="J996" i="17"/>
  <c r="O996" i="17" s="1"/>
  <c r="K996" i="17"/>
  <c r="L996" i="17"/>
  <c r="M996" i="17" s="1"/>
  <c r="J997" i="17"/>
  <c r="O997" i="17" s="1"/>
  <c r="K997" i="17"/>
  <c r="L997" i="17"/>
  <c r="M997" i="17" s="1"/>
  <c r="J998" i="17"/>
  <c r="O998" i="17" s="1"/>
  <c r="K998" i="17"/>
  <c r="L998" i="17"/>
  <c r="M998" i="17" s="1"/>
  <c r="J999" i="17"/>
  <c r="O999" i="17" s="1"/>
  <c r="K999" i="17"/>
  <c r="L999" i="17"/>
  <c r="M999" i="17" s="1"/>
  <c r="J1000" i="17"/>
  <c r="O1000" i="17" s="1"/>
  <c r="K1000" i="17"/>
  <c r="L1000" i="17"/>
  <c r="J1001" i="17"/>
  <c r="O1001" i="17" s="1"/>
  <c r="K1001" i="17"/>
  <c r="L1001" i="17"/>
  <c r="M1001" i="17" s="1"/>
  <c r="M42" i="17"/>
  <c r="M79" i="17"/>
  <c r="M155" i="17"/>
  <c r="M192" i="17"/>
  <c r="M230" i="17"/>
  <c r="M306" i="17"/>
  <c r="M343" i="17"/>
  <c r="M373" i="17"/>
  <c r="M401" i="17"/>
  <c r="M471" i="17"/>
  <c r="M514" i="17"/>
  <c r="M578" i="17"/>
  <c r="M599" i="17"/>
  <c r="M634" i="17"/>
  <c r="M644" i="17"/>
  <c r="M655" i="17"/>
  <c r="M687" i="17"/>
  <c r="M698" i="17"/>
  <c r="M719" i="17"/>
  <c r="M730" i="17"/>
  <c r="M740" i="17"/>
  <c r="M762" i="17"/>
  <c r="M794" i="17"/>
  <c r="M804" i="17"/>
  <c r="M815" i="17"/>
  <c r="M826" i="17"/>
  <c r="M872" i="17"/>
  <c r="M1000" i="17"/>
  <c r="L2" i="17"/>
  <c r="M2" i="17" s="1"/>
  <c r="J2" i="17"/>
  <c r="O2" i="17" s="1"/>
  <c r="K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F3" i="17"/>
  <c r="F4" i="17"/>
  <c r="F5" i="17"/>
  <c r="F6" i="17"/>
  <c r="F7" i="17"/>
  <c r="F8" i="17"/>
  <c r="F9" i="17"/>
  <c r="F11" i="17"/>
  <c r="F12" i="17"/>
  <c r="F13" i="17"/>
  <c r="F14" i="17"/>
  <c r="F15"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<sst xmlns="http://schemas.openxmlformats.org/spreadsheetml/2006/main" count="11114" uniqueCount="6220">
  <si>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</si>
  <si>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</si>
  <si>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</si>
  <si>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</si>
  <si>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</si>
  <si>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</si>
  <si>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</si>
  <si>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</si>
  <si>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</si>
  <si>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</si>
  <si>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</si>
  <si>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</si>
  <si>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</si>
  <si>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</si>
  <si>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</si>
  <si>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</si>
  <si>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</si>
  <si>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</si>
  <si>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</si>
  <si>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</si>
  <si>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</si>
  <si>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</si>
  <si>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</si>
  <si>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</si>
  <si>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</si>
  <si>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</si>
  <si>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</si>
  <si>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</si>
  <si>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</si>
  <si>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</si>
  <si>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</si>
  <si>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</si>
  <si>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</si>
  <si>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</si>
  <si>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</si>
  <si>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</si>
  <si>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</si>
  <si>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</si>
  <si>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</si>
  <si>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</si>
  <si>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</si>
  <si>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</si>
  <si>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</si>
  <si>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</si>
  <si>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</si>
  <si>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</si>
  <si>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</si>
  <si>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</si>
  <si>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</si>
  <si>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</si>
  <si>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</si>
  <si>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</si>
  <si>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</si>
  <si>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</si>
  <si>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</si>
  <si>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</si>
  <si>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</si>
  <si>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</si>
  <si>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</si>
  <si>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</si>
  <si>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</si>
  <si>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</si>
  <si>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</si>
  <si>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</si>
  <si>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</si>
  <si>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</si>
  <si>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</si>
  <si>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</si>
  <si>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</si>
  <si>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</si>
  <si>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</si>
  <si>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</si>
  <si>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</si>
  <si>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</si>
  <si>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</si>
  <si>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</si>
  <si>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</si>
  <si>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</si>
  <si>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</si>
  <si>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</si>
  <si>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</si>
  <si>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</si>
  <si>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</si>
  <si>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</si>
  <si>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</si>
  <si>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</si>
  <si>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</si>
  <si>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</si>
  <si>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</si>
  <si>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</si>
  <si>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</si>
  <si>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</si>
  <si>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</si>
  <si>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</si>
  <si>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</si>
  <si>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</si>
  <si>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</si>
  <si>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</si>
  <si>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</si>
  <si>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</si>
  <si>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</si>
  <si>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</si>
  <si>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</si>
  <si>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</si>
  <si>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</si>
  <si>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</si>
  <si>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</si>
  <si>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</si>
  <si>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</si>
  <si>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</si>
  <si>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</si>
  <si>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</si>
  <si>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</si>
  <si>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</si>
  <si>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</si>
  <si>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</si>
  <si>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</si>
  <si>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</si>
  <si>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</si>
  <si>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</si>
  <si>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</si>
  <si>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</si>
  <si>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</si>
  <si>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</si>
  <si>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</si>
  <si>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</si>
  <si>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</si>
  <si>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</si>
  <si>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</si>
  <si>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</si>
  <si>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</si>
  <si>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</si>
  <si>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</si>
  <si>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</si>
  <si>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</si>
  <si>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</si>
  <si>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</si>
  <si>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</si>
  <si>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</si>
  <si>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</si>
  <si>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</si>
  <si>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</si>
  <si>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</si>
  <si>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</si>
  <si>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</si>
  <si>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</si>
  <si>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</si>
  <si>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</si>
  <si>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</si>
  <si>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</si>
  <si>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</si>
  <si>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</si>
  <si>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</si>
  <si>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</si>
  <si>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</si>
  <si>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</si>
  <si>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</si>
  <si>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</si>
  <si>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</si>
  <si>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</si>
  <si>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</si>
  <si>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</si>
  <si>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</si>
  <si>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</si>
  <si>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</si>
  <si>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</si>
  <si>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</si>
  <si>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</si>
  <si>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</si>
  <si>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</si>
  <si>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</si>
  <si>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</si>
  <si>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</si>
  <si>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</si>
  <si>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</si>
  <si>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</si>
  <si>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</si>
  <si>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</si>
  <si>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</si>
  <si>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</si>
  <si>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</si>
  <si>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</si>
  <si>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</si>
  <si>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</si>
  <si>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</si>
  <si>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</si>
  <si>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</si>
  <si>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</si>
  <si>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</si>
  <si>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</si>
  <si>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</si>
  <si>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</si>
  <si>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</si>
  <si>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</si>
  <si>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</si>
  <si>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</si>
  <si>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</si>
  <si>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</si>
  <si>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</si>
  <si>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</si>
  <si>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</si>
  <si>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</si>
  <si>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</si>
  <si>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</si>
  <si>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</si>
  <si>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</si>
  <si>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</si>
  <si>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</si>
  <si>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</si>
  <si>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</si>
  <si>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</si>
  <si>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</si>
  <si>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</si>
  <si>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</si>
  <si>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</si>
  <si>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</si>
  <si>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</si>
  <si>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</si>
  <si>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</si>
  <si>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</si>
  <si>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</si>
  <si>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</si>
  <si>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</si>
  <si>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</si>
  <si>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</si>
  <si>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</si>
  <si>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</si>
  <si>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</si>
  <si>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</si>
  <si>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</si>
  <si>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</si>
  <si>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</si>
  <si>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</si>
  <si>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</si>
  <si>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</si>
  <si>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</si>
  <si>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</si>
  <si>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</si>
  <si>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</si>
  <si>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</si>
  <si>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</si>
  <si>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</si>
  <si>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</si>
  <si>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</si>
  <si>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</si>
  <si>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</si>
  <si>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</si>
  <si>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</si>
  <si>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</si>
  <si>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</si>
  <si>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</si>
  <si>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</si>
  <si>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</si>
  <si>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</si>
  <si>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</si>
  <si>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</si>
  <si>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</si>
  <si>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</si>
  <si>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</si>
  <si>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</si>
  <si>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</si>
  <si>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</si>
  <si>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</si>
  <si>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</si>
  <si>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</si>
  <si>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</si>
  <si>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</si>
  <si>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</si>
  <si>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</si>
  <si>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</si>
  <si>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</si>
  <si>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</si>
  <si>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</si>
  <si>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</si>
  <si>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</si>
  <si>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</si>
  <si>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</si>
  <si>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</si>
  <si>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</si>
  <si>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</si>
  <si>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</si>
  <si>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</si>
  <si>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</si>
  <si>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</si>
  <si>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</si>
  <si>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</si>
  <si>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</si>
  <si>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</si>
  <si>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</si>
  <si>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</si>
  <si>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</si>
  <si>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</si>
  <si>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</si>
  <si>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</si>
  <si>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</si>
  <si>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</si>
  <si>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</si>
  <si>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</si>
  <si>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</si>
  <si>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</si>
  <si>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</si>
  <si>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</si>
  <si>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</si>
  <si>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</si>
  <si>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</si>
  <si>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</si>
  <si>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</si>
  <si>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</si>
  <si>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</si>
  <si>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</si>
  <si>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</si>
  <si>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</si>
  <si>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</si>
  <si>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</si>
  <si>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</si>
  <si>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</si>
  <si>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</si>
  <si>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</si>
  <si>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</si>
  <si>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</si>
  <si>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</si>
  <si>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</si>
  <si>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</si>
  <si>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</si>
  <si>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</si>
  <si>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</si>
  <si>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</si>
  <si>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</si>
  <si>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</si>
  <si>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</si>
  <si>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</si>
  <si>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</si>
  <si>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</si>
  <si>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</si>
  <si>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</si>
  <si>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</si>
  <si>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</si>
  <si>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</si>
  <si>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</si>
  <si>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</si>
  <si>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</si>
  <si>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</si>
  <si>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</si>
  <si>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</si>
  <si>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</si>
  <si>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</si>
  <si>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</si>
  <si>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</si>
  <si>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</si>
  <si>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</si>
  <si>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</si>
  <si>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</si>
  <si>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</si>
  <si>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</si>
  <si>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</si>
  <si>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</si>
  <si>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</si>
  <si>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</si>
  <si>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</si>
  <si>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</si>
  <si>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</si>
  <si>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</si>
  <si>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</si>
  <si>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</si>
  <si>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</si>
  <si>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</si>
  <si>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</si>
  <si>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</si>
  <si>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</si>
  <si>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</si>
  <si>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</si>
  <si>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</si>
  <si>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</si>
  <si>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</si>
  <si>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</si>
  <si>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</si>
  <si>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</si>
  <si>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</si>
  <si>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</si>
  <si>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</si>
  <si>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</si>
  <si>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</si>
  <si>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</si>
  <si>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</si>
  <si>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</si>
  <si>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</si>
  <si>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</si>
  <si>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</si>
  <si>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</si>
  <si>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</si>
  <si>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</si>
  <si>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</si>
  <si>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</si>
  <si>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</si>
  <si>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</si>
  <si>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</si>
  <si>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</si>
  <si>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</si>
  <si>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</si>
  <si>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</si>
  <si>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</si>
  <si>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</si>
  <si>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</si>
  <si>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</si>
  <si>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</si>
  <si>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</si>
  <si>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</si>
  <si>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</si>
  <si>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</si>
  <si>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</si>
  <si>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</si>
  <si>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</si>
  <si>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</si>
  <si>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</si>
  <si>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</si>
  <si>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</si>
  <si>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</si>
  <si>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</si>
  <si>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</si>
  <si>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</si>
  <si>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</si>
  <si>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</si>
  <si>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</si>
  <si>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</si>
  <si>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</si>
  <si>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</si>
  <si>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</si>
  <si>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</si>
  <si>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</si>
  <si>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</si>
  <si>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</si>
  <si>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</si>
  <si>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</si>
  <si>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</si>
  <si>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</si>
  <si>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</si>
  <si>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</si>
  <si>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</si>
  <si>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</si>
  <si>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</si>
  <si>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</si>
  <si>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</si>
  <si>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</si>
  <si>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</si>
  <si>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</si>
  <si>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</si>
  <si>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</si>
  <si>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</si>
  <si>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</si>
  <si>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</si>
  <si>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</si>
  <si>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</si>
  <si>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</si>
  <si>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</si>
  <si>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</si>
  <si>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</si>
  <si>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</si>
  <si>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</si>
  <si>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</si>
  <si>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</si>
  <si>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</si>
  <si>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</si>
  <si>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</si>
  <si>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</si>
  <si>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</si>
  <si>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</si>
  <si>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</si>
  <si>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</si>
  <si>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</si>
  <si>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</si>
  <si>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</si>
  <si>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</si>
  <si>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</si>
  <si>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</si>
  <si>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</si>
  <si>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</si>
  <si>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</si>
  <si>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</si>
  <si>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</si>
  <si>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</si>
  <si>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</si>
  <si>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</si>
  <si>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</si>
  <si>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</si>
  <si>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</si>
  <si>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</si>
  <si>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</si>
  <si>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</si>
  <si>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</si>
  <si>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</si>
  <si>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</si>
  <si>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</si>
  <si>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</si>
  <si>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</si>
  <si>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</si>
  <si>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</si>
  <si>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</si>
  <si>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</si>
  <si>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</si>
  <si>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</si>
  <si>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</si>
  <si>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</si>
  <si>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</si>
  <si>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</si>
  <si>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</si>
  <si>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</si>
  <si>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</si>
  <si>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</si>
  <si>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</si>
  <si>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</si>
  <si>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</si>
  <si>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</si>
  <si>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</si>
  <si>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</si>
  <si>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</si>
  <si>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</si>
  <si>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</si>
  <si>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</si>
  <si>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</si>
  <si>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</si>
  <si>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</si>
  <si>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</si>
  <si>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</si>
  <si>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</si>
  <si>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</si>
  <si>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</si>
  <si>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</si>
  <si>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</si>
  <si>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</si>
  <si>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</si>
  <si>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</si>
  <si>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</si>
  <si>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</si>
  <si>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</si>
  <si>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</si>
  <si>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</si>
  <si>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</si>
  <si>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</si>
  <si>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</si>
  <si>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</si>
  <si>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</si>
  <si>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</si>
  <si>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</si>
  <si>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</si>
  <si>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</si>
  <si>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</si>
  <si>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</si>
  <si>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</si>
  <si>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</si>
  <si>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</si>
  <si>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</si>
  <si>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</si>
  <si>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</si>
  <si>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</si>
  <si>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</si>
  <si>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</si>
  <si>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</si>
  <si>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</si>
  <si>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</si>
  <si>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</si>
  <si>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</si>
  <si>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</si>
  <si>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</si>
  <si>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</si>
  <si>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</si>
  <si>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</si>
  <si>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</si>
  <si>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</si>
  <si>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</si>
  <si>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</si>
  <si>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</si>
  <si>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</si>
  <si>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</si>
  <si>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</si>
  <si>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</si>
  <si>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</si>
  <si>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</si>
  <si>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</si>
  <si>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</si>
  <si>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</si>
  <si>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</si>
  <si>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</si>
  <si>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</si>
  <si>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</si>
  <si>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</si>
  <si>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</si>
  <si>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</si>
  <si>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</si>
  <si>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</si>
  <si>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</si>
  <si>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</si>
  <si>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</si>
  <si>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</si>
  <si>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</si>
  <si>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</si>
  <si>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</si>
  <si>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</si>
  <si>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</si>
  <si>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</si>
  <si>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</si>
  <si>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</si>
  <si>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</si>
  <si>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</si>
  <si>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</si>
  <si>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</si>
  <si>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</si>
  <si>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</si>
  <si>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</si>
  <si>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</si>
  <si>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</si>
  <si>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</si>
  <si>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</si>
  <si>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</si>
  <si>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</si>
  <si>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</si>
  <si>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</si>
  <si>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</si>
  <si>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</si>
  <si>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</si>
  <si>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</si>
  <si>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</si>
  <si>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</si>
  <si>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</si>
  <si>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</si>
  <si>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</si>
  <si>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</si>
  <si>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</si>
  <si>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</si>
  <si>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</si>
  <si>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</si>
  <si>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</si>
  <si>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</si>
  <si>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</si>
  <si>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</si>
  <si>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</si>
  <si>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</si>
  <si>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</si>
  <si>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</si>
  <si>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</si>
  <si>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</si>
  <si>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</si>
  <si>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</si>
  <si>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</si>
  <si>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</si>
  <si>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</si>
  <si>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</si>
  <si>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</si>
  <si>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</si>
  <si>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</si>
  <si>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</si>
  <si>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</si>
  <si>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</si>
  <si>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</si>
  <si>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</si>
  <si>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</si>
  <si>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</si>
  <si>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</si>
  <si>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</si>
  <si>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</si>
  <si>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</si>
  <si>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</si>
  <si>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</si>
  <si>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</si>
  <si>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</si>
  <si>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</si>
  <si>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</si>
  <si>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</si>
  <si>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</si>
  <si>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</si>
  <si>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</si>
  <si>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</si>
  <si>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</si>
  <si>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</si>
  <si>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</si>
  <si>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</si>
  <si>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</si>
  <si>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</si>
  <si>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</si>
  <si>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</si>
  <si>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</si>
  <si>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</si>
  <si>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</si>
  <si>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</si>
  <si>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</si>
  <si>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</si>
  <si>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</si>
  <si>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</si>
  <si>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</si>
  <si>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</si>
  <si>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</si>
  <si>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</si>
  <si>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</si>
  <si>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</si>
  <si>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</si>
  <si>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</si>
  <si>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</si>
  <si>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</si>
  <si>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</si>
  <si>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</si>
  <si>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</si>
  <si>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</si>
  <si>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</si>
  <si>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</si>
  <si>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</si>
  <si>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</si>
  <si>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</si>
  <si>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</si>
  <si>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</si>
  <si>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</si>
  <si>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</si>
  <si>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</si>
  <si>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</si>
  <si>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</si>
  <si>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</si>
  <si>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</si>
  <si>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</si>
  <si>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</si>
  <si>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</si>
  <si>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</si>
  <si>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</si>
  <si>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</si>
  <si>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</si>
  <si>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</si>
  <si>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</si>
  <si>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</si>
  <si>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</si>
  <si>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</si>
  <si>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</si>
  <si>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</si>
  <si>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</si>
  <si>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</si>
  <si>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</si>
  <si>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</si>
  <si>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</si>
  <si>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</si>
  <si>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</si>
  <si>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</si>
  <si>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</si>
  <si>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</si>
  <si>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</si>
  <si>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</si>
  <si>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</si>
  <si>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</si>
  <si>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</si>
  <si>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</si>
  <si>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</si>
  <si>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</si>
  <si>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</si>
  <si>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</si>
  <si>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</si>
  <si>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</si>
  <si>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</si>
  <si>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</si>
  <si>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</si>
  <si>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</si>
  <si>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</si>
  <si>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</si>
  <si>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</si>
  <si>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</si>
  <si>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</si>
  <si>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</si>
  <si>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</si>
  <si>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</si>
  <si>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</si>
  <si>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</si>
  <si>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</si>
  <si>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</si>
  <si>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</si>
  <si>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</si>
  <si>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</si>
  <si>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</si>
  <si>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</si>
  <si>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</si>
  <si>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</si>
  <si>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</si>
  <si>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</si>
  <si>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</si>
  <si>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</si>
  <si>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</si>
  <si>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</si>
  <si>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</si>
  <si>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</si>
  <si>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</si>
  <si>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</si>
  <si>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</si>
  <si>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</si>
  <si>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</si>
  <si>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</si>
  <si>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</si>
  <si>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</si>
  <si>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</si>
  <si>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</si>
  <si>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</si>
  <si>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</si>
  <si>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</si>
  <si>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</si>
  <si>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</si>
  <si>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</si>
  <si>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</si>
  <si>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</si>
  <si>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</si>
  <si>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</si>
  <si>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</si>
  <si>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</si>
  <si>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</si>
  <si>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</si>
  <si>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</si>
  <si>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</si>
  <si>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</si>
  <si>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</si>
  <si>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</si>
  <si>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</si>
  <si>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</si>
  <si>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</si>
  <si>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</si>
  <si>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</si>
  <si>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</si>
  <si>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</si>
  <si>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</si>
  <si>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</si>
  <si>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</si>
  <si>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</si>
  <si>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</si>
  <si>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</si>
  <si>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</si>
  <si>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</si>
  <si>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</si>
  <si>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</si>
  <si>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</si>
  <si>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</si>
  <si>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</si>
  <si>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</si>
  <si>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</si>
  <si>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</si>
  <si>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</si>
  <si>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</si>
  <si>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</si>
  <si>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</si>
  <si>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</si>
  <si>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</si>
  <si>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</si>
  <si>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</si>
  <si>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</si>
  <si>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</si>
  <si>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</si>
  <si>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</si>
  <si>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</si>
  <si>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</si>
  <si>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</si>
  <si>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</si>
  <si>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</si>
  <si>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</si>
  <si>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</si>
  <si>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</si>
  <si>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</si>
  <si>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</si>
  <si>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</si>
  <si>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</si>
  <si>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</si>
  <si>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</si>
  <si>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</si>
  <si>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</si>
  <si>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</si>
  <si>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</si>
  <si>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</si>
  <si>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</si>
  <si>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</si>
  <si>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</si>
  <si>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</si>
  <si>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</si>
  <si>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</si>
  <si>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</si>
  <si>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</si>
  <si>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</si>
  <si>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</si>
  <si>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</si>
  <si>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</si>
  <si>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</si>
  <si>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</si>
  <si>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</si>
  <si>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</si>
  <si>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</si>
  <si>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</si>
  <si>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</si>
  <si>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</si>
  <si>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</si>
  <si>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</si>
  <si>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</si>
  <si>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</si>
  <si>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</si>
  <si>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</si>
  <si>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</si>
  <si>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</si>
  <si>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</si>
  <si>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</si>
  <si>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</si>
  <si>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</si>
  <si>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</si>
  <si>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</si>
  <si>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</si>
  <si>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</si>
  <si>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</si>
  <si>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</si>
  <si>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</si>
  <si>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</si>
  <si>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</si>
  <si>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</si>
  <si>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</si>
  <si>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</si>
  <si>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</si>
  <si>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</si>
  <si>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</si>
  <si>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</si>
  <si>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</si>
  <si>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</si>
  <si>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</si>
  <si>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</si>
  <si>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</si>
  <si>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</si>
  <si>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</si>
  <si>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</si>
  <si>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</si>
  <si>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</si>
  <si>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</si>
  <si>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</si>
  <si>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</si>
  <si>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</si>
  <si>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</si>
  <si>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</si>
  <si>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</si>
  <si>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</si>
  <si>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</si>
  <si>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</si>
  <si>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</si>
  <si>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</si>
  <si>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</si>
  <si>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</si>
  <si>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</si>
  <si>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</si>
  <si>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</si>
  <si>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</si>
  <si>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</si>
  <si>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</si>
  <si>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</si>
  <si>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</si>
  <si>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</si>
  <si>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</si>
  <si>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</si>
  <si>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</si>
  <si>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</si>
  <si>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</si>
  <si>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</si>
  <si>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</si>
  <si>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</si>
  <si>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</si>
  <si>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</si>
  <si>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</si>
  <si>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</si>
  <si>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</si>
  <si>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</si>
  <si>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</si>
  <si>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</si>
  <si>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</si>
  <si>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</si>
  <si>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</si>
  <si>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</si>
  <si>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</si>
  <si>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</si>
  <si>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</si>
  <si>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</si>
  <si>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</si>
  <si>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</si>
  <si>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</si>
  <si>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</si>
  <si>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</si>
  <si>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</si>
  <si>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</si>
  <si>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</si>
  <si>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</si>
  <si>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</si>
  <si>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</si>
  <si>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</si>
  <si>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</si>
  <si>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</si>
  <si>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</si>
  <si>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</si>
  <si>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</si>
  <si>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</si>
  <si>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</si>
  <si>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</si>
  <si>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</si>
  <si>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</si>
  <si>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</si>
  <si>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</si>
  <si>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</si>
  <si>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</si>
  <si>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</si>
  <si>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</si>
  <si>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</si>
  <si>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</si>
  <si>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</si>
  <si>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</si>
  <si>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</si>
  <si>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</si>
  <si>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</si>
  <si>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</si>
  <si>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</si>
  <si>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</si>
  <si>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</si>
  <si>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</si>
  <si>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</si>
  <si>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</si>
  <si>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</si>
  <si>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</si>
  <si>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</si>
  <si>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</si>
  <si>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</si>
  <si>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</si>
  <si>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</si>
  <si>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</si>
  <si>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</si>
  <si>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</si>
  <si>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</si>
  <si>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</si>
  <si>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</si>
  <si>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</si>
  <si>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</si>
  <si>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</si>
  <si>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</si>
  <si>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</si>
  <si>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</si>
  <si>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</si>
  <si>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</si>
  <si>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</si>
  <si>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</si>
  <si>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</si>
  <si>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</si>
  <si>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</si>
  <si>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</si>
  <si>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</si>
  <si>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</si>
  <si>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</si>
  <si>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</si>
  <si>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</si>
  <si>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</si>
  <si>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</si>
  <si>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</si>
  <si>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</si>
  <si>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</si>
  <si>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</si>
  <si>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</si>
  <si>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</si>
  <si>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</si>
  <si>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</si>
  <si>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</si>
  <si>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</si>
  <si>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</si>
  <si>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</si>
  <si>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</si>
  <si>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</si>
  <si>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</si>
  <si>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</si>
  <si>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</si>
  <si>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</si>
  <si>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</si>
  <si>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</si>
  <si>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</si>
  <si>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</si>
  <si>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</si>
  <si>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</si>
  <si>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</si>
  <si>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</si>
  <si>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</si>
  <si>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</si>
  <si>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</si>
  <si>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</si>
  <si>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</si>
  <si>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</si>
  <si>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</si>
  <si>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</si>
  <si>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</si>
  <si>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</si>
  <si>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</si>
  <si>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</si>
  <si>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</si>
  <si>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</si>
  <si>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</si>
  <si>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</si>
  <si>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</si>
  <si>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</si>
  <si>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</si>
  <si>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</si>
  <si>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</si>
  <si>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</si>
  <si>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</si>
  <si>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</si>
  <si>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</si>
  <si>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</si>
  <si>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</si>
  <si>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</si>
  <si>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</si>
  <si>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</si>
  <si>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</si>
  <si>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</si>
  <si>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</si>
  <si>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</si>
  <si>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</si>
  <si>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</si>
  <si>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</si>
  <si>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</si>
  <si>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</si>
  <si>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</si>
  <si>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</si>
  <si>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</si>
  <si>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</si>
  <si>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</si>
  <si>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</si>
  <si>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</si>
  <si>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</si>
  <si>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</si>
  <si>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</si>
  <si>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</si>
  <si>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</si>
  <si>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</si>
  <si>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</si>
  <si>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</si>
  <si>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</si>
  <si>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</si>
  <si>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</si>
  <si>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</si>
  <si>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</si>
  <si>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</si>
  <si>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</si>
  <si>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</si>
  <si>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</si>
  <si>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</si>
  <si>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</si>
  <si>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</si>
  <si>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</si>
  <si>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</si>
  <si>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</si>
  <si>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</si>
  <si>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</si>
  <si>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</si>
  <si>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</si>
  <si>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</si>
  <si>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</si>
  <si>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</si>
  <si>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</si>
  <si>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</si>
  <si>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</si>
  <si>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</si>
  <si>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</si>
  <si>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</si>
  <si>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</si>
  <si>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</si>
  <si>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</si>
  <si>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</si>
  <si>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</si>
  <si>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</si>
  <si>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</si>
  <si>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</si>
  <si>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</si>
  <si>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</si>
  <si>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</si>
  <si>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</si>
  <si>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</si>
  <si>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</si>
  <si>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</si>
  <si>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</si>
  <si>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</si>
  <si>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</si>
  <si>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</si>
  <si>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</si>
  <si>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</si>
  <si>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</si>
  <si>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</si>
  <si>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</si>
  <si>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</si>
  <si>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</si>
  <si>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</si>
  <si>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</si>
  <si>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</si>
  <si>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</si>
  <si>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</si>
  <si>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</si>
  <si>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</si>
  <si>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</si>
  <si>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</si>
  <si>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</si>
  <si>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</si>
  <si>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</si>
  <si>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</si>
  <si>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</si>
  <si>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</si>
  <si>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</si>
  <si>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</si>
  <si>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</si>
  <si>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</si>
  <si>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</si>
  <si>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</si>
  <si>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</si>
  <si>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</si>
  <si>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</si>
  <si>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</si>
  <si>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</si>
  <si>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</si>
  <si>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</si>
  <si>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</si>
  <si>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</si>
  <si>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</si>
  <si>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</si>
  <si>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</si>
  <si>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</si>
  <si>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</si>
  <si>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</si>
  <si>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</si>
  <si>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</si>
  <si>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</si>
  <si>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</si>
  <si>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</si>
  <si>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</si>
  <si>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</si>
  <si>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</si>
  <si>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</si>
  <si>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</si>
  <si>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</si>
  <si>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</si>
  <si>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</si>
  <si>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</si>
  <si>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</si>
  <si>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</si>
  <si>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</si>
  <si>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</si>
  <si>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</si>
  <si>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</si>
  <si>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</si>
  <si>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</si>
  <si>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</si>
  <si>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</si>
  <si>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</si>
  <si>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</si>
  <si>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</si>
  <si>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</si>
  <si>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</si>
  <si>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</si>
  <si>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</si>
  <si>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</si>
  <si>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</si>
  <si>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</si>
  <si>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</si>
  <si>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</si>
  <si>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</si>
  <si>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</si>
  <si>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</si>
  <si>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</si>
  <si>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</si>
  <si>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</si>
  <si>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</si>
  <si>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</si>
  <si>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</si>
  <si>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</si>
  <si>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</si>
  <si>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</si>
  <si>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</si>
  <si>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</si>
  <si>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</si>
  <si>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</si>
  <si>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</si>
  <si>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</si>
  <si>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</si>
  <si>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</si>
  <si>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</si>
  <si>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</si>
  <si>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</si>
  <si>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</si>
  <si>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</si>
  <si>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</si>
  <si>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</si>
  <si>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</si>
  <si>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</si>
  <si>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</si>
  <si>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</si>
  <si>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</si>
  <si>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</si>
  <si>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</si>
  <si>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</si>
  <si>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</si>
  <si>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</si>
  <si>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</si>
  <si>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</si>
  <si>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</si>
  <si>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</si>
  <si>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</si>
  <si>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</si>
  <si>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</si>
  <si>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</si>
  <si>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</si>
  <si>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</si>
  <si>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</si>
  <si>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</si>
  <si>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</si>
  <si>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</si>
  <si>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</si>
  <si>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</si>
  <si>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</si>
  <si>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</si>
  <si>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</si>
  <si>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</si>
  <si>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</si>
  <si>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</si>
  <si>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</si>
  <si>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</si>
  <si>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</si>
  <si>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</si>
  <si>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</si>
  <si>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</si>
  <si>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</si>
  <si>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</si>
  <si>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</si>
  <si>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</si>
  <si>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</si>
  <si>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</si>
  <si>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</si>
  <si>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</si>
  <si>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</si>
  <si>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</si>
  <si>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</si>
  <si>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</si>
  <si>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</si>
  <si>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</si>
  <si>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</si>
  <si>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</si>
  <si>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</si>
  <si>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</si>
  <si>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</si>
  <si>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</si>
  <si>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</si>
  <si>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</si>
  <si>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</si>
  <si>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</si>
  <si>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</si>
  <si>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</si>
  <si>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</si>
  <si>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</si>
  <si>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</si>
  <si>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</si>
  <si>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</si>
  <si>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</si>
  <si>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</si>
  <si>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</si>
  <si>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</si>
  <si>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</si>
  <si>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</si>
  <si>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</si>
  <si>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</si>
  <si>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</si>
  <si>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</si>
  <si>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</si>
  <si>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</si>
  <si>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</si>
  <si>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</si>
  <si>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</si>
  <si>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</si>
  <si>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</si>
  <si>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</si>
  <si>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</si>
  <si>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</si>
  <si>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</si>
  <si>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</si>
  <si>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</si>
  <si>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</si>
  <si>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</si>
  <si>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</si>
  <si>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</si>
  <si>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</si>
  <si>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</si>
  <si>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</si>
  <si>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</si>
  <si>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</si>
  <si>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</si>
  <si>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</si>
  <si>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</si>
  <si>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</si>
  <si>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</si>
  <si>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</si>
  <si>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</si>
  <si>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</si>
  <si>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</si>
  <si>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</si>
  <si>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</si>
  <si>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</si>
  <si>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</si>
  <si>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</si>
  <si>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</si>
  <si>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</si>
  <si>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</si>
  <si>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</si>
  <si>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</si>
  <si>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</si>
  <si>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</si>
  <si>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</si>
  <si>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</si>
  <si>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</si>
  <si>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</si>
  <si>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</si>
  <si>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</si>
  <si>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</si>
  <si>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</si>
  <si>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</si>
  <si>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</si>
  <si>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</si>
  <si>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</si>
  <si>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</si>
  <si>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</si>
  <si>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</si>
  <si>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</si>
  <si>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</si>
  <si>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</si>
  <si>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</si>
  <si>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</si>
  <si>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</si>
  <si>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</si>
  <si>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</si>
  <si>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</si>
  <si>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</si>
  <si>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</si>
  <si>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</si>
  <si>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</si>
  <si>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</si>
  <si>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</si>
  <si>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</si>
  <si>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</si>
  <si>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</si>
  <si>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</si>
  <si>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</si>
  <si>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</si>
  <si>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</si>
  <si>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</si>
  <si>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</si>
  <si>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</si>
  <si>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</si>
  <si>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</si>
  <si>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</si>
  <si>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</si>
  <si>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</si>
  <si>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</si>
  <si>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</si>
  <si>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</si>
  <si>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</si>
  <si>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</si>
  <si>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</si>
  <si>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</si>
  <si>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</si>
  <si>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</si>
  <si>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</si>
  <si>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</si>
  <si>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</si>
  <si>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</si>
  <si>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</si>
  <si>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</si>
  <si>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</si>
  <si>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</si>
  <si>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</si>
  <si>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</si>
  <si>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</si>
  <si>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</si>
  <si>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</si>
  <si>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</si>
  <si>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</si>
  <si>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</si>
  <si>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</si>
  <si>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</si>
  <si>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</si>
  <si>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</si>
  <si>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</si>
  <si>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</si>
  <si>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</si>
  <si>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</si>
  <si>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</si>
  <si>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</si>
  <si>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</si>
  <si>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</si>
  <si>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</si>
  <si>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</si>
  <si>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</si>
  <si>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</si>
  <si>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</si>
  <si>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</si>
  <si>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</si>
  <si>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</si>
  <si>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</si>
  <si>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</si>
  <si>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</si>
  <si>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</si>
  <si>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</si>
  <si>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</si>
  <si>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</si>
  <si>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</si>
  <si>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</si>
  <si>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</si>
  <si>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</si>
  <si>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</si>
  <si>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</si>
  <si>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</si>
  <si>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</si>
  <si>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</si>
  <si>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</si>
  <si>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</si>
  <si>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</si>
  <si>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</si>
  <si>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</si>
  <si>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</si>
  <si>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</si>
  <si>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</si>
  <si>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</si>
  <si>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</si>
  <si>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</si>
  <si>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</si>
  <si>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</si>
  <si>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</si>
  <si>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</si>
  <si>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</si>
  <si>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</si>
  <si>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</si>
  <si>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</si>
  <si>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</si>
  <si>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</si>
  <si>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</si>
  <si>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</si>
  <si>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</si>
  <si>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</si>
  <si>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</si>
  <si>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</si>
  <si>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</si>
  <si>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</si>
  <si>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</si>
  <si>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</si>
  <si>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</si>
  <si>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</si>
  <si>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</si>
  <si>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</si>
  <si>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</si>
  <si>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</si>
  <si>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</si>
  <si>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</si>
  <si>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</si>
  <si>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</si>
  <si>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</si>
  <si>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</si>
  <si>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</si>
  <si>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</si>
  <si>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</si>
  <si>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</si>
  <si>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</si>
  <si>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</si>
  <si>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</si>
  <si>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</si>
  <si>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</si>
  <si>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</si>
  <si>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</si>
  <si>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</si>
  <si>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</si>
  <si>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</si>
  <si>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</si>
  <si>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</si>
  <si>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</si>
  <si>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</si>
  <si>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</si>
  <si>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</si>
  <si>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</si>
  <si>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</si>
  <si>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</si>
  <si>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</si>
  <si>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</si>
  <si>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</si>
  <si>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</si>
  <si>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</si>
  <si>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</si>
  <si>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</si>
  <si>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</si>
  <si>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</si>
  <si>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</si>
  <si>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</si>
  <si>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</si>
  <si>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</si>
  <si>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</si>
  <si>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</si>
  <si>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</si>
  <si>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</si>
  <si>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</si>
  <si>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</si>
  <si>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</si>
  <si>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</si>
  <si>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</si>
  <si>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</si>
  <si>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</si>
  <si>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</si>
  <si>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</si>
  <si>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</si>
  <si>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</si>
  <si>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</si>
  <si>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</si>
  <si>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</si>
  <si>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</si>
  <si>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</si>
  <si>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</si>
  <si>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</si>
  <si>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</si>
  <si>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</si>
  <si>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</si>
  <si>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</si>
  <si>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</si>
  <si>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</si>
  <si>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</si>
  <si>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</si>
  <si>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</si>
  <si>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</si>
  <si>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</si>
  <si>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</si>
  <si>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</si>
  <si>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</si>
  <si>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</si>
  <si>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</si>
  <si>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</si>
  <si>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</si>
  <si>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</si>
  <si>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</si>
  <si>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</si>
  <si>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</si>
  <si>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</si>
  <si>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</si>
  <si>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</si>
  <si>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</si>
  <si>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</si>
  <si>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</si>
  <si>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</si>
  <si>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</si>
  <si>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</si>
  <si>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</si>
  <si>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</si>
  <si>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</si>
  <si>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</si>
  <si>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</si>
  <si>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</si>
  <si>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</si>
  <si>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</si>
  <si>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</si>
  <si>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</si>
  <si>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</si>
  <si>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</si>
  <si>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</si>
  <si>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</si>
  <si>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</si>
  <si>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</si>
  <si>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</si>
  <si>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</si>
  <si>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</si>
  <si>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</si>
  <si>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</si>
  <si>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</si>
  <si>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</si>
  <si>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</si>
  <si>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</si>
  <si>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</si>
  <si>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</si>
  <si>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</si>
  <si>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</si>
  <si>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</si>
  <si>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</si>
  <si>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</si>
  <si>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</si>
  <si>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</si>
  <si>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</si>
  <si>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</si>
  <si>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</si>
  <si>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</si>
  <si>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</si>
  <si>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</si>
  <si>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</si>
  <si>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</si>
  <si>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</si>
  <si>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</si>
  <si>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</si>
  <si>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</si>
  <si>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</si>
  <si>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</si>
  <si>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</si>
  <si>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</si>
  <si>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</si>
  <si>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</si>
  <si>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</si>
  <si>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</si>
  <si>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</si>
  <si>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</si>
  <si>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</si>
  <si>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</si>
  <si>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</si>
  <si>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</si>
  <si>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</si>
  <si>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</si>
  <si>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</si>
  <si>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</si>
  <si>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</si>
  <si>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</si>
  <si>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</si>
  <si>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</si>
  <si>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</si>
  <si>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</si>
  <si>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</si>
  <si>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</si>
  <si>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</si>
  <si>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</si>
  <si>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</si>
  <si>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</si>
  <si>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</si>
  <si>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</si>
  <si>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</si>
  <si>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</si>
  <si>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</si>
  <si>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</si>
  <si>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</si>
  <si>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</si>
  <si>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</si>
  <si>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</si>
  <si>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</si>
  <si>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</si>
  <si>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</si>
  <si>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</si>
  <si>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</si>
  <si>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</si>
  <si>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</si>
  <si>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</si>
  <si>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</si>
  <si>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</si>
  <si>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</si>
  <si>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</si>
  <si>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</si>
  <si>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</si>
  <si>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</si>
  <si>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</si>
  <si>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</si>
  <si>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</si>
  <si>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</si>
  <si>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</si>
  <si>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</si>
  <si>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</si>
  <si>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</si>
  <si>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</si>
  <si>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</si>
  <si>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</si>
  <si>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</si>
  <si>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</si>
  <si>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</si>
  <si>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</si>
  <si>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</si>
  <si>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</si>
  <si>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</si>
  <si>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</si>
  <si>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</si>
  <si>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</si>
  <si>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</si>
  <si>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</si>
  <si>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</si>
  <si>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</si>
  <si>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</si>
  <si>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</si>
  <si>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</si>
  <si>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</si>
  <si>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</si>
  <si>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</si>
  <si>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</si>
  <si>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</si>
  <si>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</si>
  <si>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</si>
  <si>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</si>
  <si>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</si>
  <si>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</si>
  <si>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</si>
  <si>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</si>
  <si>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</si>
  <si>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</si>
  <si>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</si>
  <si>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</si>
  <si>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</si>
  <si>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</si>
  <si>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</si>
  <si>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</si>
  <si>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</si>
  <si>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</si>
  <si>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</si>
  <si>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</si>
  <si>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</si>
  <si>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</si>
  <si>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</si>
  <si>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</si>
  <si>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</si>
  <si>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</si>
  <si>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</si>
  <si>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</si>
  <si>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</si>
  <si>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</si>
  <si>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</si>
  <si>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</si>
  <si>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</si>
  <si>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</si>
  <si>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</si>
  <si>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</si>
  <si>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</si>
  <si>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</si>
  <si>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</si>
  <si>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</si>
  <si>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</si>
  <si>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</si>
  <si>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</si>
  <si>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</si>
  <si>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</si>
  <si>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</si>
  <si>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</si>
  <si>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</si>
  <si>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</si>
  <si>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</si>
  <si>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</si>
  <si>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</si>
  <si>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</si>
  <si>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</si>
  <si>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</si>
  <si>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</si>
  <si>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</si>
  <si>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</si>
  <si>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</si>
  <si>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</si>
  <si>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</si>
  <si>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</si>
  <si>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</si>
  <si>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</si>
  <si>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</si>
  <si>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</si>
  <si>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</si>
  <si>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</si>
  <si>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</si>
  <si>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</si>
  <si>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</si>
  <si>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</si>
  <si>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</si>
  <si>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</si>
  <si>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</si>
  <si>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</si>
  <si>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</si>
  <si>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</si>
  <si>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</si>
  <si>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</si>
  <si>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</si>
  <si>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</si>
  <si>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</si>
  <si>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</si>
  <si>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</si>
  <si>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</si>
  <si>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</si>
  <si>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</si>
  <si>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</si>
  <si>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</si>
  <si>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</si>
  <si>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</si>
  <si>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</si>
  <si>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</si>
  <si>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</si>
  <si>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</si>
  <si>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</si>
  <si>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</si>
  <si>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</si>
  <si>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</si>
  <si>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</si>
  <si>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</si>
  <si>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</si>
  <si>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</si>
  <si>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</si>
  <si>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</si>
  <si>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</si>
  <si>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</si>
  <si>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</si>
  <si>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</si>
  <si>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</si>
  <si>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</si>
  <si>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</si>
  <si>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</si>
  <si>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</si>
  <si>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</si>
  <si>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</si>
  <si>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</si>
  <si>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</si>
  <si>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</si>
  <si>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</si>
  <si>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</si>
  <si>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</si>
  <si>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</si>
  <si>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</si>
  <si>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</si>
  <si>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</si>
  <si>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</si>
  <si>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</si>
  <si>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</si>
  <si>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</si>
  <si>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</si>
  <si>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</si>
  <si>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</si>
  <si>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</si>
  <si>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</si>
  <si>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</si>
  <si>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</si>
  <si>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</si>
  <si>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</si>
  <si>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</si>
  <si>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</si>
  <si>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</si>
  <si>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</si>
  <si>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</si>
  <si>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</si>
  <si>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</si>
  <si>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</si>
  <si>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</si>
  <si>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</si>
  <si>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</si>
  <si>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</si>
  <si>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</si>
  <si>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</si>
  <si>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</si>
  <si>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</si>
  <si>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</si>
  <si>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</si>
  <si>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</si>
  <si>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</si>
  <si>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</si>
  <si>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</si>
  <si>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</si>
  <si>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</si>
  <si>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</si>
  <si>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</si>
  <si>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</si>
  <si>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</si>
  <si>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</si>
  <si>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</si>
  <si>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</si>
  <si>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</si>
  <si>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</si>
  <si>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</si>
  <si>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</si>
  <si>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</si>
  <si>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</si>
  <si>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</si>
  <si>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</si>
  <si>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</si>
  <si>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</si>
  <si>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</si>
  <si>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</si>
  <si>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</si>
  <si>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</si>
  <si>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</si>
  <si>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</si>
  <si>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</si>
  <si>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</si>
  <si>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</si>
  <si>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</si>
  <si>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</si>
  <si>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</si>
  <si>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</si>
  <si>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</si>
  <si>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</si>
  <si>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</si>
  <si>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</si>
  <si>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</si>
  <si>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</si>
  <si>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</si>
  <si>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</si>
  <si>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</si>
  <si>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</si>
  <si>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</si>
  <si>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</si>
  <si>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</si>
  <si>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</si>
  <si>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</si>
  <si>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</si>
  <si>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</si>
  <si>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</si>
  <si>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</si>
  <si>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</si>
  <si>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</si>
  <si>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</si>
  <si>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</si>
  <si>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</si>
  <si>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</si>
  <si>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</si>
  <si>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</si>
  <si>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</si>
  <si>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</si>
  <si>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</si>
  <si>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</si>
  <si>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</si>
  <si>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</si>
  <si>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</si>
  <si>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</si>
  <si>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</si>
  <si>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</si>
  <si>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</si>
  <si>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</si>
  <si>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</si>
  <si>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</si>
  <si>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</si>
  <si>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</si>
  <si>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</si>
  <si>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</si>
  <si>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</si>
  <si>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</si>
  <si>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</si>
  <si>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</si>
  <si>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</si>
  <si>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</si>
  <si>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</si>
  <si>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</si>
  <si>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</si>
  <si>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</si>
  <si>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</si>
  <si>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</si>
  <si>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</si>
  <si>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</si>
  <si>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</si>
  <si>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</si>
  <si>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</si>
  <si>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</si>
  <si>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</si>
  <si>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</si>
  <si>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</si>
  <si>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</si>
  <si>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</si>
  <si>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</si>
  <si>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</si>
  <si>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</si>
  <si>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</si>
  <si>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</si>
  <si>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</si>
  <si>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</si>
  <si>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</si>
  <si>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</si>
  <si>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</si>
  <si>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</si>
  <si>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</si>
  <si>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</si>
  <si>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</si>
  <si>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</si>
  <si>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</si>
  <si>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</si>
  <si>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</si>
  <si>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</si>
  <si>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</si>
  <si>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</si>
  <si>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</si>
  <si>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</si>
  <si>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</si>
  <si>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</si>
  <si>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</si>
  <si>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</si>
  <si>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</si>
  <si>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</si>
  <si>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</si>
  <si>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</si>
  <si>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</si>
  <si>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</si>
  <si>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</si>
  <si>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</si>
  <si>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</si>
  <si>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</si>
  <si>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</si>
  <si>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</si>
  <si>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</si>
  <si>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</si>
  <si>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</si>
  <si>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</si>
  <si>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</si>
  <si>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</si>
  <si>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</si>
  <si>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</si>
  <si>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</si>
  <si>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</si>
  <si>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</si>
  <si>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</si>
  <si>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</si>
  <si>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</si>
  <si>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</si>
  <si>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</si>
  <si>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</si>
  <si>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</si>
  <si>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</si>
  <si>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</si>
  <si>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</si>
  <si>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</si>
  <si>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</si>
  <si>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</si>
  <si>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</si>
  <si>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</si>
  <si>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</si>
  <si>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</si>
  <si>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</si>
  <si>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</si>
  <si>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</si>
  <si>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</si>
  <si>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</si>
  <si>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</si>
  <si>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</si>
  <si>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</si>
  <si>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</si>
  <si>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</si>
  <si>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</si>
  <si>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</si>
  <si>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</si>
  <si>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</si>
  <si>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</si>
  <si>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</si>
  <si>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</si>
  <si>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</si>
  <si>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</si>
  <si>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</si>
  <si>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</si>
  <si>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</si>
  <si>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</si>
  <si>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</si>
  <si>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</si>
  <si>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</si>
  <si>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</si>
  <si>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</si>
  <si>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</si>
  <si>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</si>
  <si>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</si>
  <si>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</si>
  <si>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</si>
  <si>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</si>
  <si>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</si>
  <si>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</si>
  <si>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</si>
  <si>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</si>
  <si>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</si>
  <si>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</si>
  <si>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</si>
  <si>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</si>
  <si>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</si>
  <si>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</si>
  <si>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</si>
  <si>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</si>
  <si>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</si>
  <si>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</si>
  <si>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</si>
  <si>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</si>
  <si>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</si>
  <si>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</si>
  <si>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</si>
  <si>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</si>
  <si>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</si>
  <si>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</si>
  <si>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</si>
  <si>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</si>
  <si>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</si>
  <si>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</si>
  <si>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</si>
  <si>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</si>
  <si>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</si>
  <si>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</si>
  <si>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</si>
  <si>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</si>
  <si>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</si>
  <si>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</si>
  <si>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</si>
  <si>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</si>
  <si>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</si>
  <si>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</si>
  <si>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</si>
  <si>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</si>
  <si>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</si>
  <si>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</si>
  <si>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</si>
  <si>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</si>
  <si>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</si>
  <si>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</si>
  <si>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</si>
  <si>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</si>
  <si>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</si>
  <si>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</si>
  <si>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</si>
  <si>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</si>
  <si>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</si>
  <si>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</si>
  <si>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</si>
  <si>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</si>
  <si>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</si>
  <si>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</si>
  <si>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</si>
  <si>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</si>
  <si>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</si>
  <si>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</si>
  <si>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</si>
  <si>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</si>
  <si>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</si>
  <si>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</si>
  <si>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</si>
  <si>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</si>
  <si>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</si>
  <si>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</si>
  <si>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</si>
  <si>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</si>
  <si>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</si>
  <si>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</si>
  <si>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</si>
  <si>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</si>
  <si>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</si>
  <si>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</si>
  <si>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</si>
  <si>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</si>
  <si>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</si>
  <si>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</si>
  <si>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</si>
  <si>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</si>
  <si>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</si>
  <si>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</si>
  <si>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</si>
  <si>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</si>
  <si>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</si>
  <si>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</si>
  <si>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</si>
  <si>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</si>
  <si>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</si>
  <si>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</si>
  <si>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</si>
  <si>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</si>
  <si>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</si>
  <si>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</si>
  <si>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</si>
  <si>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</si>
  <si>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</si>
  <si>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</si>
  <si>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</si>
  <si>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</si>
  <si>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</si>
  <si>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</si>
  <si>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</si>
  <si>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</si>
  <si>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</si>
  <si>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</si>
  <si>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</si>
  <si>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</si>
  <si>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</si>
  <si>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</si>
  <si>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</si>
  <si>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</si>
  <si>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</si>
  <si>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</si>
  <si>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</si>
  <si>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</si>
  <si>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</si>
  <si>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</si>
  <si>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</si>
  <si>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</si>
  <si>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</si>
  <si>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</si>
  <si>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</si>
  <si>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</si>
  <si>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</si>
  <si>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</si>
  <si>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</si>
  <si>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</si>
  <si>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</si>
  <si>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</si>
  <si>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</si>
  <si>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</si>
  <si>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</si>
  <si>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</si>
  <si>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</si>
  <si>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</si>
  <si>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</si>
  <si>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</si>
  <si>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</si>
  <si>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</si>
  <si>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</si>
  <si>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</si>
  <si>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</si>
  <si>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</si>
  <si>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</si>
  <si>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</si>
  <si>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</si>
  <si>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</si>
  <si>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</si>
  <si>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</si>
  <si>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</si>
  <si>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</si>
  <si>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</si>
  <si>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</si>
  <si>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</si>
  <si>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</si>
  <si>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</si>
  <si>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</si>
  <si>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</si>
  <si>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</si>
  <si>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</si>
  <si>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</si>
  <si>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</si>
  <si>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</si>
  <si>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</si>
  <si>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</si>
  <si>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</si>
  <si>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</si>
  <si>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</si>
  <si>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</si>
  <si>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</si>
  <si>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</si>
  <si>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</si>
  <si>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</si>
  <si>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</si>
  <si>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</si>
  <si>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</si>
  <si>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</si>
  <si>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</si>
  <si>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</si>
  <si>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</si>
  <si>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</si>
  <si>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</si>
  <si>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</si>
  <si>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</si>
  <si>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</si>
  <si>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</si>
  <si>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</si>
  <si>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</si>
  <si>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</si>
  <si>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</si>
  <si>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</si>
  <si>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</si>
  <si>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</si>
  <si>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</si>
  <si>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</si>
  <si>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</si>
  <si>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</si>
  <si>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</si>
  <si>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</si>
  <si>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</si>
  <si>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</si>
  <si>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</si>
  <si>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</si>
  <si>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</si>
  <si>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</si>
  <si>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</si>
  <si>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</si>
  <si>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</si>
  <si>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</si>
  <si>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</si>
  <si>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</si>
  <si>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</si>
  <si>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</si>
  <si>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</si>
  <si>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</si>
  <si>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</si>
  <si>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</si>
  <si>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</si>
  <si>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</si>
  <si>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</si>
  <si>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</si>
  <si>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</si>
  <si>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</si>
  <si>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</si>
  <si>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</si>
  <si>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</si>
  <si>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</si>
  <si>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</si>
  <si>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</si>
  <si>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</si>
  <si>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</si>
  <si>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</si>
  <si>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</si>
  <si>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</si>
  <si>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</si>
  <si>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</si>
  <si>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</si>
  <si>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</si>
  <si>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</si>
  <si>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</si>
  <si>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</si>
  <si>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</si>
  <si>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</si>
  <si>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</si>
  <si>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</si>
  <si>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</si>
  <si>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</si>
  <si>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</si>
  <si>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</si>
  <si>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</si>
  <si>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</si>
  <si>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</si>
  <si>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</si>
  <si>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</si>
  <si>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</si>
  <si>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</si>
  <si>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</si>
  <si>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</si>
  <si>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</si>
  <si>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</si>
  <si>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</si>
  <si>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</si>
  <si>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</si>
  <si>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</si>
  <si>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</si>
  <si>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</si>
  <si>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</si>
  <si>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</si>
  <si>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</si>
  <si>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</si>
  <si>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</si>
  <si>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</si>
  <si>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</si>
  <si>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</si>
  <si>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</si>
  <si>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</si>
  <si>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</si>
  <si>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</si>
  <si>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</si>
  <si>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</si>
  <si>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</si>
  <si>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</si>
  <si>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</si>
  <si>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</si>
  <si>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</si>
  <si>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</si>
  <si>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</si>
  <si>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</si>
  <si>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</si>
  <si>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</si>
  <si>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</si>
  <si>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</si>
  <si>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</si>
  <si>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</si>
  <si>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</si>
  <si>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</si>
  <si>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</si>
  <si>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</si>
  <si>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</si>
  <si>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</si>
  <si>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</si>
  <si>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</si>
  <si>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</si>
  <si>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</si>
  <si>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</si>
  <si>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</si>
  <si>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</si>
  <si>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</si>
  <si>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</si>
  <si>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</si>
  <si>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</si>
  <si>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</si>
  <si>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</si>
  <si>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</si>
  <si>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</si>
  <si>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</si>
  <si>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</si>
  <si>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</si>
  <si>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</si>
  <si>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</si>
  <si>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</si>
  <si>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</si>
  <si>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</si>
  <si>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</si>
  <si>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</si>
  <si>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</si>
  <si>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</si>
  <si>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</si>
  <si>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</si>
  <si>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</si>
  <si>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</si>
  <si>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</si>
  <si>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</si>
  <si>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</si>
  <si>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</si>
  <si>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</si>
  <si>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</si>
  <si>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</si>
  <si>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</si>
  <si>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</si>
  <si>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</si>
  <si>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</si>
  <si>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</si>
  <si>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</si>
  <si>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</si>
  <si>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</si>
  <si>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</si>
  <si>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</si>
  <si>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</si>
  <si>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</si>
  <si>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</si>
  <si>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</si>
  <si>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</si>
  <si>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</si>
  <si>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</si>
  <si>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</si>
  <si>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</si>
  <si>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</si>
  <si>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</si>
  <si>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</si>
  <si>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</si>
  <si>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</si>
  <si>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</si>
  <si>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</si>
  <si>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</si>
  <si>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</si>
  <si>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</si>
  <si>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</si>
  <si>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</si>
  <si>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</si>
  <si>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</si>
  <si>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</si>
  <si>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</si>
  <si>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</si>
  <si>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</si>
  <si>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</si>
  <si>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</si>
  <si>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</si>
  <si>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</si>
  <si>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</si>
  <si>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</si>
  <si>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</si>
  <si>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</si>
  <si>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</si>
  <si>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</si>
  <si>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</si>
  <si>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</si>
  <si>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</si>
  <si>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</si>
  <si>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</si>
  <si>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</si>
  <si>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</si>
  <si>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</si>
  <si>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</si>
  <si>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</si>
  <si>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</si>
  <si>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</si>
  <si>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</si>
  <si>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</si>
  <si>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</si>
  <si>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</si>
  <si>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</si>
  <si>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</si>
  <si>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</si>
  <si>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</si>
  <si>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</si>
  <si>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</si>
  <si>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</si>
  <si>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</si>
  <si>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</si>
  <si>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</si>
  <si>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</si>
  <si>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</si>
  <si>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</si>
  <si>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</si>
  <si>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</si>
  <si>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</si>
  <si>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</si>
  <si>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</si>
  <si>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</si>
  <si>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</si>
  <si>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</si>
  <si>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</si>
  <si>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</si>
  <si>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</si>
  <si>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</si>
  <si>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</si>
  <si>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</si>
  <si>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</si>
  <si>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</si>
  <si>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</si>
  <si>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</si>
  <si>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</si>
  <si>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</si>
  <si>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</si>
  <si>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</si>
  <si>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</si>
  <si>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</si>
  <si>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</si>
  <si>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</si>
  <si>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</si>
  <si>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</si>
  <si>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</si>
  <si>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</si>
  <si>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</si>
  <si>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</si>
  <si>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</si>
  <si>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</si>
  <si>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</si>
  <si>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</si>
  <si>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</si>
  <si>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</si>
  <si>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</si>
  <si>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</si>
  <si>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</si>
  <si>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</si>
  <si>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</si>
  <si>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</si>
  <si>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</si>
  <si>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</si>
  <si>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</si>
  <si>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</si>
  <si>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</si>
  <si>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</si>
  <si>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</si>
  <si>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</si>
  <si>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</si>
  <si>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</si>
  <si>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</si>
  <si>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</si>
  <si>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</si>
  <si>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</si>
  <si>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</si>
  <si>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</si>
  <si>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</si>
  <si>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</si>
  <si>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</si>
  <si>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</si>
  <si>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</si>
  <si>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</si>
  <si>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</si>
  <si>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</si>
  <si>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</si>
  <si>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</si>
  <si>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</si>
  <si>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</si>
  <si>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</si>
  <si>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</si>
  <si>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</si>
  <si>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</si>
  <si>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</si>
  <si>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</si>
  <si>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</si>
  <si>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</si>
  <si>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</si>
  <si>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</si>
  <si>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</si>
  <si>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</si>
  <si>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</si>
  <si>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</si>
  <si>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</si>
  <si>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</si>
  <si>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</si>
  <si>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</si>
  <si>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</si>
  <si>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</si>
  <si>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</si>
  <si>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</si>
  <si>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</si>
  <si>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</si>
  <si>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</si>
  <si>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</si>
  <si>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</si>
  <si>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</si>
  <si>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</si>
  <si>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</si>
  <si>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</si>
  <si>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</si>
  <si>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</si>
  <si>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</si>
  <si>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</si>
  <si>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</si>
  <si>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</si>
  <si>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</si>
  <si>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</si>
  <si>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</si>
  <si>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</si>
  <si>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</si>
  <si>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</si>
  <si>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</si>
  <si>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</si>
  <si>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</si>
  <si>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</si>
  <si>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</si>
  <si>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</si>
  <si>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</si>
  <si>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</si>
  <si>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</si>
  <si>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</si>
  <si>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</si>
  <si>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</si>
  <si>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</si>
  <si>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</si>
  <si>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</si>
  <si>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</si>
  <si>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</si>
  <si>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</si>
  <si>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</si>
  <si>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</si>
  <si>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</si>
  <si>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</si>
  <si>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</si>
  <si>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</si>
  <si>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</si>
  <si>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</si>
  <si>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</si>
  <si>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</si>
  <si>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</si>
  <si>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</si>
  <si>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</si>
  <si>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</si>
  <si>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</si>
  <si>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</si>
  <si>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</si>
  <si>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</si>
  <si>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</si>
  <si>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</si>
  <si>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</si>
  <si>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</si>
  <si>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</si>
  <si>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</si>
  <si>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</si>
  <si>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</si>
  <si>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</si>
  <si>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</si>
  <si>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</si>
  <si>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</si>
  <si>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</si>
  <si>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</si>
  <si>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</si>
  <si>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</si>
  <si>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</si>
  <si>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</si>
  <si>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</si>
  <si>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</si>
  <si>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</si>
  <si>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</si>
  <si>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</si>
  <si>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</si>
  <si>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</si>
  <si>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</si>
  <si>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</si>
  <si>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</si>
  <si>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</si>
  <si>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</si>
  <si>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</si>
  <si>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</si>
  <si>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</si>
  <si>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</si>
  <si>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</si>
  <si>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</si>
  <si>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</si>
  <si>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</si>
  <si>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</si>
  <si>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</si>
  <si>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</si>
  <si>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</si>
  <si>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</si>
  <si>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</si>
  <si>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</si>
  <si>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</si>
  <si>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</si>
  <si>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</si>
  <si>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</si>
  <si>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</si>
  <si>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</si>
  <si>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</si>
  <si>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</si>
  <si>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</si>
  <si>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</si>
  <si>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</si>
  <si>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</si>
  <si>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</si>
  <si>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</si>
  <si>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</si>
  <si>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</si>
  <si>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</si>
  <si>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</si>
  <si>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</si>
  <si>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</si>
  <si>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</si>
  <si>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</si>
  <si>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</si>
  <si>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</si>
  <si>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</si>
  <si>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</si>
  <si>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</si>
  <si>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</si>
  <si>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</si>
  <si>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</si>
  <si>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</si>
  <si>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</si>
  <si>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</si>
  <si>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</si>
  <si>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</si>
  <si>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</si>
  <si>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</si>
  <si>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</si>
  <si>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</si>
  <si>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</si>
  <si>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</si>
  <si>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</si>
  <si>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</si>
  <si>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</si>
  <si>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</si>
  <si>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</si>
  <si>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</si>
  <si>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</si>
  <si>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</si>
  <si>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</si>
  <si>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</si>
  <si>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</si>
  <si>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</si>
  <si>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</si>
  <si>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</si>
  <si>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</si>
  <si>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</si>
  <si>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</si>
  <si>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</si>
  <si>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</si>
  <si>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</si>
  <si>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</si>
  <si>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</si>
  <si>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</si>
  <si>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</si>
  <si>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</si>
  <si>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</si>
  <si>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</si>
  <si>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</si>
  <si>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</si>
  <si>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</si>
  <si>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</si>
  <si>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</si>
  <si>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</si>
  <si>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</si>
  <si>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</si>
  <si>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</si>
  <si>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</si>
  <si>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</si>
  <si>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</si>
  <si>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</si>
  <si>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</si>
  <si>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</si>
  <si>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</si>
  <si>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</si>
  <si>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</si>
  <si>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</si>
  <si>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</si>
  <si>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</si>
  <si>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</si>
  <si>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</si>
  <si>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</si>
  <si>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</si>
  <si>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</si>
  <si>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</si>
  <si>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</si>
  <si>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</si>
  <si>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</si>
  <si>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</si>
  <si>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</si>
  <si>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</si>
  <si>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</si>
  <si>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</si>
  <si>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</si>
  <si>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</si>
  <si>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</si>
  <si>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</si>
  <si>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</si>
  <si>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</si>
  <si>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</si>
  <si>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</si>
  <si>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</si>
  <si>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</si>
  <si>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</si>
  <si>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</si>
  <si>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</si>
  <si>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</si>
  <si>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</si>
  <si>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</si>
  <si>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</si>
  <si>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</si>
  <si>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</si>
  <si>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</si>
  <si>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</si>
  <si>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</si>
  <si>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</si>
  <si>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</si>
  <si>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</si>
  <si>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</si>
  <si>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</si>
  <si>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</si>
  <si>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</si>
  <si>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</si>
  <si>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</si>
  <si>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</si>
  <si>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</si>
  <si>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</si>
  <si>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</si>
  <si>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</si>
  <si>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</si>
  <si>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</si>
  <si>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</si>
  <si>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</si>
  <si>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</si>
  <si>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</si>
  <si>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</si>
  <si>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</si>
  <si>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</si>
  <si>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</si>
  <si>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</si>
  <si>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</si>
  <si>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</si>
  <si>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</si>
  <si>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</si>
  <si>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</si>
  <si>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</si>
  <si>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</si>
  <si>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</si>
  <si>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</si>
  <si>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</si>
  <si>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</si>
  <si>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</si>
  <si>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</si>
  <si>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</si>
  <si>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</si>
  <si>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</si>
  <si>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</si>
  <si>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</si>
  <si>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</si>
  <si>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</si>
  <si>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</si>
  <si>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</si>
  <si>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</si>
  <si>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</si>
  <si>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</si>
  <si>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</si>
  <si>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</si>
  <si>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</si>
  <si>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</si>
  <si>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</si>
  <si>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</si>
  <si>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</si>
  <si>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</si>
  <si>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</si>
  <si>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</si>
  <si>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</si>
  <si>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</si>
  <si>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</si>
  <si>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</si>
  <si>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</si>
  <si>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</si>
  <si>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</si>
  <si>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</si>
  <si>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</si>
  <si>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</si>
  <si>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</si>
  <si>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</si>
  <si>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</si>
  <si>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</si>
  <si>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</si>
  <si>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</si>
  <si>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</si>
  <si>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</si>
  <si>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</si>
  <si>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</si>
  <si>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</si>
  <si>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</si>
  <si>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</si>
  <si>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</si>
  <si>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</si>
  <si>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</si>
  <si>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</si>
  <si>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</si>
  <si>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</si>
  <si>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</si>
  <si>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</si>
  <si>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</si>
  <si>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</si>
  <si>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</si>
  <si>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</si>
  <si>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</si>
  <si>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</si>
  <si>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</si>
  <si>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</si>
  <si>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</si>
  <si>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</si>
  <si>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</si>
  <si>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</si>
  <si>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</si>
  <si>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</si>
  <si>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</si>
  <si>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</si>
  <si>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</si>
  <si>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</si>
  <si>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</si>
  <si>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</si>
  <si>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</si>
  <si>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</si>
  <si>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</si>
  <si>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</si>
  <si>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</si>
  <si>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</si>
  <si>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</si>
  <si>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</si>
  <si>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</si>
  <si>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</si>
  <si>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</si>
  <si>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</si>
  <si>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</si>
  <si>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</si>
  <si>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</si>
  <si>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</si>
  <si>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</si>
  <si>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</si>
  <si>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</si>
  <si>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</si>
  <si>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</si>
  <si>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</si>
  <si>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</si>
  <si>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</si>
  <si>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</si>
  <si>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</si>
  <si>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</si>
  <si>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</si>
  <si>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</si>
  <si>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</si>
  <si>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</si>
  <si>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</si>
  <si>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</si>
  <si>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</si>
  <si>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</si>
  <si>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</si>
  <si>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</si>
  <si>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</si>
  <si>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</si>
  <si>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</si>
  <si>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</si>
  <si>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</si>
  <si>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</si>
  <si>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</si>
  <si>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</si>
  <si>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</si>
  <si>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</si>
  <si>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</si>
  <si>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</si>
  <si>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</si>
  <si>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</si>
  <si>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</si>
  <si>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</si>
  <si>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</si>
  <si>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</si>
  <si>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</si>
  <si>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</si>
  <si>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</si>
  <si>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</si>
  <si>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</si>
  <si>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</si>
  <si>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</si>
  <si>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</si>
  <si>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</si>
  <si>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</si>
  <si>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</si>
  <si>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</si>
  <si>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</si>
  <si>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</si>
  <si>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</si>
  <si>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</si>
  <si>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</si>
  <si>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</si>
  <si>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</si>
  <si>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</si>
  <si>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</si>
  <si>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</si>
  <si>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</si>
  <si>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</si>
  <si>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</si>
  <si>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</si>
  <si>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</si>
  <si>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</si>
  <si>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</si>
  <si>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</si>
  <si>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</si>
  <si>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</si>
  <si>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</si>
  <si>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</si>
  <si>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</si>
  <si>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</si>
  <si>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</si>
  <si>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</si>
  <si>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</si>
  <si>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</si>
  <si>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</si>
  <si>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</si>
  <si>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</si>
  <si>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</si>
  <si>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</si>
  <si>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</si>
  <si>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</si>
  <si>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</si>
  <si>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</si>
  <si>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</si>
  <si>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</si>
  <si>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</si>
  <si>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</si>
  <si>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</si>
  <si>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</si>
  <si>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</si>
  <si>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</si>
  <si>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</si>
  <si>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</si>
  <si>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</si>
  <si>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</si>
  <si>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</si>
  <si>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</si>
  <si>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</si>
  <si>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</si>
  <si>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</si>
  <si>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</si>
  <si>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</si>
  <si>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</si>
  <si>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</si>
  <si>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</si>
  <si>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</si>
  <si>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</si>
  <si>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</si>
  <si>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</si>
  <si>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</si>
  <si>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</si>
  <si>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</si>
  <si>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</si>
  <si>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</si>
  <si>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</si>
  <si>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</si>
  <si>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</si>
  <si>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</si>
  <si>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</si>
  <si>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</si>
  <si>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</si>
  <si>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</si>
  <si>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</si>
  <si>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</si>
  <si>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</si>
  <si>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</si>
  <si>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</si>
  <si>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</si>
  <si>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</si>
  <si>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</si>
  <si>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</si>
  <si>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</si>
  <si>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</si>
  <si>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</si>
  <si>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</si>
  <si>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</si>
  <si>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</si>
  <si>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</si>
  <si>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</si>
  <si>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</si>
  <si>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</si>
  <si>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</si>
  <si>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</si>
  <si>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</si>
  <si>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</si>
  <si>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</si>
  <si>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</si>
  <si>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</si>
  <si>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</si>
  <si>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</si>
  <si>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</si>
  <si>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</si>
  <si>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</si>
  <si>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</si>
  <si>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</si>
  <si>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</si>
  <si>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</si>
  <si>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</si>
  <si>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</si>
  <si>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</si>
  <si>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</si>
  <si>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</si>
  <si>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</si>
  <si>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</si>
  <si>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</si>
  <si>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</si>
  <si>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</si>
  <si>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</si>
  <si>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</si>
  <si>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</si>
  <si>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</si>
  <si>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</si>
  <si>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</si>
  <si>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</si>
  <si>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</si>
  <si>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</si>
  <si>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</si>
  <si>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</si>
  <si>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</si>
  <si>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</si>
  <si>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</si>
  <si>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</si>
  <si>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</si>
  <si>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</si>
  <si>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</si>
  <si>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</si>
  <si>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</si>
  <si>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</si>
  <si>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</si>
  <si>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</si>
  <si>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</si>
  <si>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</si>
  <si>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</si>
  <si>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</si>
  <si>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</si>
  <si>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</si>
  <si>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</si>
  <si>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</si>
  <si>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</si>
  <si>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</si>
  <si>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</si>
  <si>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</si>
  <si>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</si>
  <si>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</si>
  <si>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</si>
  <si>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</si>
  <si>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</si>
  <si>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</si>
  <si>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</si>
  <si>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</si>
  <si>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</si>
  <si>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</si>
  <si>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</si>
  <si>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</si>
  <si>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</si>
  <si>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</si>
  <si>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</si>
  <si>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</si>
  <si>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</si>
  <si>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</si>
  <si>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</si>
  <si>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</si>
  <si>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</si>
  <si>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</si>
  <si>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</si>
  <si>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</si>
  <si>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</si>
  <si>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</si>
  <si>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</si>
  <si>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</si>
  <si>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</si>
  <si>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</si>
  <si>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</si>
  <si>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</si>
  <si>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</si>
  <si>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</si>
  <si>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</si>
  <si>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</si>
  <si>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</si>
  <si>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</si>
  <si>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</si>
  <si>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</si>
  <si>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</si>
  <si>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</si>
  <si>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</si>
  <si>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</si>
  <si>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</si>
  <si>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</si>
  <si>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</si>
  <si>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</si>
  <si>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</si>
  <si>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</si>
  <si>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</si>
  <si>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</si>
  <si>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</si>
  <si>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</si>
  <si>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</si>
  <si>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</si>
  <si>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</si>
  <si>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</si>
  <si>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</si>
  <si>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</si>
  <si>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</si>
  <si>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</si>
  <si>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</si>
  <si>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</si>
  <si>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</si>
  <si>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</si>
  <si>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</si>
  <si>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</si>
  <si>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</si>
  <si>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</si>
  <si>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</si>
  <si>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</si>
  <si>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</si>
  <si>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</si>
  <si>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</si>
  <si>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</si>
  <si>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</si>
  <si>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</si>
  <si>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</si>
  <si>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</si>
  <si>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</si>
  <si>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</si>
  <si>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</si>
  <si>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</si>
  <si>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</si>
  <si>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</si>
  <si>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</si>
  <si>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</si>
  <si>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</si>
  <si>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</si>
  <si>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</si>
  <si>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</si>
  <si>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</si>
  <si>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</si>
  <si>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</si>
  <si>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</si>
  <si>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</si>
  <si>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</si>
  <si>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</si>
  <si>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</si>
  <si>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</si>
  <si>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</si>
  <si>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</si>
  <si>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</si>
  <si>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</si>
  <si>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</si>
  <si>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</si>
  <si>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</si>
  <si>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</si>
  <si>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</si>
  <si>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</si>
  <si>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</si>
  <si>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</si>
  <si>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</si>
  <si>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</si>
  <si>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</si>
  <si>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</si>
  <si>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</si>
  <si>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</si>
  <si>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</si>
  <si>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</si>
  <si>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</si>
  <si>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</si>
  <si>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</si>
  <si>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</si>
  <si>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</si>
  <si>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</si>
  <si>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</si>
  <si>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</si>
  <si>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</si>
  <si>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</si>
  <si>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</si>
  <si>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</si>
  <si>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</si>
  <si>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</si>
  <si>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</si>
  <si>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</si>
  <si>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</si>
  <si>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</si>
  <si>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</si>
  <si>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</si>
  <si>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</si>
  <si>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</si>
  <si>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</si>
  <si>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</si>
  <si>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</si>
  <si>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</si>
  <si>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</si>
  <si>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</si>
  <si>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</si>
  <si>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</si>
  <si>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</si>
  <si>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</si>
  <si>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</si>
  <si>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</si>
  <si>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</si>
  <si>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</si>
  <si>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</si>
  <si>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</si>
  <si>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</si>
  <si>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</si>
  <si>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</si>
  <si>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</si>
  <si>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</si>
  <si>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</si>
  <si>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</si>
  <si>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</si>
  <si>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</si>
  <si>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</si>
  <si>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</si>
  <si>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</si>
  <si>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</si>
  <si>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</si>
  <si>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</si>
  <si>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</si>
  <si>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</si>
  <si>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</si>
  <si>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</si>
  <si>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</si>
  <si>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</si>
  <si>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</si>
  <si>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</si>
  <si>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</si>
  <si>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</si>
  <si>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</si>
  <si>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</si>
  <si>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</si>
  <si>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</si>
  <si>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</si>
  <si>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</si>
  <si>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</si>
  <si>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</si>
  <si>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</si>
  <si>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</si>
  <si>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</si>
  <si>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</si>
  <si>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</si>
  <si>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</si>
  <si>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</si>
  <si>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</si>
  <si>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</si>
  <si>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</si>
  <si>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</si>
  <si>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</si>
  <si>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</si>
  <si>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</si>
  <si>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</si>
  <si>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</si>
  <si>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</si>
  <si>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</si>
  <si>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</si>
  <si>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</si>
  <si>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</si>
  <si>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</si>
  <si>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</si>
  <si>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</si>
  <si>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</si>
  <si>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</si>
  <si>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</si>
  <si>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</si>
  <si>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</si>
  <si>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</si>
  <si>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</si>
  <si>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</si>
  <si>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</si>
  <si>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</si>
  <si>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</si>
  <si>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</si>
  <si>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</si>
  <si>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</si>
  <si>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</si>
  <si>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</si>
  <si>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</si>
  <si>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</si>
  <si>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</si>
  <si>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</si>
  <si>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</si>
  <si>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</si>
  <si>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</si>
  <si>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</si>
  <si>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</si>
  <si>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</si>
  <si>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</si>
  <si>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</si>
  <si>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</si>
  <si>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</si>
  <si>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</si>
  <si>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</si>
  <si>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</si>
  <si>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</si>
  <si>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</si>
  <si>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</si>
  <si>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</si>
  <si>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</si>
  <si>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</si>
  <si>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</si>
  <si>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</si>
  <si>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</si>
  <si>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</si>
  <si>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</si>
  <si>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</si>
  <si>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</si>
  <si>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</si>
  <si>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</si>
  <si>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</si>
  <si>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</si>
  <si>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</si>
  <si>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</si>
  <si>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</si>
  <si>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</si>
  <si>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</si>
  <si>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</si>
  <si>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</si>
  <si>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</si>
  <si>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</si>
  <si>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</si>
  <si>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</si>
  <si>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</si>
  <si>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</si>
  <si>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</si>
  <si>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</si>
  <si>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</si>
  <si>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</si>
  <si>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</si>
  <si>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</si>
  <si>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</si>
  <si>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</si>
  <si>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</si>
  <si>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</si>
  <si>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</si>
  <si>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</si>
  <si>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</si>
  <si>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</si>
  <si>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</si>
  <si>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</si>
  <si>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</si>
  <si>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</si>
  <si>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</si>
  <si>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</si>
  <si>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</si>
  <si>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</si>
  <si>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</si>
  <si>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</si>
  <si>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</si>
  <si>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</si>
  <si>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</si>
  <si>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</si>
  <si>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</si>
  <si>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</si>
  <si>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</si>
  <si>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</si>
  <si>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</si>
  <si>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</si>
  <si>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</si>
  <si>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</si>
  <si>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</si>
  <si>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</si>
  <si>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</si>
  <si>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</si>
  <si>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</si>
  <si>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</si>
  <si>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</si>
  <si>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</si>
  <si>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</si>
  <si>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</si>
  <si>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</si>
  <si>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</si>
  <si>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</si>
  <si>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</si>
  <si>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</si>
  <si>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</si>
  <si>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</si>
  <si>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</si>
  <si>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</si>
  <si>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</si>
  <si>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</si>
  <si>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</si>
  <si>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</si>
  <si>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</si>
  <si>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</si>
  <si>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</si>
  <si>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</si>
  <si>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</si>
  <si>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</si>
  <si>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</si>
  <si>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</si>
  <si>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</si>
  <si>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</si>
  <si>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</si>
  <si>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</si>
  <si>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</si>
  <si>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</si>
  <si>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</si>
  <si>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</si>
  <si>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</si>
  <si>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</si>
  <si>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</si>
  <si>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</si>
  <si>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</si>
  <si>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</si>
  <si>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</si>
  <si>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</si>
  <si>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</si>
  <si>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</si>
  <si>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</si>
  <si>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</si>
  <si>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</si>
  <si>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</si>
  <si>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</si>
  <si>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</si>
  <si>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</si>
  <si>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</si>
  <si>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</si>
  <si>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</si>
  <si>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</si>
  <si>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</si>
  <si>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</si>
  <si>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</si>
  <si>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</si>
  <si>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</si>
  <si>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</si>
  <si>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</si>
  <si>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</si>
  <si>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</si>
  <si>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</si>
  <si>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</si>
  <si>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</si>
  <si>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</si>
  <si>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</si>
  <si>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</si>
  <si>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</si>
  <si>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</si>
  <si>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</si>
  <si>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</si>
  <si>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</si>
  <si>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</si>
  <si>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</si>
  <si>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</si>
  <si>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</si>
  <si>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</si>
  <si>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</si>
  <si>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</si>
  <si>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</si>
  <si>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</si>
  <si>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</si>
  <si>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</si>
  <si>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</si>
  <si>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</si>
  <si>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</si>
  <si>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</si>
  <si>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</si>
  <si>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</si>
  <si>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</si>
  <si>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</si>
  <si>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</si>
  <si>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</si>
  <si>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</si>
  <si>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</si>
  <si>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</si>
  <si>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</si>
  <si>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</si>
  <si>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</si>
  <si>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</si>
  <si>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</si>
  <si>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</si>
  <si>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</si>
  <si>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</si>
  <si>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</si>
  <si>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</si>
  <si>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</si>
  <si>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</si>
  <si>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</si>
  <si>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</si>
  <si>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</si>
  <si>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</si>
  <si>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</si>
  <si>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</si>
  <si>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</si>
  <si>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</si>
  <si>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</si>
  <si>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</si>
  <si>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</si>
  <si>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</si>
  <si>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</si>
  <si>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</si>
  <si>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</si>
  <si>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</si>
  <si>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</si>
  <si>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</si>
  <si>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</si>
  <si>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</si>
  <si>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</si>
  <si>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</si>
  <si>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</si>
  <si>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</si>
  <si>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</si>
  <si>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</si>
  <si>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</si>
  <si>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</si>
  <si>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</si>
  <si>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</si>
  <si>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</si>
  <si>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</si>
  <si>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</si>
  <si>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</si>
  <si>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</si>
  <si>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</si>
  <si>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</si>
  <si>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</si>
  <si>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</si>
  <si>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</si>
  <si>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</si>
  <si>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</si>
  <si>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</si>
  <si>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</si>
  <si>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</si>
  <si>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</si>
  <si>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</si>
  <si>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</si>
  <si>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</si>
  <si>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</si>
  <si>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</si>
  <si>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</si>
  <si>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</si>
  <si>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</si>
  <si>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</si>
  <si>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</si>
  <si>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</si>
  <si>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</si>
  <si>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</si>
  <si>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</si>
  <si>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</si>
  <si>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</si>
  <si>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</si>
  <si>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</si>
  <si>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</si>
  <si>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</si>
  <si>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</si>
  <si>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</si>
  <si>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</si>
  <si>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</si>
  <si>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</si>
  <si>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</si>
  <si>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</si>
  <si>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</si>
  <si>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</si>
  <si>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</si>
  <si>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</si>
  <si>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</si>
  <si>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</si>
  <si>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</si>
  <si>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</si>
  <si>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</si>
  <si>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</si>
  <si>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</si>
  <si>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</si>
  <si>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</si>
  <si>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</si>
  <si>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</si>
  <si>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</si>
  <si>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</si>
  <si>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</si>
  <si>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</si>
  <si>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</si>
  <si>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</si>
  <si>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</si>
  <si>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</si>
  <si>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</si>
  <si>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</si>
  <si>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</si>
  <si>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</si>
  <si>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</si>
  <si>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</si>
  <si>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</si>
  <si>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</si>
  <si>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</si>
  <si>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</si>
  <si>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</si>
  <si>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</si>
  <si>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</si>
  <si>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</si>
  <si>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</si>
  <si>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</si>
  <si>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</si>
  <si>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</si>
  <si>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</si>
  <si>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</si>
  <si>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</si>
  <si>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</si>
  <si>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</si>
  <si>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</si>
  <si>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</si>
  <si>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</si>
  <si>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</si>
  <si>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</si>
  <si>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</si>
  <si>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</si>
  <si>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</si>
  <si>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</si>
  <si>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</si>
  <si>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</si>
  <si>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</si>
  <si>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</si>
  <si>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</si>
  <si>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</si>
  <si>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</si>
  <si>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</si>
  <si>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</si>
  <si>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</si>
  <si>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</si>
  <si>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</si>
  <si>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</si>
  <si>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</si>
  <si>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</si>
  <si>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</si>
  <si>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</si>
  <si>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</si>
  <si>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</si>
  <si>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</si>
  <si>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</si>
  <si>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</si>
  <si>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</si>
  <si>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</si>
  <si>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</si>
  <si>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</si>
  <si>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</si>
  <si>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</si>
  <si>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</si>
  <si>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</si>
  <si>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</si>
  <si>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</si>
  <si>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</si>
  <si>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</si>
  <si>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</si>
  <si>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</si>
  <si>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</si>
  <si>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</si>
  <si>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</si>
  <si>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</si>
  <si>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</si>
  <si>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</si>
  <si>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</si>
  <si>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</si>
  <si>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</si>
  <si>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</si>
  <si>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</si>
  <si>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</si>
  <si>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</si>
  <si>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</si>
  <si>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</si>
  <si>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</si>
  <si>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</si>
  <si>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</si>
  <si>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</si>
  <si>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</si>
  <si>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</si>
  <si>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</si>
  <si>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</si>
  <si>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</si>
  <si>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</si>
  <si>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</si>
  <si>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</si>
  <si>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</si>
  <si>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</si>
  <si>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</si>
  <si>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</si>
  <si>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</si>
  <si>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</si>
  <si>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</si>
  <si>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</si>
  <si>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</si>
  <si>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</si>
  <si>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</si>
  <si>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</si>
  <si>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</si>
  <si>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</si>
  <si>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</si>
  <si>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</si>
  <si>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</si>
  <si>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</si>
  <si>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</si>
  <si>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</si>
  <si>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</si>
  <si>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</si>
  <si>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</si>
  <si>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</si>
  <si>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</si>
  <si>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</si>
  <si>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</si>
  <si>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</si>
  <si>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</si>
  <si>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</si>
  <si>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</si>
  <si>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</si>
  <si>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</si>
  <si>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</si>
  <si>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</si>
  <si>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</si>
  <si>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</si>
  <si>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</si>
  <si>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</si>
  <si>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</si>
  <si>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</si>
  <si>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</si>
  <si>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</si>
  <si>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</si>
  <si>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</si>
  <si>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</si>
  <si>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</si>
  <si>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</si>
  <si>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</si>
  <si>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</si>
  <si>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</si>
  <si>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</si>
  <si>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</si>
  <si>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</si>
  <si>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</si>
  <si>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</si>
  <si>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</si>
  <si>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</si>
  <si>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</si>
  <si>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</si>
  <si>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</si>
  <si>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</si>
  <si>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</si>
  <si>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</si>
  <si>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</si>
  <si>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</si>
  <si>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</si>
  <si>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</si>
  <si>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</si>
  <si>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</si>
  <si>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</si>
  <si>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</si>
  <si>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</si>
  <si>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</si>
  <si>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</si>
  <si>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</si>
  <si>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</si>
  <si>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</si>
  <si>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</si>
  <si>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</si>
  <si>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</si>
  <si>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</si>
  <si>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</si>
  <si>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</si>
  <si>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</si>
  <si>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</si>
  <si>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</si>
  <si>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</si>
  <si>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</si>
  <si>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</si>
  <si>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</si>
  <si>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</si>
  <si>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</si>
  <si>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</si>
  <si>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</si>
  <si>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</si>
  <si>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</si>
  <si>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</si>
  <si>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</si>
  <si>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</si>
  <si>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</si>
  <si>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</si>
  <si>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</si>
  <si>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</si>
  <si>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</si>
  <si>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</si>
  <si>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</si>
  <si>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</si>
  <si>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</si>
  <si>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</si>
  <si>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</si>
  <si>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</si>
  <si>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</si>
  <si>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</si>
  <si>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</si>
  <si>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</si>
  <si>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</si>
  <si>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</si>
  <si>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</si>
  <si>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</si>
  <si>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</si>
  <si>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</si>
  <si>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</si>
  <si>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</si>
  <si>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</si>
  <si>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</si>
  <si>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</si>
  <si>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</si>
  <si>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</si>
  <si>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</si>
  <si>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</si>
  <si>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</si>
  <si>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</si>
  <si>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</si>
  <si>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</si>
  <si>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</si>
  <si>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</si>
  <si>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</si>
  <si>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</si>
  <si>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</si>
  <si>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</si>
  <si>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</si>
  <si>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</si>
  <si>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</si>
  <si>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</si>
  <si>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</si>
  <si>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</si>
  <si>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</si>
  <si>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</si>
  <si>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</si>
  <si>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</si>
  <si>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</si>
  <si>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</si>
  <si>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</si>
  <si>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</si>
  <si>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</si>
  <si>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</si>
  <si>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</si>
  <si>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</si>
  <si>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</si>
  <si>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</si>
  <si>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</si>
  <si>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</si>
  <si>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</si>
  <si>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</si>
  <si>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</si>
  <si>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</si>
  <si>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</si>
  <si>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</si>
  <si>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</si>
  <si>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</si>
  <si>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</si>
  <si>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</si>
  <si>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</si>
  <si>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</si>
  <si>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</si>
  <si>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</si>
  <si>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</si>
  <si>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</si>
  <si>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</si>
  <si>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</si>
  <si>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</si>
  <si>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</si>
  <si>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</si>
  <si>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</si>
  <si>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</si>
  <si>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</si>
  <si>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</si>
  <si>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</si>
  <si>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</si>
  <si>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</si>
  <si>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</si>
  <si>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</si>
  <si>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</si>
  <si>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</si>
  <si>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</si>
  <si>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</si>
  <si>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</si>
  <si>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</si>
  <si>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</si>
  <si>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</si>
  <si>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</si>
  <si>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</si>
  <si>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</si>
  <si>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</si>
  <si>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</si>
  <si>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</si>
  <si>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</si>
  <si>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</si>
  <si>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</si>
  <si>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</si>
  <si>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</si>
  <si>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</si>
  <si>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</si>
  <si>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</si>
  <si>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</si>
  <si>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</si>
  <si>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</si>
  <si>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</si>
  <si>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</si>
  <si>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</si>
  <si>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</si>
  <si>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</si>
  <si>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</si>
  <si>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</si>
  <si>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</si>
  <si>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</si>
  <si>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</si>
  <si>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</si>
  <si>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</si>
  <si>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</si>
  <si>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</si>
  <si>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</si>
  <si>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</si>
  <si>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</si>
  <si>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</si>
  <si>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</si>
  <si>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</si>
  <si>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</si>
  <si>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</si>
  <si>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</si>
  <si>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</si>
  <si>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</si>
  <si>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</si>
  <si>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</si>
  <si>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</si>
  <si>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</si>
  <si>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</si>
  <si>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</si>
  <si>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</si>
  <si>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</si>
  <si>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</si>
  <si>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</si>
  <si>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</si>
  <si>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</si>
  <si>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</si>
  <si>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</si>
  <si>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</si>
  <si>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</si>
  <si>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</si>
  <si>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</si>
  <si>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</si>
  <si>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</si>
  <si>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</si>
  <si>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</si>
  <si>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</si>
  <si>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</si>
  <si>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</si>
  <si>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</si>
  <si>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</si>
  <si>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</si>
  <si>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</si>
  <si>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</si>
  <si>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</si>
  <si>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</si>
  <si>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</si>
  <si>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</si>
  <si>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</si>
  <si>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</si>
  <si>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</si>
  <si>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</si>
  <si>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</si>
  <si>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</si>
  <si>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</si>
  <si>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</si>
  <si>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</si>
  <si>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</si>
  <si>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</si>
  <si>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</si>
  <si>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</si>
  <si>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</si>
  <si>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</si>
  <si>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</si>
  <si>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</si>
  <si>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</si>
  <si>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</si>
  <si>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</si>
  <si>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</si>
  <si>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</si>
  <si>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</si>
  <si>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</si>
  <si>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</si>
  <si>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</si>
  <si>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</si>
  <si>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</si>
  <si>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</si>
  <si>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</si>
  <si>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</si>
  <si>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</si>
  <si>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</si>
  <si>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</si>
  <si>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</si>
  <si>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</si>
  <si>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</si>
  <si>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</si>
  <si>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</si>
  <si>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</si>
  <si>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</si>
  <si>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</si>
  <si>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</si>
  <si>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</si>
  <si>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</si>
  <si>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</si>
  <si>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</si>
  <si>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</si>
  <si>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</si>
  <si>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</si>
  <si>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</si>
  <si>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</si>
  <si>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</si>
  <si>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</si>
  <si>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</si>
  <si>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</si>
  <si>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</si>
  <si>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</si>
  <si>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</si>
  <si>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</si>
  <si>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</si>
  <si>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</si>
  <si>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</si>
  <si>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</si>
  <si>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</si>
  <si>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</si>
  <si>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</si>
  <si>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</si>
  <si>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</si>
  <si>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</si>
  <si>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</si>
  <si>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</si>
  <si>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</si>
  <si>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</si>
  <si>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</si>
  <si>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</si>
  <si>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</si>
  <si>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</si>
  <si>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</si>
  <si>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</si>
  <si>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</si>
  <si>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</si>
  <si>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</si>
  <si>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</si>
  <si>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</si>
  <si>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</si>
  <si>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</si>
  <si>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</si>
  <si>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</si>
  <si>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</si>
  <si>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</si>
  <si>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</si>
  <si>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</si>
  <si>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</si>
  <si>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</si>
  <si>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</si>
  <si>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</si>
  <si>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</si>
  <si>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</si>
  <si>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</si>
  <si>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</si>
  <si>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</si>
  <si>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</si>
  <si>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</si>
  <si>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</si>
  <si>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</si>
  <si>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</si>
  <si>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</si>
  <si>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</si>
  <si>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</si>
  <si>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</si>
  <si>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</si>
  <si>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</si>
  <si>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</si>
  <si>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</si>
  <si>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</si>
  <si>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</si>
  <si>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</si>
  <si>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</si>
  <si>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</si>
  <si>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</si>
  <si>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</si>
  <si>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</si>
  <si>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</si>
  <si>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</si>
  <si>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</si>
  <si>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</si>
  <si>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</si>
  <si>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</si>
  <si>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</si>
  <si>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</si>
  <si>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</si>
  <si>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</si>
  <si>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</si>
  <si>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</si>
  <si>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</si>
  <si>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</si>
  <si>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</si>
  <si>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</si>
  <si>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</si>
  <si>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</si>
  <si>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</si>
  <si>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</si>
  <si>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</si>
  <si>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</si>
  <si>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</si>
  <si>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</si>
  <si>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</si>
  <si>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</si>
  <si>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</si>
  <si>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</si>
  <si>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</si>
  <si>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</si>
  <si>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</si>
  <si>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</si>
  <si>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</si>
  <si>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</si>
  <si>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</si>
  <si>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</si>
  <si>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</si>
  <si>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</si>
  <si>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</si>
  <si>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</si>
  <si>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</si>
  <si>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</si>
  <si>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</si>
  <si>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</si>
  <si>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</si>
  <si>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</si>
  <si>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</si>
  <si>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</si>
  <si>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</si>
  <si>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</si>
  <si>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</si>
  <si>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</si>
  <si>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</si>
  <si>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</si>
  <si>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</si>
  <si>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</si>
  <si>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</si>
  <si>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</si>
  <si>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</si>
  <si>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</si>
  <si>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</si>
  <si>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</si>
  <si>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</si>
  <si>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</si>
  <si>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</si>
  <si>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</si>
  <si>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</si>
  <si>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</si>
  <si>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</si>
  <si>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</si>
  <si>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</si>
  <si>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</si>
  <si>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</si>
  <si>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</si>
  <si>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</si>
  <si>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</si>
  <si>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</si>
  <si>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</si>
  <si>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</si>
  <si>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</si>
  <si>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</si>
  <si>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</si>
  <si>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</si>
  <si>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</si>
  <si>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</si>
  <si>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</si>
  <si>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</si>
  <si>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</si>
  <si>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</si>
  <si>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</si>
  <si>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</si>
  <si>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</si>
  <si>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</si>
  <si>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</si>
  <si>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</si>
  <si>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</si>
  <si>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</si>
  <si>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</si>
  <si>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</si>
  <si>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</si>
  <si>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</si>
  <si>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</si>
  <si>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</si>
  <si>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</si>
  <si>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</si>
  <si>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</si>
  <si>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</si>
  <si>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</si>
  <si>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</si>
  <si>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</si>
  <si>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</si>
  <si>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</si>
  <si>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</si>
  <si>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</si>
  <si>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</si>
  <si>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</si>
  <si>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</si>
  <si>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</si>
  <si>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</si>
  <si>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</si>
  <si>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</si>
  <si>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</si>
  <si>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</si>
  <si>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</si>
  <si>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</si>
  <si>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</si>
  <si>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</si>
  <si>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</si>
  <si>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</si>
  <si>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</si>
  <si>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</si>
  <si>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</si>
  <si>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</si>
  <si>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</si>
  <si>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</si>
  <si>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</si>
  <si>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</si>
  <si>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</si>
  <si>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</si>
  <si>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</si>
  <si>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</si>
  <si>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</si>
  <si>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</si>
  <si>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</si>
  <si>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</si>
  <si>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</si>
  <si>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</si>
  <si>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</si>
  <si>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</si>
  <si>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</si>
  <si>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</si>
  <si>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</si>
  <si>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</si>
  <si>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</si>
  <si>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</si>
  <si>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</si>
  <si>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</si>
  <si>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</si>
  <si>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</si>
  <si>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</si>
  <si>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</si>
  <si>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</si>
  <si>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</si>
  <si>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</si>
  <si>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</si>
  <si>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</si>
  <si>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</si>
  <si>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</si>
  <si>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</si>
  <si>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</si>
  <si>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</si>
  <si>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</si>
  <si>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</si>
  <si>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</si>
  <si>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</si>
  <si>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</si>
  <si>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</si>
  <si>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</si>
  <si>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</si>
  <si>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</si>
  <si>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</si>
  <si>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</si>
  <si>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</si>
  <si>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</si>
  <si>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</si>
  <si>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</si>
  <si>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</si>
  <si>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</si>
  <si>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</si>
  <si>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</si>
  <si>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</si>
  <si>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</si>
  <si>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</si>
  <si>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</si>
  <si>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</si>
  <si>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</si>
  <si>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</si>
  <si>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</si>
  <si>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</si>
  <si>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</si>
  <si>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</si>
  <si>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</si>
  <si>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</si>
  <si>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</si>
  <si>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</si>
  <si>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</si>
  <si>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</si>
  <si>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</si>
  <si>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</si>
  <si>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</si>
  <si>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</si>
  <si>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</si>
  <si>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</si>
  <si>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</si>
  <si>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</si>
  <si>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</si>
  <si>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</si>
  <si>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</si>
  <si>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</si>
  <si>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</si>
  <si>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</si>
  <si>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</si>
  <si>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</si>
  <si>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</si>
  <si>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</si>
  <si>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</si>
  <si>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</si>
  <si>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</si>
  <si>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</si>
  <si>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</si>
  <si>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</si>
  <si>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</si>
  <si>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</si>
  <si>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</si>
  <si>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</si>
  <si>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</si>
  <si>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</si>
  <si>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</si>
  <si>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</si>
  <si>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</si>
  <si>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</si>
  <si>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</si>
  <si>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</si>
  <si>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</si>
  <si>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</si>
  <si>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</si>
  <si>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</si>
  <si>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</si>
  <si>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</si>
  <si>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</si>
  <si>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</si>
  <si>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</si>
  <si>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</si>
  <si>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</si>
  <si>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</si>
  <si>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</si>
  <si>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</si>
  <si>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</si>
  <si>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</si>
  <si>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</si>
  <si>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</si>
  <si>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</si>
  <si>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</si>
  <si>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</si>
  <si>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</si>
  <si>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</si>
  <si>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</si>
  <si>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</si>
  <si>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</si>
  <si>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</si>
  <si>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</si>
  <si>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</si>
  <si>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</si>
  <si>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</si>
  <si>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</si>
  <si>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</si>
  <si>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</si>
  <si>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</si>
  <si>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</si>
  <si>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</si>
  <si>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</si>
  <si>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</si>
  <si>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</si>
  <si>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</si>
  <si>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</si>
  <si>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</si>
  <si>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</si>
  <si>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</si>
  <si>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</si>
  <si>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</si>
  <si>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</si>
  <si>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</si>
  <si>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</si>
  <si>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</si>
  <si>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</si>
  <si>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</si>
  <si>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</si>
  <si>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</si>
  <si>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</si>
  <si>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</si>
  <si>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</si>
  <si>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</si>
  <si>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</si>
  <si>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</si>
  <si>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</si>
  <si>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</si>
  <si>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</si>
  <si>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</si>
  <si>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</si>
  <si>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</si>
  <si>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</si>
  <si>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</si>
  <si>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</si>
  <si>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</si>
  <si>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</si>
  <si>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</si>
  <si>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</si>
  <si>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</si>
  <si>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</si>
  <si>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</si>
  <si>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</si>
  <si>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</si>
  <si>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</si>
  <si>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</si>
  <si>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</si>
  <si>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</si>
  <si>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</si>
  <si>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</si>
  <si>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</si>
  <si>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</si>
  <si>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</si>
  <si>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</si>
  <si>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</si>
  <si>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</si>
  <si>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</si>
  <si>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</si>
  <si>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</si>
  <si>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</si>
  <si>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</si>
  <si>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</si>
  <si>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</si>
  <si>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</si>
  <si>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</si>
  <si>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</si>
  <si>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</si>
  <si>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</si>
  <si>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</si>
  <si>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</si>
  <si>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</si>
  <si>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</si>
  <si>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</si>
  <si>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</si>
  <si>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</si>
  <si>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</si>
  <si>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</si>
  <si>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</si>
  <si>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</si>
  <si>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</si>
  <si>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</si>
  <si>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</si>
  <si>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</si>
  <si>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</si>
  <si>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</si>
  <si>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</si>
  <si>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</si>
  <si>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</si>
  <si>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</si>
  <si>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</si>
  <si>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</si>
  <si>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</si>
  <si>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</si>
  <si>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</si>
  <si>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</si>
  <si>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</si>
  <si>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</si>
  <si>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</si>
  <si>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</si>
  <si>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</si>
  <si>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</si>
  <si>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</si>
  <si>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</si>
  <si>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</si>
  <si>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</si>
  <si>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</si>
  <si>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</si>
  <si>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</si>
  <si>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</si>
  <si>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</si>
  <si>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</si>
  <si>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</si>
  <si>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</si>
  <si>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</si>
  <si>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</si>
  <si>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</si>
  <si>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</si>
  <si>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</si>
  <si>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</si>
  <si>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</si>
  <si>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</si>
  <si>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</si>
  <si>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</si>
  <si>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</si>
  <si>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</si>
  <si>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</si>
  <si>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</si>
  <si>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</si>
  <si>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</si>
  <si>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</si>
  <si>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</si>
  <si>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</si>
  <si>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</si>
  <si>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</si>
  <si>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</si>
  <si>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</si>
  <si>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</si>
  <si>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</si>
  <si>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</si>
  <si>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</si>
  <si>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</si>
  <si>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</si>
  <si>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</si>
  <si>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</si>
  <si>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</si>
  <si>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</si>
  <si>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</si>
  <si>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</si>
  <si>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</si>
  <si>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</si>
  <si>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</si>
  <si>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</si>
  <si>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</si>
  <si>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</si>
  <si>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</si>
  <si>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</si>
  <si>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</si>
  <si>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</si>
  <si>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</si>
  <si>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</si>
  <si>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</si>
  <si>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</si>
  <si>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</si>
  <si>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</si>
  <si>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</si>
  <si>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</si>
  <si>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</si>
  <si>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</si>
  <si>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</si>
  <si>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</si>
  <si>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</si>
  <si>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</si>
  <si>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</si>
  <si>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</si>
  <si>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</si>
  <si>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</si>
  <si>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</si>
  <si>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</si>
  <si>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</si>
  <si>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</si>
  <si>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</si>
  <si>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</si>
  <si>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</si>
  <si>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</si>
  <si>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</si>
  <si>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</si>
  <si>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</si>
  <si>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</si>
  <si>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</si>
  <si>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</si>
  <si>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</si>
  <si>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</si>
  <si>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</si>
  <si>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</si>
  <si>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</si>
  <si>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</si>
  <si>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</si>
  <si>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</si>
  <si>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</si>
  <si>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</si>
  <si>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</si>
  <si>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</si>
  <si>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</si>
  <si>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</si>
  <si>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</si>
  <si>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</si>
  <si>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</si>
  <si>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</si>
  <si>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</si>
  <si>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</si>
  <si>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</si>
  <si>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</si>
  <si>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</si>
  <si>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</si>
  <si>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</si>
  <si>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</si>
  <si>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</si>
  <si>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</si>
  <si>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</si>
  <si>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</si>
  <si>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</si>
  <si>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</si>
  <si>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</si>
  <si>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</si>
  <si>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</si>
  <si>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</si>
  <si>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</si>
  <si>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</si>
  <si>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</si>
  <si>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</si>
  <si>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</si>
  <si>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</si>
  <si>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</si>
  <si>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</si>
  <si>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</si>
  <si>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</si>
  <si>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</si>
  <si>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</si>
  <si>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</si>
  <si>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</si>
  <si>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</si>
  <si>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</si>
  <si>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</si>
  <si>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</si>
  <si>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</si>
  <si>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</si>
  <si>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</si>
  <si>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</si>
  <si>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</si>
  <si>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</si>
  <si>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</si>
  <si>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</si>
  <si>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</si>
  <si>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</si>
  <si>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</si>
  <si>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</si>
  <si>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</si>
  <si>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</si>
  <si>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</si>
  <si>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</si>
  <si>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</si>
  <si>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</si>
  <si>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</si>
  <si>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</si>
  <si>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</si>
  <si>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</si>
  <si>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</si>
  <si>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</si>
  <si>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</si>
  <si>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</si>
  <si>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</si>
  <si>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</si>
  <si>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</si>
  <si>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</si>
  <si>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</si>
  <si>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</si>
  <si>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</si>
  <si>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</si>
  <si>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</si>
  <si>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</si>
  <si>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</si>
  <si>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</si>
  <si>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</si>
  <si>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</si>
  <si>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</si>
  <si>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</si>
  <si>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</si>
  <si>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</si>
  <si>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</si>
  <si>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</si>
  <si>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</si>
  <si>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</si>
  <si>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</si>
  <si>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</si>
  <si>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</si>
  <si>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</si>
  <si>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</si>
  <si>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</si>
  <si>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</si>
  <si>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</si>
  <si>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</si>
  <si>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</si>
  <si>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</si>
  <si>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</si>
  <si>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</si>
  <si>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</si>
  <si>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</si>
  <si>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</si>
  <si>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</si>
  <si>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</si>
  <si>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</si>
  <si>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</si>
  <si>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</si>
  <si>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</si>
  <si>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</si>
  <si>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</si>
  <si>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</si>
  <si>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</si>
  <si>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</si>
  <si>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</si>
  <si>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</si>
  <si>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</si>
  <si>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</si>
  <si>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</si>
  <si>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</si>
  <si>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</si>
  <si>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</si>
  <si>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</si>
  <si>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</si>
  <si>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</si>
  <si>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</si>
  <si>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</si>
  <si>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</si>
  <si>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</si>
  <si>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</si>
  <si>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</si>
  <si>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</si>
  <si>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</si>
  <si>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</si>
  <si>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</si>
  <si>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</si>
  <si>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</si>
  <si>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</si>
  <si>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</si>
  <si>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</si>
  <si>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</si>
  <si>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</si>
  <si>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</si>
  <si>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</si>
  <si>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</si>
  <si>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</si>
  <si>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</si>
  <si>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</si>
  <si>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</si>
  <si>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</si>
  <si>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</si>
  <si>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</si>
  <si>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</si>
  <si>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</si>
  <si>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</si>
  <si>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</si>
  <si>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</si>
  <si>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</si>
  <si>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</si>
  <si>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</si>
  <si>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</si>
  <si>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</si>
  <si>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</si>
  <si>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</si>
  <si>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</si>
  <si>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</si>
  <si>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</si>
  <si>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</si>
  <si>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</si>
  <si>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</si>
  <si>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</si>
  <si>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</si>
  <si>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</si>
  <si>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</si>
  <si>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</si>
  <si>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</si>
  <si>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</si>
  <si>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</si>
  <si>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</si>
  <si>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</si>
  <si>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</si>
  <si>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</si>
  <si>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</si>
  <si>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</si>
  <si>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</si>
  <si>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</si>
  <si>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</si>
  <si>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</si>
  <si>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</si>
  <si>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</si>
  <si>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</si>
  <si>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</si>
  <si>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</si>
  <si>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</si>
  <si>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</si>
  <si>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</si>
  <si>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</si>
  <si>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</si>
  <si>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</si>
  <si>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</si>
  <si>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</si>
  <si>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</si>
  <si>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</si>
  <si>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</si>
  <si>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</si>
  <si>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</si>
  <si>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</si>
  <si>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</si>
  <si>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</si>
  <si>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</si>
  <si>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</si>
  <si>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</si>
  <si>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</si>
  <si>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</si>
  <si>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</si>
  <si>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</si>
  <si>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</si>
  <si>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</si>
  <si>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</si>
  <si>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</si>
  <si>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</si>
  <si>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</si>
  <si>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</si>
  <si>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</si>
  <si>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</si>
  <si>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</si>
  <si>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</si>
  <si>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</si>
  <si>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</si>
  <si>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</si>
  <si>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</si>
  <si>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</si>
  <si>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</si>
  <si>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</si>
  <si>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</si>
  <si>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</si>
  <si>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</si>
  <si>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</si>
  <si>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</si>
  <si>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</si>
  <si>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</si>
  <si>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</si>
  <si>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</si>
  <si>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</si>
  <si>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</si>
  <si>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</si>
  <si>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</si>
  <si>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</si>
  <si>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</si>
  <si>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</si>
  <si>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</si>
  <si>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</si>
  <si>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</si>
  <si>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</si>
  <si>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</si>
  <si>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</si>
  <si>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</si>
  <si>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</si>
  <si>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</si>
  <si>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</si>
  <si>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</si>
  <si>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</si>
  <si>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</si>
  <si>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</si>
  <si>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</si>
  <si>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</si>
  <si>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</si>
  <si>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</si>
  <si>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</si>
  <si>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</si>
  <si>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</si>
  <si>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</si>
  <si>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</si>
  <si>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</si>
  <si>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</si>
  <si>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</si>
  <si>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</si>
  <si>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</si>
  <si>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</si>
  <si>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</si>
  <si>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</si>
  <si>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</si>
  <si>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</si>
  <si>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</si>
  <si>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</si>
  <si>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</si>
  <si>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</si>
  <si>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</si>
  <si>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</si>
  <si>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</si>
  <si>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</si>
  <si>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</si>
  <si>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</si>
  <si>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</si>
  <si>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</si>
  <si>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</si>
  <si>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</si>
  <si>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</si>
  <si>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</si>
  <si>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</si>
  <si>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</si>
  <si>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</si>
  <si>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</si>
  <si>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</si>
  <si>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</si>
  <si>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</si>
  <si>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</si>
  <si>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</si>
  <si>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</si>
  <si>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</si>
  <si>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</si>
  <si>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</si>
  <si>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</si>
  <si>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</si>
  <si>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</si>
  <si>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</si>
  <si>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</si>
  <si>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</si>
  <si>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</si>
  <si>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</si>
  <si>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</si>
  <si>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</si>
  <si>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</si>
  <si>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</si>
  <si>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</si>
  <si>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</si>
  <si>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</si>
  <si>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</si>
  <si>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</si>
  <si>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</si>
  <si>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</si>
  <si>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</si>
  <si>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</si>
  <si>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</si>
  <si>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</si>
  <si>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</si>
  <si>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</si>
  <si>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</si>
  <si>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</si>
  <si>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</si>
  <si>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</si>
  <si>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</si>
  <si>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</si>
  <si>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</si>
  <si>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</si>
  <si>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</si>
  <si>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</si>
  <si>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</si>
  <si>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</si>
  <si>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</si>
  <si>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</si>
  <si>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</si>
  <si>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</si>
  <si>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</si>
  <si>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</si>
  <si>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</si>
  <si>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</si>
  <si>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</si>
  <si>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</si>
  <si>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</si>
  <si>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</si>
  <si>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</si>
  <si>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</si>
  <si>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</si>
  <si>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</si>
  <si>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</si>
  <si>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</si>
  <si>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</si>
  <si>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</si>
  <si>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</si>
  <si>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</si>
  <si>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</si>
  <si>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</si>
  <si>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</si>
  <si>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</si>
  <si>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</si>
  <si>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</si>
  <si>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</si>
  <si>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</si>
  <si>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</si>
  <si>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</si>
  <si>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</si>
  <si>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</si>
  <si>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</si>
  <si>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</si>
  <si>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</si>
  <si>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</si>
  <si>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</si>
  <si>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</si>
  <si>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</si>
  <si>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</si>
  <si>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</si>
  <si>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</si>
  <si>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</si>
  <si>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</si>
  <si>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</si>
  <si>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</si>
  <si>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</si>
  <si>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</si>
  <si>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</si>
  <si>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</si>
  <si>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</si>
  <si>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</si>
  <si>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</si>
  <si>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</si>
  <si>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</si>
  <si>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</si>
  <si>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</si>
  <si>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</si>
  <si>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</si>
  <si>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</si>
  <si>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</si>
  <si>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</si>
  <si>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</si>
  <si>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</si>
  <si>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</si>
  <si>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</si>
  <si>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</si>
  <si>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</si>
  <si>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</si>
  <si>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</si>
  <si>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</si>
  <si>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</si>
  <si>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</si>
  <si>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</si>
  <si>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</si>
  <si>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</si>
  <si>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</si>
  <si>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</si>
  <si>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</si>
  <si>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</si>
  <si>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</si>
  <si>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</si>
  <si>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</si>
  <si>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</si>
  <si>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</si>
  <si>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</si>
  <si>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</si>
  <si>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</si>
  <si>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</si>
  <si>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</si>
  <si>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</si>
  <si>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</si>
  <si>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</si>
  <si>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</si>
  <si>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</si>
  <si>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</si>
  <si>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</si>
  <si>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</si>
  <si>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</si>
  <si>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</si>
  <si>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</si>
  <si>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</si>
  <si>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</si>
  <si>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</si>
  <si>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</si>
  <si>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</si>
  <si>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</si>
  <si>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</si>
  <si>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</si>
  <si>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</si>
  <si>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</si>
  <si>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</si>
  <si>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</si>
  <si>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</si>
  <si>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</si>
  <si>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</si>
  <si>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</si>
  <si>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</si>
  <si>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</si>
  <si>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</si>
  <si>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</si>
  <si>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</si>
  <si>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</si>
  <si>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</si>
  <si>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</si>
  <si>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</si>
  <si>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</si>
  <si>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</si>
  <si>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</si>
  <si>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</si>
  <si>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</si>
  <si>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</si>
  <si>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</si>
  <si>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</si>
  <si>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</si>
  <si>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</si>
  <si>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</si>
  <si>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</si>
  <si>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</si>
  <si>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</si>
  <si>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</si>
  <si>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</si>
  <si>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</si>
  <si>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</si>
  <si>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</si>
  <si>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</si>
  <si>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</si>
  <si>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</si>
  <si>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</si>
  <si>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</si>
  <si>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</si>
  <si>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</si>
  <si>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</si>
  <si>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</si>
  <si>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</si>
  <si>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</si>
  <si>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</si>
  <si>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</si>
  <si>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</si>
  <si>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</si>
  <si>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</si>
  <si>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</si>
  <si>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</si>
  <si>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</si>
  <si>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</si>
  <si>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</si>
  <si>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</si>
  <si>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</si>
  <si>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</si>
  <si>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</si>
  <si>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</si>
  <si>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</si>
  <si>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</si>
  <si>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</si>
  <si>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</si>
  <si>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</si>
  <si>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</si>
  <si>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</si>
  <si>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</si>
  <si>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</si>
  <si>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</si>
  <si>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</si>
  <si>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</si>
  <si>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</si>
  <si>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</si>
  <si>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</si>
  <si>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</si>
  <si>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</si>
  <si>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</si>
  <si>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</si>
  <si>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</si>
  <si>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</si>
  <si>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</si>
  <si>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</si>
  <si>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</si>
  <si>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</si>
  <si>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</si>
  <si>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</si>
  <si>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</si>
  <si>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</si>
  <si>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</si>
  <si>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</si>
  <si>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</si>
  <si>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</si>
  <si>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</si>
  <si>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</si>
  <si>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</si>
  <si>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</si>
  <si>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</si>
  <si>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</si>
  <si>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</si>
  <si>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</si>
  <si>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</si>
  <si>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</si>
  <si>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</si>
  <si>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</si>
  <si>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</si>
  <si>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</si>
  <si>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</si>
  <si>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</si>
  <si>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</si>
  <si>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</si>
  <si>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</si>
  <si>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</si>
  <si>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</si>
  <si>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</si>
  <si>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</si>
  <si>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</si>
  <si>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</si>
  <si>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</si>
  <si>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</si>
  <si>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</si>
  <si>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</si>
  <si>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</si>
  <si>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</si>
  <si>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</si>
  <si>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</si>
  <si>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</si>
  <si>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</si>
  <si>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</si>
  <si>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</si>
  <si>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</si>
  <si>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</si>
  <si>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</si>
  <si>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</si>
  <si>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</si>
  <si>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</si>
  <si>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</si>
  <si>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</si>
  <si>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</si>
  <si>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</si>
  <si>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</si>
  <si>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</si>
  <si>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</si>
  <si>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</si>
  <si>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</si>
  <si>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</si>
  <si>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</si>
  <si>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</si>
  <si>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</si>
  <si>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</si>
  <si>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</si>
  <si>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</si>
  <si>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</si>
  <si>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</si>
  <si>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</si>
  <si>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</si>
  <si>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</si>
  <si>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</si>
  <si>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</si>
  <si>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</si>
  <si>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</si>
  <si>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</si>
  <si>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</si>
  <si>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</si>
  <si>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</si>
  <si>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</si>
  <si>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</si>
  <si>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</si>
  <si>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</si>
  <si>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</si>
  <si>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</si>
  <si>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</si>
  <si>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</si>
  <si>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</si>
  <si>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</si>
  <si>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</si>
  <si>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</si>
  <si>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</si>
  <si>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</si>
  <si>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</si>
  <si>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</si>
  <si>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</si>
  <si>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</si>
  <si>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</si>
  <si>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</si>
  <si>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</si>
  <si>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</si>
  <si>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</si>
  <si>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</si>
  <si>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</si>
  <si>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</si>
  <si>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</si>
  <si>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</si>
  <si>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</si>
  <si>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</si>
  <si>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</si>
  <si>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</si>
  <si>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</si>
  <si>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</si>
  <si>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</si>
  <si>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</si>
  <si>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</si>
  <si>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</si>
  <si>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</si>
  <si>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</si>
  <si>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</si>
  <si>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</si>
  <si>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</si>
  <si>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</si>
  <si>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</si>
  <si>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</si>
  <si>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</si>
  <si>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</si>
  <si>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</si>
  <si>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</si>
  <si>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</si>
  <si>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</si>
  <si>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</si>
  <si>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</si>
  <si>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</si>
  <si>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</si>
  <si>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</si>
  <si>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</si>
  <si>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</si>
  <si>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</si>
  <si>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</si>
  <si>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</si>
  <si>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</si>
  <si>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</si>
  <si>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</si>
  <si>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</si>
  <si>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</si>
  <si>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</si>
  <si>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</si>
  <si>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</si>
  <si>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</si>
  <si>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</si>
  <si>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</si>
  <si>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</si>
  <si>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</si>
  <si>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</si>
  <si>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</si>
  <si>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</si>
  <si>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</si>
  <si>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</si>
  <si>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</si>
  <si>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</si>
  <si>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</si>
  <si>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</si>
  <si>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</si>
  <si>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</si>
  <si>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</si>
  <si>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</si>
  <si>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</si>
  <si>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</si>
  <si>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</si>
  <si>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</si>
  <si>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</si>
  <si>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</si>
  <si>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</si>
  <si>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</si>
  <si>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</si>
  <si>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</si>
  <si>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</si>
  <si>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</si>
  <si>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</si>
  <si>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</si>
  <si>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</si>
  <si>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</si>
  <si>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</si>
  <si>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</si>
  <si>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</si>
  <si>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</si>
  <si>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</si>
  <si>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</si>
  <si>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</si>
  <si>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</si>
  <si>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</si>
  <si>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</si>
  <si>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</si>
  <si>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</si>
  <si>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</si>
  <si>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</si>
  <si>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</si>
  <si>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</si>
  <si>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</si>
  <si>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</si>
  <si>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</si>
  <si>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</si>
  <si>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</si>
  <si>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</si>
  <si>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</si>
  <si>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</si>
  <si>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</si>
  <si>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</si>
  <si>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</si>
  <si>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</si>
  <si>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</si>
  <si>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</si>
  <si>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</si>
  <si>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</si>
  <si>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</si>
  <si>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</si>
  <si>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</si>
  <si>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</si>
  <si>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</si>
  <si>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</si>
  <si>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</si>
  <si>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</si>
  <si>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</si>
  <si>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</si>
  <si>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</si>
  <si>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</si>
  <si>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</si>
  <si>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</si>
  <si>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</si>
  <si>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</si>
  <si>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</si>
  <si>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</si>
  <si>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</si>
  <si>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</si>
  <si>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</si>
  <si>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</si>
  <si>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</si>
  <si>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</si>
  <si>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</si>
  <si>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</si>
  <si>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</si>
  <si>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</si>
  <si>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</si>
  <si>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</si>
  <si>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</si>
  <si>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</si>
  <si>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</si>
  <si>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</si>
  <si>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</si>
  <si>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</si>
  <si>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</si>
  <si>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</si>
  <si>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</si>
  <si>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</si>
  <si>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</si>
  <si>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</si>
  <si>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</si>
  <si>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</si>
  <si>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</si>
  <si>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</si>
  <si>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</si>
  <si>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</si>
  <si>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</si>
  <si>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</si>
  <si>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</si>
  <si>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</si>
  <si>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</si>
  <si>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</si>
  <si>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</si>
  <si>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</si>
  <si>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</si>
  <si>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</si>
  <si>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</si>
  <si>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</si>
  <si>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</si>
  <si>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</si>
  <si>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</si>
  <si>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</si>
  <si>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</si>
  <si>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</si>
  <si>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</si>
  <si>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</si>
  <si>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</si>
  <si>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</si>
  <si>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</si>
  <si>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</si>
  <si>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</si>
  <si>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</si>
  <si>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</si>
  <si>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</si>
  <si>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</si>
  <si>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</si>
  <si>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</si>
  <si>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</si>
  <si>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</si>
  <si>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</si>
  <si>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</si>
  <si>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</si>
  <si>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</si>
  <si>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</si>
  <si>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</si>
  <si>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</si>
  <si>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</si>
  <si>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</si>
  <si>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</si>
  <si>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</si>
  <si>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</si>
  <si>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</si>
  <si>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</si>
  <si>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</si>
  <si>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</si>
  <si>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</si>
  <si>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</si>
  <si>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</si>
  <si>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</si>
  <si>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</si>
  <si>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</si>
  <si>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</si>
  <si>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</si>
  <si>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</si>
  <si>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</si>
  <si>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</si>
  <si>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</si>
  <si>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</si>
  <si>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</si>
  <si>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</si>
  <si>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</si>
  <si>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</si>
  <si>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</si>
  <si>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</si>
  <si>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</si>
  <si>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</si>
  <si>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</si>
  <si>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</si>
  <si>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</si>
  <si>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</si>
  <si>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</si>
  <si>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</si>
  <si>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</si>
  <si>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</si>
  <si>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</si>
  <si>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</si>
  <si>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</si>
  <si>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</si>
  <si>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</si>
  <si>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</si>
  <si>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</si>
  <si>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</si>
  <si>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</si>
  <si>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</si>
  <si>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</si>
  <si>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</si>
  <si>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</si>
  <si>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</si>
  <si>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</si>
  <si>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</si>
  <si>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</si>
  <si>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</si>
  <si>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</si>
  <si>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</si>
  <si>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</si>
  <si>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</si>
  <si>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</si>
  <si>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</si>
  <si>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</si>
  <si>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</si>
  <si>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</si>
  <si>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</si>
  <si>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</si>
  <si>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</si>
  <si>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</si>
  <si>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</si>
  <si>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</si>
  <si>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</si>
  <si>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</si>
  <si>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</si>
  <si>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</si>
  <si>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</si>
  <si>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</si>
  <si>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</si>
  <si>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</si>
  <si>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</si>
  <si>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</si>
  <si>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</si>
  <si>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</si>
  <si>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</si>
  <si>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</si>
  <si>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</si>
  <si>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</si>
  <si>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</si>
  <si>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</si>
  <si>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</si>
  <si>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</si>
  <si>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</si>
  <si>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</si>
  <si>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</si>
  <si>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</si>
  <si>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</si>
  <si>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</si>
  <si>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</si>
  <si>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</si>
  <si>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</si>
  <si>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</si>
  <si>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</si>
  <si>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</si>
  <si>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</si>
  <si>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</si>
  <si>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</si>
  <si>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</si>
  <si>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</si>
  <si>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</si>
  <si>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</si>
  <si>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</si>
  <si>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</si>
  <si>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</si>
  <si>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</si>
  <si>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</si>
  <si>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</si>
  <si>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</si>
  <si>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</si>
  <si>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</si>
  <si>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</si>
  <si>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</si>
  <si>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</si>
  <si>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</si>
  <si>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</si>
  <si>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</si>
  <si>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</si>
  <si>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</si>
  <si>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</si>
  <si>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</si>
  <si>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</si>
  <si>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</si>
  <si>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</si>
  <si>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</si>
  <si>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</si>
  <si>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</si>
  <si>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</si>
  <si>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</si>
  <si>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</si>
  <si>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</si>
  <si>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</si>
  <si>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</si>
  <si>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</si>
  <si>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</si>
  <si>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</si>
  <si>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</si>
  <si>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</si>
  <si>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</si>
  <si>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</si>
  <si>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</si>
  <si>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</si>
  <si>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</si>
  <si>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</si>
  <si>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</si>
  <si>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</si>
  <si>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</si>
  <si>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</si>
  <si>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</si>
  <si>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</si>
  <si>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</si>
  <si>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</si>
  <si>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</si>
  <si>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</si>
  <si>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</si>
  <si>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</si>
  <si>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</si>
  <si>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</si>
  <si>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</si>
  <si>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</si>
  <si>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</si>
  <si>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</si>
  <si>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</si>
  <si>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</si>
  <si>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</si>
  <si>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</si>
  <si>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</si>
  <si>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</si>
  <si>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</si>
  <si>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</si>
  <si>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</si>
  <si>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</si>
  <si>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</si>
  <si>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</si>
  <si>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</si>
  <si>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</si>
  <si>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</si>
  <si>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</si>
  <si>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</si>
  <si>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</si>
  <si>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</si>
  <si>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</si>
  <si>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</si>
  <si>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</si>
  <si>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</si>
  <si>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</si>
  <si>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</si>
  <si>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</si>
  <si>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</si>
  <si>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</si>
  <si>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</si>
  <si>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</si>
  <si>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</si>
  <si>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</si>
  <si>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</si>
  <si>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</si>
  <si>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</si>
  <si>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</si>
  <si>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</si>
  <si>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</si>
  <si>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</si>
  <si>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</si>
  <si>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</si>
  <si>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</si>
  <si>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</si>
  <si>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</si>
  <si>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</si>
  <si>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</si>
  <si>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</si>
  <si>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</si>
  <si>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</si>
  <si>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</si>
  <si>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</si>
  <si>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</si>
  <si>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</si>
  <si>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</si>
  <si>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</si>
  <si>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</si>
  <si>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</si>
  <si>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</si>
  <si>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</si>
  <si>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</si>
  <si>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</si>
  <si>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</si>
  <si>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</si>
  <si>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</si>
  <si>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</si>
  <si>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</si>
  <si>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</si>
  <si>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</si>
  <si>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</si>
  <si>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</si>
  <si>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</si>
  <si>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</si>
  <si>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</si>
  <si>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</si>
  <si>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</si>
  <si>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</si>
  <si>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</si>
  <si>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</si>
  <si>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</si>
  <si>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</si>
  <si>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</si>
  <si>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</si>
  <si>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</si>
  <si>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</si>
  <si>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</si>
  <si>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</si>
  <si>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</si>
  <si>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</si>
  <si>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</si>
  <si>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</si>
  <si>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</si>
  <si>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</si>
  <si>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</si>
  <si>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</si>
  <si>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</si>
  <si>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</si>
  <si>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</si>
  <si>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</si>
  <si>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</si>
  <si>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</si>
  <si>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</si>
  <si>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</si>
  <si>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</si>
  <si>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</si>
  <si>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</si>
  <si>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</si>
  <si>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</si>
  <si>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</si>
  <si>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</si>
  <si>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</si>
  <si>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</si>
  <si>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</si>
  <si>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</si>
  <si>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</si>
  <si>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</si>
  <si>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</si>
  <si>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</si>
  <si>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</si>
  <si>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</si>
  <si>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</si>
  <si>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</si>
  <si>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</si>
  <si>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</si>
  <si>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</si>
  <si>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</si>
  <si>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</si>
  <si>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</si>
  <si>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</si>
  <si>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</si>
  <si>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</si>
  <si>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</si>
  <si>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</si>
  <si>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</si>
  <si>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</si>
  <si>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</si>
  <si>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</si>
  <si>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</si>
  <si>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</si>
  <si>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</si>
  <si>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</si>
  <si>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</si>
  <si>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</si>
  <si>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</si>
  <si>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</si>
  <si>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</si>
  <si>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</si>
  <si>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</si>
  <si>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</si>
  <si>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</si>
  <si>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</si>
  <si>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</si>
  <si>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</si>
  <si>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</si>
  <si>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</si>
  <si>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</si>
  <si>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</si>
  <si>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</si>
  <si>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</si>
  <si>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</si>
  <si>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</si>
  <si>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</si>
  <si>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</si>
  <si>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</si>
  <si>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</si>
  <si>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</si>
  <si>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</si>
  <si>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</si>
  <si>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</si>
  <si>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</si>
  <si>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</si>
  <si>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</si>
  <si>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</si>
  <si>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</si>
  <si>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</si>
  <si>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</si>
  <si>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</si>
  <si>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</si>
  <si>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</si>
  <si>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</si>
  <si>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</si>
  <si>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</si>
  <si>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</si>
  <si>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</si>
  <si>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</si>
  <si>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</si>
  <si>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</si>
  <si>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</si>
  <si>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</si>
  <si>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</si>
  <si>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</si>
  <si>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</si>
  <si>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</si>
  <si>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</si>
  <si>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</si>
  <si>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</si>
  <si>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</si>
  <si>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</si>
  <si>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</si>
  <si>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</si>
  <si>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</si>
  <si>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</si>
  <si>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</si>
  <si>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</si>
  <si>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</si>
  <si>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</si>
  <si>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</si>
  <si>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</si>
  <si>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</si>
  <si>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</si>
  <si>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</si>
  <si>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</si>
  <si>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</si>
  <si>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</si>
  <si>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</si>
  <si>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</si>
  <si>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</si>
  <si>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</si>
  <si>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</si>
  <si>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</si>
  <si>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</si>
  <si>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</si>
  <si>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</si>
  <si>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</si>
  <si>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</si>
  <si>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</si>
  <si>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</si>
  <si>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</si>
  <si>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</si>
  <si>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</si>
  <si>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</si>
  <si>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</si>
  <si>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</si>
  <si>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</si>
  <si>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</si>
  <si>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</si>
  <si>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</si>
  <si>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</si>
  <si>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</si>
  <si>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</si>
  <si>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</si>
  <si>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</si>
  <si>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</si>
  <si>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</si>
  <si>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</si>
  <si>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</si>
  <si>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</si>
  <si>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</si>
  <si>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</si>
  <si>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</si>
  <si>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</si>
  <si>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</si>
  <si>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</si>
  <si>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</si>
  <si>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</si>
  <si>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</si>
  <si>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</si>
  <si>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</si>
  <si>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</si>
  <si>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</si>
  <si>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</si>
  <si>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</si>
  <si>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</si>
  <si>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</si>
  <si>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</si>
  <si>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</si>
  <si>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</si>
  <si>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</si>
  <si>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</si>
  <si>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</si>
  <si>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</si>
  <si>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</si>
  <si>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</si>
  <si>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</si>
  <si>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</si>
  <si>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</si>
  <si>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</si>
  <si>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</si>
  <si>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</si>
  <si>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</si>
  <si>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</si>
  <si>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</si>
  <si>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</si>
  <si>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</si>
  <si>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</si>
  <si>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</si>
  <si>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</si>
  <si>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</si>
  <si>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</si>
  <si>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</si>
  <si>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</si>
  <si>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</si>
  <si>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</si>
  <si>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</si>
  <si>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</si>
  <si>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</si>
  <si>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</si>
  <si>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</si>
  <si>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</si>
  <si>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</si>
  <si>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</si>
  <si>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</si>
  <si>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</si>
  <si>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</si>
  <si>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</si>
  <si>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</si>
  <si>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</si>
  <si>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</si>
  <si>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</si>
  <si>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</si>
  <si>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</si>
  <si>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</si>
  <si>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</si>
  <si>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</si>
  <si>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</si>
  <si>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</si>
  <si>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</si>
  <si>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</si>
  <si>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</si>
  <si>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</si>
  <si>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</si>
  <si>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</si>
  <si>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</si>
  <si>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</si>
  <si>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</si>
  <si>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</si>
  <si>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</si>
  <si>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</si>
  <si>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</si>
  <si>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</si>
  <si>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</si>
  <si>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</si>
  <si>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</si>
  <si>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</si>
  <si>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</si>
  <si>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</si>
  <si>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</si>
  <si>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</si>
  <si>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</si>
  <si>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</si>
  <si>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</si>
  <si>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</si>
  <si>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</si>
  <si>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</si>
  <si>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</si>
  <si>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</si>
  <si>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</si>
  <si>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</si>
  <si>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</si>
  <si>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</si>
  <si>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</si>
  <si>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</si>
  <si>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</si>
  <si>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</si>
  <si>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</si>
  <si>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</si>
  <si>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</si>
  <si>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</si>
  <si>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</si>
  <si>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</si>
  <si>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</si>
  <si>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</si>
  <si>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</si>
  <si>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</si>
  <si>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</si>
  <si>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</si>
  <si>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</si>
  <si>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</si>
  <si>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</si>
  <si>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</si>
  <si>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</si>
  <si>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</si>
  <si>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</si>
  <si>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</si>
  <si>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</si>
  <si>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</si>
  <si>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</si>
  <si>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</si>
  <si>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</si>
  <si>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</si>
  <si>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</si>
  <si>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</si>
  <si>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</si>
  <si>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</si>
  <si>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</si>
  <si>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</si>
  <si>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</si>
  <si>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</si>
  <si>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</si>
  <si>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</si>
  <si>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</si>
  <si>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</si>
  <si>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</si>
  <si>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</si>
  <si>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</si>
  <si>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</si>
  <si>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</si>
  <si>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</si>
  <si>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</si>
  <si>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</si>
  <si>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</si>
  <si>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</si>
  <si>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</si>
  <si>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</si>
  <si>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</si>
  <si>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</si>
  <si>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</si>
  <si>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</si>
  <si>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</si>
  <si>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</si>
  <si>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</si>
  <si>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</si>
  <si>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</si>
  <si>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</si>
  <si>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</si>
  <si>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</si>
  <si>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</si>
  <si>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</si>
  <si>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</si>
  <si>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</si>
  <si>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</si>
  <si>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</si>
  <si>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</si>
  <si>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</si>
  <si>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</si>
  <si>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</si>
  <si>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</si>
  <si>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</si>
  <si>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</si>
  <si>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</si>
  <si>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</si>
  <si>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</si>
  <si>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</si>
  <si>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</si>
  <si>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</si>
  <si>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</si>
  <si>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</si>
  <si>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</si>
  <si>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</si>
  <si>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</si>
  <si>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</si>
  <si>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</si>
  <si>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</si>
  <si>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</si>
  <si>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</si>
  <si>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</si>
  <si>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</si>
  <si>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</si>
  <si>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</si>
  <si>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</si>
  <si>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</si>
  <si>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</si>
  <si>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</si>
  <si>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</si>
  <si>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</si>
  <si>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</si>
  <si>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</si>
  <si>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</si>
  <si>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</si>
  <si>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</si>
  <si>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</si>
  <si>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</si>
  <si>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</si>
  <si>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</si>
  <si>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Grand Total</t>
  </si>
  <si>
    <t>2019</t>
  </si>
  <si>
    <t>Jan</t>
  </si>
  <si>
    <t>Feb</t>
  </si>
  <si>
    <t>Mar</t>
  </si>
  <si>
    <t>May</t>
  </si>
  <si>
    <t>Jun</t>
  </si>
  <si>
    <t>Jul</t>
  </si>
  <si>
    <t>Aug</t>
  </si>
  <si>
    <t>Sep</t>
  </si>
  <si>
    <t>Oct</t>
  </si>
  <si>
    <t>Nov</t>
  </si>
  <si>
    <t>Dec</t>
  </si>
  <si>
    <t>2020</t>
  </si>
  <si>
    <t>2021</t>
  </si>
  <si>
    <t>2022</t>
  </si>
  <si>
    <t>Years</t>
  </si>
  <si>
    <t>Sum of Sales</t>
  </si>
  <si>
    <t>Arabica</t>
  </si>
  <si>
    <t>Excelsa</t>
  </si>
  <si>
    <t>Laberica</t>
  </si>
  <si>
    <t>Robusta</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</si>
</sst>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4" formatCode="_(&quot;$&quot;* #,##0.00_);_(&quot;$&quot;* \(#,##0.00\);_(&quot;$&quot;* &quot;-&quot;??_);_(@_)"/>
    <numFmt numFmtId="164" formatCode="0.0"/>
    <numFmt numFmtId="166" formatCode="dd\-mmm\-yyyy"/>
    <numFmt numFmtId="167" formatCode="0.0\ &quot;kg&quot;"/>
    <numFmt numFmtId="169" formatCode="&quot;$&quot;#,##0"/>
  </numFmts>
  <fonts count="4" x14ac:knownFonts="1">
    <font>
      <sz val="11"/>
      <color theme="1"/>
      <name val="Calibri"/>
      <family val="2"/>
      <scheme val="minor"/>
    </font>
    <font>
      <sz val="11"/>
      <color indexed="8"/>
      <name val="Calibri"/>
      <family val="2"/>
    </font>
    <font>
      <sz val="11"/>
      <color theme="1"/>
      <name val="Calibri"/>
      <family val="2"/>
      <scheme val="minor"/>
    </font>
    <font>
      <sz val="11"/>
      <color rgb="FF40062D"/>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2" fillId="0" borderId="0" applyFont="0" applyFill="0" applyBorder="0" applyAlignment="0" applyProtection="0"/>
  </cellStyleXfs>
  <cellXfs count="11">
    <xf numFmtId="0" fontId="0" fillId="0" borderId="0" xfId="0"/>
    <xf numFmtId="164" fontId="0" fillId="0" borderId="0" xfId="0" applyNumberFormat="1"/>
    <xf numFmtId="0" fontId="1" fillId="0" borderId="0" xfId="0" applyFont="1" applyAlignment="1">
      <alignment vertical="center"/>
    </xf>
    <xf numFmtId="166" fontId="1" fillId="0" borderId="0" xfId="0" applyNumberFormat="1" applyFont="1" applyAlignment="1">
      <alignment vertical="center"/>
    </xf>
    <xf numFmtId="167" fontId="0" fillId="0" borderId="0" xfId="0" applyNumberFormat="1"/>
    <xf numFmtId="44" fontId="0" fillId="0" borderId="0" xfId="1" applyFont="1"/>
    <xf numFmtId="0" fontId="0" fillId="0" borderId="0" xfId="0" pivotButton="1"/>
    <xf numFmtId="166" fontId="0" fillId="0" borderId="0" xfId="0" applyNumberFormat="1"/>
    <xf numFmtId="3" fontId="0" fillId="0" borderId="0" xfId="0" applyNumberFormat="1"/>
    <xf numFmtId="0" fontId="3" fillId="0" borderId="0" xfId="0" applyFont="1"/>
    <xf numFmtId="169" fontId="0" fillId="0" borderId="0" xfId="0" applyNumberFormat="1"/>
  </cellXfs>
  <cellStyles count="2">
    <cellStyle name="Currency" xfId="1" builtinId="4"/>
    <cellStyle name="Normal" xfId="0" builtinId="0"/>
  </cellStyles>
  <dxfs count="19">
    <dxf>
      <numFmt numFmtId="169" formatCode="&quot;$&quot;#,##0"/>
    </dxf>
    <dxf>
      <numFmt numFmtId="169" formatCode="&quot;$&quot;#,##0"/>
    </dxf>
    <dxf>
      <numFmt numFmtId="3" formatCode="#,##0"/>
    </dxf>
    <dxf>
      <font>
        <b/>
        <i val="0"/>
        <sz val="11"/>
        <color theme="0"/>
        <name val="Calibri"/>
        <scheme val="minor"/>
      </font>
    </dxf>
    <dxf>
      <font>
        <b val="0"/>
        <i val="0"/>
        <color theme="0"/>
        <name val="Calibri"/>
        <scheme val="minor"/>
      </font>
      <fill>
        <patternFill>
          <bgColor rgb="FF7030A0"/>
        </patternFill>
      </fill>
    </dxf>
    <dxf>
      <numFmt numFmtId="0" formatCode="General"/>
    </dxf>
    <dxf>
      <font>
        <b/>
        <i val="0"/>
        <sz val="11"/>
        <color theme="0"/>
        <name val="Calibri"/>
        <scheme val="minor"/>
      </font>
      <border>
        <left style="thin">
          <color theme="0"/>
        </left>
        <right style="thin">
          <color theme="0"/>
        </right>
        <top style="thin">
          <color theme="0"/>
        </top>
        <bottom style="thin">
          <color theme="0"/>
        </bottom>
      </border>
    </dxf>
    <dxf>
      <font>
        <b/>
        <i val="0"/>
        <sz val="11"/>
        <color theme="0"/>
        <name val="Calibri"/>
        <scheme val="minor"/>
      </font>
      <fill>
        <patternFill patternType="solid">
          <fgColor theme="0"/>
          <bgColor rgb="FF7030A0"/>
        </patternFill>
      </fill>
      <border>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numFmt numFmtId="167" formatCode="0.0\ &quot;kg&quot;"/>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numFmt numFmtId="166"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s>
  <tableStyles count="2" defaultTableStyle="TableStyleMedium2" defaultPivotStyle="PivotStyleMedium9">
    <tableStyle name="Purple Slicer" pivot="0" table="0" count="6">
      <tableStyleElement type="wholeTable" dxfId="4"/>
      <tableStyleElement type="headerRow" dxfId="3"/>
    </tableStyle>
    <tableStyle name="Purple Timeline Style" pivot="0" table="0" count="8">
      <tableStyleElement type="wholeTable" dxfId="7"/>
      <tableStyleElement type="headerRow" dxfId="6"/>
    </tableStyle>
  </tableStyles>
  <colors>
    <mruColors>
      <color rgb="FFFFFFFF"/>
      <color rgb="FF90F4C2"/>
      <color rgb="FF17E37D"/>
      <color rgb="FF89F3BE"/>
      <color rgb="FF0C7E45"/>
      <color rgb="FF064023"/>
      <color rgb="FF3CEB95"/>
      <color rgb="FFB07BE5"/>
      <color rgb="FFAABFE4"/>
      <color rgb="FFB1510F"/>
    </mruColors>
  </colors>
  <extLst>
    <ext xmlns:x14="http://schemas.microsoft.com/office/spreadsheetml/2009/9/main" uri="{46F421CA-312F-682f-3DD2-61675219B42D}">
      <x14:dxfs count="4">
        <dxf>
          <font>
            <b/>
            <i val="0"/>
            <color theme="0"/>
            <name val="Calibri"/>
            <scheme val="minor"/>
          </font>
          <border>
            <left style="thin">
              <color theme="0"/>
            </left>
            <right style="thin">
              <color theme="0"/>
            </right>
            <top style="thin">
              <color theme="0"/>
            </top>
            <bottom style="thin">
              <color theme="0"/>
            </bottom>
          </border>
        </dxf>
        <dxf>
          <font>
            <b/>
            <i val="0"/>
            <name val="Calibri"/>
            <scheme val="minor"/>
          </font>
          <border>
            <left style="thin">
              <color theme="0"/>
            </left>
            <right style="thin">
              <color theme="0"/>
            </right>
            <top style="thin">
              <color theme="0"/>
            </top>
            <bottom style="thin">
              <color theme="0"/>
            </bottom>
          </border>
        </dxf>
        <dxf>
          <font>
            <b val="0"/>
            <i val="0"/>
            <strike/>
            <color theme="0" tint="-4.9989318521683403E-2"/>
            <name val="Calibri"/>
            <scheme val="minor"/>
          </font>
          <border>
            <left style="thin">
              <color theme="0"/>
            </left>
            <right style="thin">
              <color theme="0"/>
            </right>
            <top style="thin">
              <color theme="0"/>
            </top>
            <bottom style="thin">
              <color theme="0"/>
            </bottom>
          </border>
        </dxf>
        <dxf>
          <font>
            <b val="0"/>
            <i val="0"/>
            <strike/>
            <color theme="0" tint="-4.9989318521683403E-2"/>
            <name val="Calibri"/>
            <scheme val="minor"/>
          </font>
        </dxf>
      </x14:dxfs>
    </ext>
    <ext xmlns:x14="http://schemas.microsoft.com/office/spreadsheetml/2009/9/main" uri="{EB79DEF2-80B8-43e5-95BD-54CBDDF9020C}">
      <x14:slicerStyles defaultSlicerStyle="Purple Slicer">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3743705557422"/>
              <bgColor theme="0" tint="-4.9989318521683403E-2"/>
            </patternFill>
          </fill>
        </dxf>
        <dxf>
          <fill>
            <patternFill patternType="solid">
              <fgColor theme="0"/>
              <bgColor rgb="FFB07BE5"/>
            </patternFill>
          </fill>
          <border>
            <left style="thin">
              <color theme="0"/>
            </left>
            <right style="thin">
              <color theme="0"/>
            </right>
            <top style="thin">
              <color theme="0"/>
            </top>
            <bottom style="thin">
              <color theme="0"/>
            </bottom>
          </border>
        </dxf>
        <dxf>
          <font>
            <b/>
            <i val="0"/>
            <sz val="9"/>
            <color theme="0"/>
            <name val="Calibri"/>
            <scheme val="minor"/>
          </font>
        </dxf>
        <dxf>
          <font>
            <b/>
            <i val="0"/>
            <sz val="9"/>
            <color theme="0"/>
            <name val="Calibri"/>
            <scheme val="minor"/>
          </font>
        </dxf>
        <dxf>
          <font>
            <b/>
            <i val="0"/>
            <sz val="9"/>
            <color theme="0"/>
            <name val="Calibri"/>
            <scheme val="minor"/>
          </font>
        </dxf>
        <dxf>
          <font>
            <b/>
            <i val="0"/>
            <sz val="10"/>
            <color theme="0"/>
            <name val="Calibri"/>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Project on coffeeOrdersData.xlsx]TotalSales!TotalSales</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Over Time</a:t>
            </a:r>
          </a:p>
          <a:p>
            <a:pPr>
              <a:defRPr/>
            </a:pP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
        <c:idx val="3"/>
        <c:spPr>
          <a:ln w="28575" cap="rnd">
            <a:solidFill>
              <a:schemeClr val="accent1"/>
            </a:solidFill>
            <a:round/>
          </a:ln>
          <a:effectLst/>
        </c:spPr>
        <c:marker>
          <c:symbol val="none"/>
        </c:marker>
      </c:pivotFmt>
      <c:pivotFmt>
        <c:idx val="4"/>
        <c:spPr>
          <a:ln w="28575" cap="rnd">
            <a:solidFill>
              <a:srgbClr val="AABFE4"/>
            </a:solidFill>
            <a:round/>
          </a:ln>
          <a:effectLst/>
        </c:spPr>
        <c:marker>
          <c:symbol val="none"/>
        </c:marker>
      </c:pivotFmt>
      <c:pivotFmt>
        <c:idx val="5"/>
        <c:spPr>
          <a:ln w="28575" cap="rnd">
            <a:solidFill>
              <a:srgbClr val="B1510F"/>
            </a:solidFill>
            <a:round/>
          </a:ln>
          <a:effectLst/>
        </c:spPr>
        <c:marker>
          <c:symbol val="none"/>
        </c:marker>
      </c:pivotFmt>
      <c:pivotFmt>
        <c:idx val="6"/>
        <c:spPr>
          <a:ln w="28575" cap="rnd">
            <a:solidFill>
              <a:srgbClr val="FFFF00"/>
            </a:solidFill>
            <a:round/>
          </a:ln>
          <a:effectLst/>
        </c:spPr>
        <c:marker>
          <c:symbol val="none"/>
        </c:marker>
      </c:pivotFmt>
      <c:pivotFmt>
        <c:idx val="7"/>
        <c:spPr>
          <a:ln w="28575" cap="rnd">
            <a:solidFill>
              <a:srgbClr val="FF0000"/>
            </a:solidFill>
            <a:round/>
          </a:ln>
          <a:effectLst/>
        </c:spPr>
        <c:marker>
          <c:symbol val="none"/>
        </c:marker>
      </c:pivotFmt>
      <c:pivotFmt>
        <c:idx val="8"/>
        <c:spPr>
          <a:ln w="28575" cap="rnd">
            <a:solidFill>
              <a:schemeClr val="accent1"/>
            </a:solidFill>
            <a:round/>
          </a:ln>
          <a:effectLst/>
        </c:spPr>
        <c:marker>
          <c:symbol val="none"/>
        </c:marker>
      </c:pivotFmt>
    </c:pivotFmts>
    <c:plotArea>
      <c:layout/>
      <c:lineChart>
        <c:grouping val="standard"/>
        <c:varyColors val="0"/>
        <c:ser>
          <c:idx val="0"/>
          <c:order val="0"/>
          <c:tx>
            <c:strRef>
              <c:f>TotalSales!$C$5:$C$6</c:f>
              <c:strCache>
                <c:ptCount val="1"/>
                <c:pt idx="0">
                  <c:v>Arabica</c:v>
                </c:pt>
              </c:strCache>
            </c:strRef>
          </c:tx>
          <c:spPr>
            <a:ln w="28575" cap="rnd">
              <a:solidFill>
                <a:srgbClr val="AABFE4"/>
              </a:solidFill>
              <a:round/>
            </a:ln>
            <a:effectLst/>
          </c:spPr>
          <c:marker>
            <c:symbol val="none"/>
          </c:marker>
          <c:cat>
            <c:multiLvlStrRef>
              <c:f>TotalSales!$A$7:$B$34</c:f>
              <c:multiLvlStrCache>
                <c:ptCount val="27"/>
                <c:lvl>
                  <c:pt idx="0">
                    <c:v>Jan</c:v>
                  </c:pt>
                  <c:pt idx="1">
                    <c:v>Feb</c:v>
                  </c:pt>
                  <c:pt idx="2">
                    <c:v>Mar</c:v>
                  </c:pt>
                  <c:pt idx="3">
                    <c:v>Jun</c:v>
                  </c:pt>
                  <c:pt idx="4">
                    <c:v>Jul</c:v>
                  </c:pt>
                  <c:pt idx="5">
                    <c:v>Oct</c:v>
                  </c:pt>
                  <c:pt idx="6">
                    <c:v>Feb</c:v>
                  </c:pt>
                  <c:pt idx="7">
                    <c:v>May</c:v>
                  </c:pt>
                  <c:pt idx="8">
                    <c:v>Jun</c:v>
                  </c:pt>
                  <c:pt idx="9">
                    <c:v>Jul</c:v>
                  </c:pt>
                  <c:pt idx="10">
                    <c:v>Aug</c:v>
                  </c:pt>
                  <c:pt idx="11">
                    <c:v>Sep</c:v>
                  </c:pt>
                  <c:pt idx="12">
                    <c:v>Oct</c:v>
                  </c:pt>
                  <c:pt idx="13">
                    <c:v>Nov</c:v>
                  </c:pt>
                  <c:pt idx="14">
                    <c:v>Dec</c:v>
                  </c:pt>
                  <c:pt idx="15">
                    <c:v>Jan</c:v>
                  </c:pt>
                  <c:pt idx="16">
                    <c:v>Feb</c:v>
                  </c:pt>
                  <c:pt idx="17">
                    <c:v>May</c:v>
                  </c:pt>
                  <c:pt idx="18">
                    <c:v>Jun</c:v>
                  </c:pt>
                  <c:pt idx="19">
                    <c:v>Sep</c:v>
                  </c:pt>
                  <c:pt idx="20">
                    <c:v>Oct</c:v>
                  </c:pt>
                  <c:pt idx="21">
                    <c:v>Nov</c:v>
                  </c:pt>
                  <c:pt idx="22">
                    <c:v>Jan</c:v>
                  </c:pt>
                  <c:pt idx="23">
                    <c:v>Feb</c:v>
                  </c:pt>
                  <c:pt idx="24">
                    <c:v>Mar</c:v>
                  </c:pt>
                  <c:pt idx="25">
                    <c:v>May</c:v>
                  </c:pt>
                  <c:pt idx="26">
                    <c:v>Jul</c:v>
                  </c:pt>
                </c:lvl>
                <c:lvl>
                  <c:pt idx="0">
                    <c:v>2019</c:v>
                  </c:pt>
                  <c:pt idx="6">
                    <c:v>2020</c:v>
                  </c:pt>
                  <c:pt idx="15">
                    <c:v>2021</c:v>
                  </c:pt>
                  <c:pt idx="22">
                    <c:v>2022</c:v>
                  </c:pt>
                </c:lvl>
              </c:multiLvlStrCache>
            </c:multiLvlStrRef>
          </c:cat>
          <c:val>
            <c:numRef>
              <c:f>TotalSales!$C$7:$C$34</c:f>
              <c:numCache>
                <c:formatCode>#,##0</c:formatCode>
                <c:ptCount val="27"/>
                <c:pt idx="0">
                  <c:v>68.655000000000001</c:v>
                </c:pt>
                <c:pt idx="4">
                  <c:v>68.655000000000001</c:v>
                </c:pt>
                <c:pt idx="6">
                  <c:v>274.62</c:v>
                </c:pt>
                <c:pt idx="8">
                  <c:v>91.539999999999992</c:v>
                </c:pt>
                <c:pt idx="11">
                  <c:v>91.539999999999992</c:v>
                </c:pt>
                <c:pt idx="13">
                  <c:v>22.884999999999998</c:v>
                </c:pt>
                <c:pt idx="16">
                  <c:v>114.42499999999998</c:v>
                </c:pt>
                <c:pt idx="18">
                  <c:v>22.884999999999998</c:v>
                </c:pt>
                <c:pt idx="19">
                  <c:v>91.539999999999992</c:v>
                </c:pt>
                <c:pt idx="20">
                  <c:v>114.42499999999998</c:v>
                </c:pt>
                <c:pt idx="26">
                  <c:v>114.42499999999998</c:v>
                </c:pt>
              </c:numCache>
            </c:numRef>
          </c:val>
          <c:smooth val="0"/>
        </c:ser>
        <c:ser>
          <c:idx val="1"/>
          <c:order val="1"/>
          <c:tx>
            <c:strRef>
              <c:f>TotalSales!$D$5:$D$6</c:f>
              <c:strCache>
                <c:ptCount val="1"/>
                <c:pt idx="0">
                  <c:v>Excelsa</c:v>
                </c:pt>
              </c:strCache>
            </c:strRef>
          </c:tx>
          <c:spPr>
            <a:ln w="28575" cap="rnd">
              <a:solidFill>
                <a:srgbClr val="B1510F"/>
              </a:solidFill>
              <a:round/>
            </a:ln>
            <a:effectLst/>
          </c:spPr>
          <c:marker>
            <c:symbol val="none"/>
          </c:marker>
          <c:cat>
            <c:multiLvlStrRef>
              <c:f>TotalSales!$A$7:$B$34</c:f>
              <c:multiLvlStrCache>
                <c:ptCount val="27"/>
                <c:lvl>
                  <c:pt idx="0">
                    <c:v>Jan</c:v>
                  </c:pt>
                  <c:pt idx="1">
                    <c:v>Feb</c:v>
                  </c:pt>
                  <c:pt idx="2">
                    <c:v>Mar</c:v>
                  </c:pt>
                  <c:pt idx="3">
                    <c:v>Jun</c:v>
                  </c:pt>
                  <c:pt idx="4">
                    <c:v>Jul</c:v>
                  </c:pt>
                  <c:pt idx="5">
                    <c:v>Oct</c:v>
                  </c:pt>
                  <c:pt idx="6">
                    <c:v>Feb</c:v>
                  </c:pt>
                  <c:pt idx="7">
                    <c:v>May</c:v>
                  </c:pt>
                  <c:pt idx="8">
                    <c:v>Jun</c:v>
                  </c:pt>
                  <c:pt idx="9">
                    <c:v>Jul</c:v>
                  </c:pt>
                  <c:pt idx="10">
                    <c:v>Aug</c:v>
                  </c:pt>
                  <c:pt idx="11">
                    <c:v>Sep</c:v>
                  </c:pt>
                  <c:pt idx="12">
                    <c:v>Oct</c:v>
                  </c:pt>
                  <c:pt idx="13">
                    <c:v>Nov</c:v>
                  </c:pt>
                  <c:pt idx="14">
                    <c:v>Dec</c:v>
                  </c:pt>
                  <c:pt idx="15">
                    <c:v>Jan</c:v>
                  </c:pt>
                  <c:pt idx="16">
                    <c:v>Feb</c:v>
                  </c:pt>
                  <c:pt idx="17">
                    <c:v>May</c:v>
                  </c:pt>
                  <c:pt idx="18">
                    <c:v>Jun</c:v>
                  </c:pt>
                  <c:pt idx="19">
                    <c:v>Sep</c:v>
                  </c:pt>
                  <c:pt idx="20">
                    <c:v>Oct</c:v>
                  </c:pt>
                  <c:pt idx="21">
                    <c:v>Nov</c:v>
                  </c:pt>
                  <c:pt idx="22">
                    <c:v>Jan</c:v>
                  </c:pt>
                  <c:pt idx="23">
                    <c:v>Feb</c:v>
                  </c:pt>
                  <c:pt idx="24">
                    <c:v>Mar</c:v>
                  </c:pt>
                  <c:pt idx="25">
                    <c:v>May</c:v>
                  </c:pt>
                  <c:pt idx="26">
                    <c:v>Jul</c:v>
                  </c:pt>
                </c:lvl>
                <c:lvl>
                  <c:pt idx="0">
                    <c:v>2019</c:v>
                  </c:pt>
                  <c:pt idx="6">
                    <c:v>2020</c:v>
                  </c:pt>
                  <c:pt idx="15">
                    <c:v>2021</c:v>
                  </c:pt>
                  <c:pt idx="22">
                    <c:v>2022</c:v>
                  </c:pt>
                </c:lvl>
              </c:multiLvlStrCache>
            </c:multiLvlStrRef>
          </c:cat>
          <c:val>
            <c:numRef>
              <c:f>TotalSales!$D$7:$D$34</c:f>
              <c:numCache>
                <c:formatCode>#,##0</c:formatCode>
                <c:ptCount val="27"/>
                <c:pt idx="0">
                  <c:v>111.78</c:v>
                </c:pt>
                <c:pt idx="2">
                  <c:v>167.67000000000002</c:v>
                </c:pt>
                <c:pt idx="5">
                  <c:v>27.945</c:v>
                </c:pt>
                <c:pt idx="6">
                  <c:v>167.67000000000002</c:v>
                </c:pt>
                <c:pt idx="12">
                  <c:v>83.835000000000008</c:v>
                </c:pt>
                <c:pt idx="14">
                  <c:v>139.72499999999999</c:v>
                </c:pt>
                <c:pt idx="20">
                  <c:v>55.89</c:v>
                </c:pt>
                <c:pt idx="21">
                  <c:v>139.72499999999999</c:v>
                </c:pt>
                <c:pt idx="23">
                  <c:v>55.89</c:v>
                </c:pt>
              </c:numCache>
            </c:numRef>
          </c:val>
          <c:smooth val="0"/>
        </c:ser>
        <c:ser>
          <c:idx val="2"/>
          <c:order val="2"/>
          <c:tx>
            <c:strRef>
              <c:f>TotalSales!$E$5:$E$6</c:f>
              <c:strCache>
                <c:ptCount val="1"/>
                <c:pt idx="0">
                  <c:v>Laberica</c:v>
                </c:pt>
              </c:strCache>
            </c:strRef>
          </c:tx>
          <c:spPr>
            <a:ln w="28575" cap="rnd">
              <a:solidFill>
                <a:srgbClr val="FFFF00"/>
              </a:solidFill>
              <a:round/>
            </a:ln>
            <a:effectLst/>
          </c:spPr>
          <c:marker>
            <c:symbol val="none"/>
          </c:marker>
          <c:cat>
            <c:multiLvlStrRef>
              <c:f>TotalSales!$A$7:$B$34</c:f>
              <c:multiLvlStrCache>
                <c:ptCount val="27"/>
                <c:lvl>
                  <c:pt idx="0">
                    <c:v>Jan</c:v>
                  </c:pt>
                  <c:pt idx="1">
                    <c:v>Feb</c:v>
                  </c:pt>
                  <c:pt idx="2">
                    <c:v>Mar</c:v>
                  </c:pt>
                  <c:pt idx="3">
                    <c:v>Jun</c:v>
                  </c:pt>
                  <c:pt idx="4">
                    <c:v>Jul</c:v>
                  </c:pt>
                  <c:pt idx="5">
                    <c:v>Oct</c:v>
                  </c:pt>
                  <c:pt idx="6">
                    <c:v>Feb</c:v>
                  </c:pt>
                  <c:pt idx="7">
                    <c:v>May</c:v>
                  </c:pt>
                  <c:pt idx="8">
                    <c:v>Jun</c:v>
                  </c:pt>
                  <c:pt idx="9">
                    <c:v>Jul</c:v>
                  </c:pt>
                  <c:pt idx="10">
                    <c:v>Aug</c:v>
                  </c:pt>
                  <c:pt idx="11">
                    <c:v>Sep</c:v>
                  </c:pt>
                  <c:pt idx="12">
                    <c:v>Oct</c:v>
                  </c:pt>
                  <c:pt idx="13">
                    <c:v>Nov</c:v>
                  </c:pt>
                  <c:pt idx="14">
                    <c:v>Dec</c:v>
                  </c:pt>
                  <c:pt idx="15">
                    <c:v>Jan</c:v>
                  </c:pt>
                  <c:pt idx="16">
                    <c:v>Feb</c:v>
                  </c:pt>
                  <c:pt idx="17">
                    <c:v>May</c:v>
                  </c:pt>
                  <c:pt idx="18">
                    <c:v>Jun</c:v>
                  </c:pt>
                  <c:pt idx="19">
                    <c:v>Sep</c:v>
                  </c:pt>
                  <c:pt idx="20">
                    <c:v>Oct</c:v>
                  </c:pt>
                  <c:pt idx="21">
                    <c:v>Nov</c:v>
                  </c:pt>
                  <c:pt idx="22">
                    <c:v>Jan</c:v>
                  </c:pt>
                  <c:pt idx="23">
                    <c:v>Feb</c:v>
                  </c:pt>
                  <c:pt idx="24">
                    <c:v>Mar</c:v>
                  </c:pt>
                  <c:pt idx="25">
                    <c:v>May</c:v>
                  </c:pt>
                  <c:pt idx="26">
                    <c:v>Jul</c:v>
                  </c:pt>
                </c:lvl>
                <c:lvl>
                  <c:pt idx="0">
                    <c:v>2019</c:v>
                  </c:pt>
                  <c:pt idx="6">
                    <c:v>2020</c:v>
                  </c:pt>
                  <c:pt idx="15">
                    <c:v>2021</c:v>
                  </c:pt>
                  <c:pt idx="22">
                    <c:v>2022</c:v>
                  </c:pt>
                </c:lvl>
              </c:multiLvlStrCache>
            </c:multiLvlStrRef>
          </c:cat>
          <c:val>
            <c:numRef>
              <c:f>TotalSales!$E$7:$E$34</c:f>
              <c:numCache>
                <c:formatCode>#,##0</c:formatCode>
                <c:ptCount val="27"/>
                <c:pt idx="1">
                  <c:v>119.13999999999999</c:v>
                </c:pt>
                <c:pt idx="3">
                  <c:v>89.35499999999999</c:v>
                </c:pt>
                <c:pt idx="6">
                  <c:v>89.35499999999999</c:v>
                </c:pt>
                <c:pt idx="8">
                  <c:v>119.13999999999999</c:v>
                </c:pt>
                <c:pt idx="12">
                  <c:v>29.784999999999997</c:v>
                </c:pt>
                <c:pt idx="13">
                  <c:v>119.13999999999999</c:v>
                </c:pt>
                <c:pt idx="15">
                  <c:v>29.784999999999997</c:v>
                </c:pt>
                <c:pt idx="17">
                  <c:v>148.92499999999998</c:v>
                </c:pt>
                <c:pt idx="18">
                  <c:v>148.92499999999998</c:v>
                </c:pt>
                <c:pt idx="22">
                  <c:v>178.70999999999998</c:v>
                </c:pt>
                <c:pt idx="26">
                  <c:v>178.70999999999998</c:v>
                </c:pt>
              </c:numCache>
            </c:numRef>
          </c:val>
          <c:smooth val="0"/>
        </c:ser>
        <c:ser>
          <c:idx val="3"/>
          <c:order val="3"/>
          <c:tx>
            <c:strRef>
              <c:f>TotalSales!$F$5:$F$6</c:f>
              <c:strCache>
                <c:ptCount val="1"/>
                <c:pt idx="0">
                  <c:v>Robusta</c:v>
                </c:pt>
              </c:strCache>
            </c:strRef>
          </c:tx>
          <c:spPr>
            <a:ln w="28575" cap="rnd">
              <a:solidFill>
                <a:srgbClr val="FF0000"/>
              </a:solidFill>
              <a:round/>
            </a:ln>
            <a:effectLst/>
          </c:spPr>
          <c:marker>
            <c:symbol val="none"/>
          </c:marker>
          <c:cat>
            <c:multiLvlStrRef>
              <c:f>TotalSales!$A$7:$B$34</c:f>
              <c:multiLvlStrCache>
                <c:ptCount val="27"/>
                <c:lvl>
                  <c:pt idx="0">
                    <c:v>Jan</c:v>
                  </c:pt>
                  <c:pt idx="1">
                    <c:v>Feb</c:v>
                  </c:pt>
                  <c:pt idx="2">
                    <c:v>Mar</c:v>
                  </c:pt>
                  <c:pt idx="3">
                    <c:v>Jun</c:v>
                  </c:pt>
                  <c:pt idx="4">
                    <c:v>Jul</c:v>
                  </c:pt>
                  <c:pt idx="5">
                    <c:v>Oct</c:v>
                  </c:pt>
                  <c:pt idx="6">
                    <c:v>Feb</c:v>
                  </c:pt>
                  <c:pt idx="7">
                    <c:v>May</c:v>
                  </c:pt>
                  <c:pt idx="8">
                    <c:v>Jun</c:v>
                  </c:pt>
                  <c:pt idx="9">
                    <c:v>Jul</c:v>
                  </c:pt>
                  <c:pt idx="10">
                    <c:v>Aug</c:v>
                  </c:pt>
                  <c:pt idx="11">
                    <c:v>Sep</c:v>
                  </c:pt>
                  <c:pt idx="12">
                    <c:v>Oct</c:v>
                  </c:pt>
                  <c:pt idx="13">
                    <c:v>Nov</c:v>
                  </c:pt>
                  <c:pt idx="14">
                    <c:v>Dec</c:v>
                  </c:pt>
                  <c:pt idx="15">
                    <c:v>Jan</c:v>
                  </c:pt>
                  <c:pt idx="16">
                    <c:v>Feb</c:v>
                  </c:pt>
                  <c:pt idx="17">
                    <c:v>May</c:v>
                  </c:pt>
                  <c:pt idx="18">
                    <c:v>Jun</c:v>
                  </c:pt>
                  <c:pt idx="19">
                    <c:v>Sep</c:v>
                  </c:pt>
                  <c:pt idx="20">
                    <c:v>Oct</c:v>
                  </c:pt>
                  <c:pt idx="21">
                    <c:v>Nov</c:v>
                  </c:pt>
                  <c:pt idx="22">
                    <c:v>Jan</c:v>
                  </c:pt>
                  <c:pt idx="23">
                    <c:v>Feb</c:v>
                  </c:pt>
                  <c:pt idx="24">
                    <c:v>Mar</c:v>
                  </c:pt>
                  <c:pt idx="25">
                    <c:v>May</c:v>
                  </c:pt>
                  <c:pt idx="26">
                    <c:v>Jul</c:v>
                  </c:pt>
                </c:lvl>
                <c:lvl>
                  <c:pt idx="0">
                    <c:v>2019</c:v>
                  </c:pt>
                  <c:pt idx="6">
                    <c:v>2020</c:v>
                  </c:pt>
                  <c:pt idx="15">
                    <c:v>2021</c:v>
                  </c:pt>
                  <c:pt idx="22">
                    <c:v>2022</c:v>
                  </c:pt>
                </c:lvl>
              </c:multiLvlStrCache>
            </c:multiLvlStrRef>
          </c:cat>
          <c:val>
            <c:numRef>
              <c:f>TotalSales!$F$7:$F$34</c:f>
              <c:numCache>
                <c:formatCode>#,##0</c:formatCode>
                <c:ptCount val="27"/>
                <c:pt idx="4">
                  <c:v>123.50999999999999</c:v>
                </c:pt>
                <c:pt idx="7">
                  <c:v>41.169999999999995</c:v>
                </c:pt>
                <c:pt idx="9">
                  <c:v>123.50999999999999</c:v>
                </c:pt>
                <c:pt idx="10">
                  <c:v>41.169999999999995</c:v>
                </c:pt>
                <c:pt idx="18">
                  <c:v>61.754999999999995</c:v>
                </c:pt>
                <c:pt idx="24">
                  <c:v>20.584999999999997</c:v>
                </c:pt>
                <c:pt idx="25">
                  <c:v>164.67999999999998</c:v>
                </c:pt>
              </c:numCache>
            </c:numRef>
          </c:val>
          <c:smooth val="0"/>
        </c:ser>
        <c:dLbls>
          <c:showLegendKey val="0"/>
          <c:showVal val="0"/>
          <c:showCatName val="0"/>
          <c:showSerName val="0"/>
          <c:showPercent val="0"/>
          <c:showBubbleSize val="0"/>
        </c:dLbls>
        <c:smooth val="0"/>
        <c:axId val="338639872"/>
        <c:axId val="338646400"/>
      </c:lineChart>
      <c:catAx>
        <c:axId val="338639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646400"/>
        <c:crosses val="autoZero"/>
        <c:auto val="1"/>
        <c:lblAlgn val="ctr"/>
        <c:lblOffset val="100"/>
        <c:noMultiLvlLbl val="0"/>
      </c:catAx>
      <c:valAx>
        <c:axId val="3386464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USD</a:t>
                </a:r>
              </a:p>
              <a:p>
                <a:pPr>
                  <a:defRPr/>
                </a:pPr>
                <a:endParaRPr lang="en-US"/>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63987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EFC7E7"/>
    </a:solidFill>
    <a:ln w="9525" cap="flat" cmpd="sng" algn="ctr">
      <a:solidFill>
        <a:srgbClr val="FFFF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Project on coffeeOrdersData.xlsx]TotalSales!TotalSales</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Over Time</a:t>
            </a:r>
          </a:p>
          <a:p>
            <a:pPr>
              <a:defRPr/>
            </a:pP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rgbClr val="AABFE4"/>
            </a:solidFill>
            <a:round/>
          </a:ln>
          <a:effectLst/>
        </c:spPr>
        <c:marker>
          <c:symbol val="none"/>
        </c:marker>
      </c:pivotFmt>
      <c:pivotFmt>
        <c:idx val="5"/>
        <c:spPr>
          <a:solidFill>
            <a:schemeClr val="accent1"/>
          </a:solidFill>
          <a:ln w="28575" cap="rnd">
            <a:solidFill>
              <a:srgbClr val="B1510F"/>
            </a:solidFill>
            <a:round/>
          </a:ln>
          <a:effectLst/>
        </c:spPr>
        <c:marker>
          <c:symbol val="none"/>
        </c:marker>
      </c:pivotFmt>
      <c:pivotFmt>
        <c:idx val="6"/>
        <c:spPr>
          <a:solidFill>
            <a:schemeClr val="accent1"/>
          </a:solidFill>
          <a:ln w="28575" cap="rnd">
            <a:solidFill>
              <a:srgbClr val="FFFF00"/>
            </a:solidFill>
            <a:round/>
          </a:ln>
          <a:effectLst/>
        </c:spPr>
        <c:marker>
          <c:symbol val="none"/>
        </c:marker>
      </c:pivotFmt>
      <c:pivotFmt>
        <c:idx val="7"/>
        <c:spPr>
          <a:solidFill>
            <a:schemeClr val="accent1"/>
          </a:solidFill>
          <a:ln w="28575" cap="rnd">
            <a:solidFill>
              <a:srgbClr val="FF0000"/>
            </a:solidFill>
            <a:round/>
          </a:ln>
          <a:effectLst/>
        </c:spPr>
        <c:marker>
          <c:symbol val="none"/>
        </c:marker>
      </c:pivotFmt>
      <c:pivotFmt>
        <c:idx val="8"/>
        <c:spPr>
          <a:solidFill>
            <a:schemeClr val="accent1"/>
          </a:solidFill>
          <a:ln w="28575" cap="rnd">
            <a:solidFill>
              <a:schemeClr val="accent1"/>
            </a:solidFill>
            <a:round/>
          </a:ln>
          <a:effectLst/>
        </c:spPr>
        <c:marker>
          <c:symbol val="none"/>
        </c:marker>
      </c:pivotFmt>
      <c:pivotFmt>
        <c:idx val="9"/>
        <c:spPr>
          <a:solidFill>
            <a:schemeClr val="accent1"/>
          </a:solidFill>
          <a:ln w="28575" cap="rnd">
            <a:solidFill>
              <a:srgbClr val="AABFE4"/>
            </a:solidFill>
            <a:round/>
          </a:ln>
          <a:effectLst/>
        </c:spPr>
        <c:marker>
          <c:symbol val="none"/>
        </c:marker>
      </c:pivotFmt>
      <c:pivotFmt>
        <c:idx val="10"/>
        <c:spPr>
          <a:solidFill>
            <a:schemeClr val="accent1"/>
          </a:solidFill>
          <a:ln w="28575" cap="rnd">
            <a:solidFill>
              <a:srgbClr val="B1510F"/>
            </a:solidFill>
            <a:round/>
          </a:ln>
          <a:effectLst/>
        </c:spPr>
        <c:marker>
          <c:symbol val="none"/>
        </c:marker>
      </c:pivotFmt>
      <c:pivotFmt>
        <c:idx val="11"/>
        <c:spPr>
          <a:solidFill>
            <a:schemeClr val="accent1"/>
          </a:solidFill>
          <a:ln w="28575" cap="rnd">
            <a:solidFill>
              <a:srgbClr val="FFFF00"/>
            </a:solidFill>
            <a:round/>
          </a:ln>
          <a:effectLst/>
        </c:spPr>
        <c:marker>
          <c:symbol val="none"/>
        </c:marker>
      </c:pivotFmt>
      <c:pivotFmt>
        <c:idx val="12"/>
        <c:spPr>
          <a:solidFill>
            <a:schemeClr val="accent1"/>
          </a:solidFill>
          <a:ln w="28575" cap="rnd">
            <a:solidFill>
              <a:srgbClr val="FF0000"/>
            </a:solidFill>
            <a:round/>
          </a:ln>
          <a:effectLst/>
        </c:spPr>
        <c:marker>
          <c:symbol val="none"/>
        </c:marker>
      </c:pivotFmt>
      <c:pivotFmt>
        <c:idx val="13"/>
        <c:spPr>
          <a:ln w="28575" cap="rnd">
            <a:solidFill>
              <a:srgbClr val="AABFE4"/>
            </a:solidFill>
            <a:round/>
          </a:ln>
          <a:effectLst/>
        </c:spPr>
        <c:marker>
          <c:symbol val="none"/>
        </c:marker>
      </c:pivotFmt>
      <c:pivotFmt>
        <c:idx val="14"/>
        <c:spPr>
          <a:ln w="28575" cap="rnd">
            <a:solidFill>
              <a:srgbClr val="B1510F"/>
            </a:solidFill>
            <a:round/>
          </a:ln>
          <a:effectLst/>
        </c:spPr>
        <c:marker>
          <c:symbol val="none"/>
        </c:marker>
      </c:pivotFmt>
      <c:pivotFmt>
        <c:idx val="15"/>
        <c:spPr>
          <a:ln w="28575" cap="rnd">
            <a:solidFill>
              <a:srgbClr val="FFFF00"/>
            </a:solidFill>
            <a:round/>
          </a:ln>
          <a:effectLst/>
        </c:spPr>
        <c:marker>
          <c:symbol val="none"/>
        </c:marker>
      </c:pivotFmt>
      <c:pivotFmt>
        <c:idx val="16"/>
        <c:spPr>
          <a:ln w="28575" cap="rnd">
            <a:solidFill>
              <a:srgbClr val="FF0000"/>
            </a:solidFill>
            <a:round/>
          </a:ln>
          <a:effectLst/>
        </c:spPr>
        <c:marker>
          <c:symbol val="none"/>
        </c:marker>
      </c:pivotFmt>
    </c:pivotFmts>
    <c:plotArea>
      <c:layout/>
      <c:lineChart>
        <c:grouping val="standard"/>
        <c:varyColors val="0"/>
        <c:ser>
          <c:idx val="0"/>
          <c:order val="0"/>
          <c:tx>
            <c:strRef>
              <c:f>TotalSales!$C$5:$C$6</c:f>
              <c:strCache>
                <c:ptCount val="1"/>
                <c:pt idx="0">
                  <c:v>Arabica</c:v>
                </c:pt>
              </c:strCache>
            </c:strRef>
          </c:tx>
          <c:spPr>
            <a:ln w="28575" cap="rnd">
              <a:solidFill>
                <a:srgbClr val="AABFE4"/>
              </a:solidFill>
              <a:round/>
            </a:ln>
            <a:effectLst/>
          </c:spPr>
          <c:marker>
            <c:symbol val="none"/>
          </c:marker>
          <c:cat>
            <c:multiLvlStrRef>
              <c:f>TotalSales!$A$7:$B$34</c:f>
              <c:multiLvlStrCache>
                <c:ptCount val="27"/>
                <c:lvl>
                  <c:pt idx="0">
                    <c:v>Jan</c:v>
                  </c:pt>
                  <c:pt idx="1">
                    <c:v>Feb</c:v>
                  </c:pt>
                  <c:pt idx="2">
                    <c:v>Mar</c:v>
                  </c:pt>
                  <c:pt idx="3">
                    <c:v>Jun</c:v>
                  </c:pt>
                  <c:pt idx="4">
                    <c:v>Jul</c:v>
                  </c:pt>
                  <c:pt idx="5">
                    <c:v>Oct</c:v>
                  </c:pt>
                  <c:pt idx="6">
                    <c:v>Feb</c:v>
                  </c:pt>
                  <c:pt idx="7">
                    <c:v>May</c:v>
                  </c:pt>
                  <c:pt idx="8">
                    <c:v>Jun</c:v>
                  </c:pt>
                  <c:pt idx="9">
                    <c:v>Jul</c:v>
                  </c:pt>
                  <c:pt idx="10">
                    <c:v>Aug</c:v>
                  </c:pt>
                  <c:pt idx="11">
                    <c:v>Sep</c:v>
                  </c:pt>
                  <c:pt idx="12">
                    <c:v>Oct</c:v>
                  </c:pt>
                  <c:pt idx="13">
                    <c:v>Nov</c:v>
                  </c:pt>
                  <c:pt idx="14">
                    <c:v>Dec</c:v>
                  </c:pt>
                  <c:pt idx="15">
                    <c:v>Jan</c:v>
                  </c:pt>
                  <c:pt idx="16">
                    <c:v>Feb</c:v>
                  </c:pt>
                  <c:pt idx="17">
                    <c:v>May</c:v>
                  </c:pt>
                  <c:pt idx="18">
                    <c:v>Jun</c:v>
                  </c:pt>
                  <c:pt idx="19">
                    <c:v>Sep</c:v>
                  </c:pt>
                  <c:pt idx="20">
                    <c:v>Oct</c:v>
                  </c:pt>
                  <c:pt idx="21">
                    <c:v>Nov</c:v>
                  </c:pt>
                  <c:pt idx="22">
                    <c:v>Jan</c:v>
                  </c:pt>
                  <c:pt idx="23">
                    <c:v>Feb</c:v>
                  </c:pt>
                  <c:pt idx="24">
                    <c:v>Mar</c:v>
                  </c:pt>
                  <c:pt idx="25">
                    <c:v>May</c:v>
                  </c:pt>
                  <c:pt idx="26">
                    <c:v>Jul</c:v>
                  </c:pt>
                </c:lvl>
                <c:lvl>
                  <c:pt idx="0">
                    <c:v>2019</c:v>
                  </c:pt>
                  <c:pt idx="6">
                    <c:v>2020</c:v>
                  </c:pt>
                  <c:pt idx="15">
                    <c:v>2021</c:v>
                  </c:pt>
                  <c:pt idx="22">
                    <c:v>2022</c:v>
                  </c:pt>
                </c:lvl>
              </c:multiLvlStrCache>
            </c:multiLvlStrRef>
          </c:cat>
          <c:val>
            <c:numRef>
              <c:f>TotalSales!$C$7:$C$34</c:f>
              <c:numCache>
                <c:formatCode>#,##0</c:formatCode>
                <c:ptCount val="27"/>
                <c:pt idx="0">
                  <c:v>68.655000000000001</c:v>
                </c:pt>
                <c:pt idx="4">
                  <c:v>68.655000000000001</c:v>
                </c:pt>
                <c:pt idx="6">
                  <c:v>274.62</c:v>
                </c:pt>
                <c:pt idx="8">
                  <c:v>91.539999999999992</c:v>
                </c:pt>
                <c:pt idx="11">
                  <c:v>91.539999999999992</c:v>
                </c:pt>
                <c:pt idx="13">
                  <c:v>22.884999999999998</c:v>
                </c:pt>
                <c:pt idx="16">
                  <c:v>114.42499999999998</c:v>
                </c:pt>
                <c:pt idx="18">
                  <c:v>22.884999999999998</c:v>
                </c:pt>
                <c:pt idx="19">
                  <c:v>91.539999999999992</c:v>
                </c:pt>
                <c:pt idx="20">
                  <c:v>114.42499999999998</c:v>
                </c:pt>
                <c:pt idx="26">
                  <c:v>114.42499999999998</c:v>
                </c:pt>
              </c:numCache>
            </c:numRef>
          </c:val>
          <c:smooth val="0"/>
        </c:ser>
        <c:ser>
          <c:idx val="1"/>
          <c:order val="1"/>
          <c:tx>
            <c:strRef>
              <c:f>TotalSales!$D$5:$D$6</c:f>
              <c:strCache>
                <c:ptCount val="1"/>
                <c:pt idx="0">
                  <c:v>Excelsa</c:v>
                </c:pt>
              </c:strCache>
            </c:strRef>
          </c:tx>
          <c:spPr>
            <a:ln w="28575" cap="rnd">
              <a:solidFill>
                <a:srgbClr val="B1510F"/>
              </a:solidFill>
              <a:round/>
            </a:ln>
            <a:effectLst/>
          </c:spPr>
          <c:marker>
            <c:symbol val="none"/>
          </c:marker>
          <c:cat>
            <c:multiLvlStrRef>
              <c:f>TotalSales!$A$7:$B$34</c:f>
              <c:multiLvlStrCache>
                <c:ptCount val="27"/>
                <c:lvl>
                  <c:pt idx="0">
                    <c:v>Jan</c:v>
                  </c:pt>
                  <c:pt idx="1">
                    <c:v>Feb</c:v>
                  </c:pt>
                  <c:pt idx="2">
                    <c:v>Mar</c:v>
                  </c:pt>
                  <c:pt idx="3">
                    <c:v>Jun</c:v>
                  </c:pt>
                  <c:pt idx="4">
                    <c:v>Jul</c:v>
                  </c:pt>
                  <c:pt idx="5">
                    <c:v>Oct</c:v>
                  </c:pt>
                  <c:pt idx="6">
                    <c:v>Feb</c:v>
                  </c:pt>
                  <c:pt idx="7">
                    <c:v>May</c:v>
                  </c:pt>
                  <c:pt idx="8">
                    <c:v>Jun</c:v>
                  </c:pt>
                  <c:pt idx="9">
                    <c:v>Jul</c:v>
                  </c:pt>
                  <c:pt idx="10">
                    <c:v>Aug</c:v>
                  </c:pt>
                  <c:pt idx="11">
                    <c:v>Sep</c:v>
                  </c:pt>
                  <c:pt idx="12">
                    <c:v>Oct</c:v>
                  </c:pt>
                  <c:pt idx="13">
                    <c:v>Nov</c:v>
                  </c:pt>
                  <c:pt idx="14">
                    <c:v>Dec</c:v>
                  </c:pt>
                  <c:pt idx="15">
                    <c:v>Jan</c:v>
                  </c:pt>
                  <c:pt idx="16">
                    <c:v>Feb</c:v>
                  </c:pt>
                  <c:pt idx="17">
                    <c:v>May</c:v>
                  </c:pt>
                  <c:pt idx="18">
                    <c:v>Jun</c:v>
                  </c:pt>
                  <c:pt idx="19">
                    <c:v>Sep</c:v>
                  </c:pt>
                  <c:pt idx="20">
                    <c:v>Oct</c:v>
                  </c:pt>
                  <c:pt idx="21">
                    <c:v>Nov</c:v>
                  </c:pt>
                  <c:pt idx="22">
                    <c:v>Jan</c:v>
                  </c:pt>
                  <c:pt idx="23">
                    <c:v>Feb</c:v>
                  </c:pt>
                  <c:pt idx="24">
                    <c:v>Mar</c:v>
                  </c:pt>
                  <c:pt idx="25">
                    <c:v>May</c:v>
                  </c:pt>
                  <c:pt idx="26">
                    <c:v>Jul</c:v>
                  </c:pt>
                </c:lvl>
                <c:lvl>
                  <c:pt idx="0">
                    <c:v>2019</c:v>
                  </c:pt>
                  <c:pt idx="6">
                    <c:v>2020</c:v>
                  </c:pt>
                  <c:pt idx="15">
                    <c:v>2021</c:v>
                  </c:pt>
                  <c:pt idx="22">
                    <c:v>2022</c:v>
                  </c:pt>
                </c:lvl>
              </c:multiLvlStrCache>
            </c:multiLvlStrRef>
          </c:cat>
          <c:val>
            <c:numRef>
              <c:f>TotalSales!$D$7:$D$34</c:f>
              <c:numCache>
                <c:formatCode>#,##0</c:formatCode>
                <c:ptCount val="27"/>
                <c:pt idx="0">
                  <c:v>111.78</c:v>
                </c:pt>
                <c:pt idx="2">
                  <c:v>167.67000000000002</c:v>
                </c:pt>
                <c:pt idx="5">
                  <c:v>27.945</c:v>
                </c:pt>
                <c:pt idx="6">
                  <c:v>167.67000000000002</c:v>
                </c:pt>
                <c:pt idx="12">
                  <c:v>83.835000000000008</c:v>
                </c:pt>
                <c:pt idx="14">
                  <c:v>139.72499999999999</c:v>
                </c:pt>
                <c:pt idx="20">
                  <c:v>55.89</c:v>
                </c:pt>
                <c:pt idx="21">
                  <c:v>139.72499999999999</c:v>
                </c:pt>
                <c:pt idx="23">
                  <c:v>55.89</c:v>
                </c:pt>
              </c:numCache>
            </c:numRef>
          </c:val>
          <c:smooth val="0"/>
        </c:ser>
        <c:ser>
          <c:idx val="2"/>
          <c:order val="2"/>
          <c:tx>
            <c:strRef>
              <c:f>TotalSales!$E$5:$E$6</c:f>
              <c:strCache>
                <c:ptCount val="1"/>
                <c:pt idx="0">
                  <c:v>Laberica</c:v>
                </c:pt>
              </c:strCache>
            </c:strRef>
          </c:tx>
          <c:spPr>
            <a:ln w="28575" cap="rnd">
              <a:solidFill>
                <a:srgbClr val="FFFF00"/>
              </a:solidFill>
              <a:round/>
            </a:ln>
            <a:effectLst/>
          </c:spPr>
          <c:marker>
            <c:symbol val="none"/>
          </c:marker>
          <c:cat>
            <c:multiLvlStrRef>
              <c:f>TotalSales!$A$7:$B$34</c:f>
              <c:multiLvlStrCache>
                <c:ptCount val="27"/>
                <c:lvl>
                  <c:pt idx="0">
                    <c:v>Jan</c:v>
                  </c:pt>
                  <c:pt idx="1">
                    <c:v>Feb</c:v>
                  </c:pt>
                  <c:pt idx="2">
                    <c:v>Mar</c:v>
                  </c:pt>
                  <c:pt idx="3">
                    <c:v>Jun</c:v>
                  </c:pt>
                  <c:pt idx="4">
                    <c:v>Jul</c:v>
                  </c:pt>
                  <c:pt idx="5">
                    <c:v>Oct</c:v>
                  </c:pt>
                  <c:pt idx="6">
                    <c:v>Feb</c:v>
                  </c:pt>
                  <c:pt idx="7">
                    <c:v>May</c:v>
                  </c:pt>
                  <c:pt idx="8">
                    <c:v>Jun</c:v>
                  </c:pt>
                  <c:pt idx="9">
                    <c:v>Jul</c:v>
                  </c:pt>
                  <c:pt idx="10">
                    <c:v>Aug</c:v>
                  </c:pt>
                  <c:pt idx="11">
                    <c:v>Sep</c:v>
                  </c:pt>
                  <c:pt idx="12">
                    <c:v>Oct</c:v>
                  </c:pt>
                  <c:pt idx="13">
                    <c:v>Nov</c:v>
                  </c:pt>
                  <c:pt idx="14">
                    <c:v>Dec</c:v>
                  </c:pt>
                  <c:pt idx="15">
                    <c:v>Jan</c:v>
                  </c:pt>
                  <c:pt idx="16">
                    <c:v>Feb</c:v>
                  </c:pt>
                  <c:pt idx="17">
                    <c:v>May</c:v>
                  </c:pt>
                  <c:pt idx="18">
                    <c:v>Jun</c:v>
                  </c:pt>
                  <c:pt idx="19">
                    <c:v>Sep</c:v>
                  </c:pt>
                  <c:pt idx="20">
                    <c:v>Oct</c:v>
                  </c:pt>
                  <c:pt idx="21">
                    <c:v>Nov</c:v>
                  </c:pt>
                  <c:pt idx="22">
                    <c:v>Jan</c:v>
                  </c:pt>
                  <c:pt idx="23">
                    <c:v>Feb</c:v>
                  </c:pt>
                  <c:pt idx="24">
                    <c:v>Mar</c:v>
                  </c:pt>
                  <c:pt idx="25">
                    <c:v>May</c:v>
                  </c:pt>
                  <c:pt idx="26">
                    <c:v>Jul</c:v>
                  </c:pt>
                </c:lvl>
                <c:lvl>
                  <c:pt idx="0">
                    <c:v>2019</c:v>
                  </c:pt>
                  <c:pt idx="6">
                    <c:v>2020</c:v>
                  </c:pt>
                  <c:pt idx="15">
                    <c:v>2021</c:v>
                  </c:pt>
                  <c:pt idx="22">
                    <c:v>2022</c:v>
                  </c:pt>
                </c:lvl>
              </c:multiLvlStrCache>
            </c:multiLvlStrRef>
          </c:cat>
          <c:val>
            <c:numRef>
              <c:f>TotalSales!$E$7:$E$34</c:f>
              <c:numCache>
                <c:formatCode>#,##0</c:formatCode>
                <c:ptCount val="27"/>
                <c:pt idx="1">
                  <c:v>119.13999999999999</c:v>
                </c:pt>
                <c:pt idx="3">
                  <c:v>89.35499999999999</c:v>
                </c:pt>
                <c:pt idx="6">
                  <c:v>89.35499999999999</c:v>
                </c:pt>
                <c:pt idx="8">
                  <c:v>119.13999999999999</c:v>
                </c:pt>
                <c:pt idx="12">
                  <c:v>29.784999999999997</c:v>
                </c:pt>
                <c:pt idx="13">
                  <c:v>119.13999999999999</c:v>
                </c:pt>
                <c:pt idx="15">
                  <c:v>29.784999999999997</c:v>
                </c:pt>
                <c:pt idx="17">
                  <c:v>148.92499999999998</c:v>
                </c:pt>
                <c:pt idx="18">
                  <c:v>148.92499999999998</c:v>
                </c:pt>
                <c:pt idx="22">
                  <c:v>178.70999999999998</c:v>
                </c:pt>
                <c:pt idx="26">
                  <c:v>178.70999999999998</c:v>
                </c:pt>
              </c:numCache>
            </c:numRef>
          </c:val>
          <c:smooth val="0"/>
        </c:ser>
        <c:ser>
          <c:idx val="3"/>
          <c:order val="3"/>
          <c:tx>
            <c:strRef>
              <c:f>TotalSales!$F$5:$F$6</c:f>
              <c:strCache>
                <c:ptCount val="1"/>
                <c:pt idx="0">
                  <c:v>Robusta</c:v>
                </c:pt>
              </c:strCache>
            </c:strRef>
          </c:tx>
          <c:spPr>
            <a:ln w="28575" cap="rnd">
              <a:solidFill>
                <a:srgbClr val="FF0000"/>
              </a:solidFill>
              <a:round/>
            </a:ln>
            <a:effectLst/>
          </c:spPr>
          <c:marker>
            <c:symbol val="none"/>
          </c:marker>
          <c:cat>
            <c:multiLvlStrRef>
              <c:f>TotalSales!$A$7:$B$34</c:f>
              <c:multiLvlStrCache>
                <c:ptCount val="27"/>
                <c:lvl>
                  <c:pt idx="0">
                    <c:v>Jan</c:v>
                  </c:pt>
                  <c:pt idx="1">
                    <c:v>Feb</c:v>
                  </c:pt>
                  <c:pt idx="2">
                    <c:v>Mar</c:v>
                  </c:pt>
                  <c:pt idx="3">
                    <c:v>Jun</c:v>
                  </c:pt>
                  <c:pt idx="4">
                    <c:v>Jul</c:v>
                  </c:pt>
                  <c:pt idx="5">
                    <c:v>Oct</c:v>
                  </c:pt>
                  <c:pt idx="6">
                    <c:v>Feb</c:v>
                  </c:pt>
                  <c:pt idx="7">
                    <c:v>May</c:v>
                  </c:pt>
                  <c:pt idx="8">
                    <c:v>Jun</c:v>
                  </c:pt>
                  <c:pt idx="9">
                    <c:v>Jul</c:v>
                  </c:pt>
                  <c:pt idx="10">
                    <c:v>Aug</c:v>
                  </c:pt>
                  <c:pt idx="11">
                    <c:v>Sep</c:v>
                  </c:pt>
                  <c:pt idx="12">
                    <c:v>Oct</c:v>
                  </c:pt>
                  <c:pt idx="13">
                    <c:v>Nov</c:v>
                  </c:pt>
                  <c:pt idx="14">
                    <c:v>Dec</c:v>
                  </c:pt>
                  <c:pt idx="15">
                    <c:v>Jan</c:v>
                  </c:pt>
                  <c:pt idx="16">
                    <c:v>Feb</c:v>
                  </c:pt>
                  <c:pt idx="17">
                    <c:v>May</c:v>
                  </c:pt>
                  <c:pt idx="18">
                    <c:v>Jun</c:v>
                  </c:pt>
                  <c:pt idx="19">
                    <c:v>Sep</c:v>
                  </c:pt>
                  <c:pt idx="20">
                    <c:v>Oct</c:v>
                  </c:pt>
                  <c:pt idx="21">
                    <c:v>Nov</c:v>
                  </c:pt>
                  <c:pt idx="22">
                    <c:v>Jan</c:v>
                  </c:pt>
                  <c:pt idx="23">
                    <c:v>Feb</c:v>
                  </c:pt>
                  <c:pt idx="24">
                    <c:v>Mar</c:v>
                  </c:pt>
                  <c:pt idx="25">
                    <c:v>May</c:v>
                  </c:pt>
                  <c:pt idx="26">
                    <c:v>Jul</c:v>
                  </c:pt>
                </c:lvl>
                <c:lvl>
                  <c:pt idx="0">
                    <c:v>2019</c:v>
                  </c:pt>
                  <c:pt idx="6">
                    <c:v>2020</c:v>
                  </c:pt>
                  <c:pt idx="15">
                    <c:v>2021</c:v>
                  </c:pt>
                  <c:pt idx="22">
                    <c:v>2022</c:v>
                  </c:pt>
                </c:lvl>
              </c:multiLvlStrCache>
            </c:multiLvlStrRef>
          </c:cat>
          <c:val>
            <c:numRef>
              <c:f>TotalSales!$F$7:$F$34</c:f>
              <c:numCache>
                <c:formatCode>#,##0</c:formatCode>
                <c:ptCount val="27"/>
                <c:pt idx="4">
                  <c:v>123.50999999999999</c:v>
                </c:pt>
                <c:pt idx="7">
                  <c:v>41.169999999999995</c:v>
                </c:pt>
                <c:pt idx="9">
                  <c:v>123.50999999999999</c:v>
                </c:pt>
                <c:pt idx="10">
                  <c:v>41.169999999999995</c:v>
                </c:pt>
                <c:pt idx="18">
                  <c:v>61.754999999999995</c:v>
                </c:pt>
                <c:pt idx="24">
                  <c:v>20.584999999999997</c:v>
                </c:pt>
                <c:pt idx="25">
                  <c:v>164.67999999999998</c:v>
                </c:pt>
              </c:numCache>
            </c:numRef>
          </c:val>
          <c:smooth val="0"/>
        </c:ser>
        <c:dLbls>
          <c:showLegendKey val="0"/>
          <c:showVal val="0"/>
          <c:showCatName val="0"/>
          <c:showSerName val="0"/>
          <c:showPercent val="0"/>
          <c:showBubbleSize val="0"/>
        </c:dLbls>
        <c:smooth val="0"/>
        <c:axId val="405673424"/>
        <c:axId val="405690832"/>
      </c:lineChart>
      <c:catAx>
        <c:axId val="405673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690832"/>
        <c:crosses val="autoZero"/>
        <c:auto val="1"/>
        <c:lblAlgn val="ctr"/>
        <c:lblOffset val="100"/>
        <c:noMultiLvlLbl val="0"/>
      </c:catAx>
      <c:valAx>
        <c:axId val="4056908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USD</a:t>
                </a:r>
              </a:p>
              <a:p>
                <a:pPr>
                  <a:defRPr/>
                </a:pPr>
                <a:endParaRPr lang="en-US"/>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67342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EFC7E7"/>
    </a:solidFill>
    <a:ln w="9525" cap="flat" cmpd="sng" algn="ctr">
      <a:solidFill>
        <a:srgbClr val="FFFF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Project on coffeeOrdersData.xlsx] CountryBarChart!TotalSales</c:name>
    <c:fmtId val="8"/>
  </c:pivotSource>
  <c:chart>
    <c:title>
      <c:tx>
        <c:rich>
          <a:bodyPr rot="0" spcFirstLastPara="1" vertOverflow="ellipsis" vert="horz" wrap="square" anchor="ctr" anchorCtr="1"/>
          <a:lstStyle/>
          <a:p>
            <a:pPr>
              <a:defRPr sz="1260" b="0" i="0" u="none" strike="noStrike" kern="1200" spc="0" baseline="0">
                <a:solidFill>
                  <a:srgbClr val="7030A0"/>
                </a:solidFill>
                <a:latin typeface="+mn-lt"/>
                <a:ea typeface="+mn-ea"/>
                <a:cs typeface="+mn-cs"/>
              </a:defRPr>
            </a:pPr>
            <a:r>
              <a:rPr lang="en-US"/>
              <a:t>Sales By Country</a:t>
            </a:r>
          </a:p>
        </c:rich>
      </c:tx>
      <c:layout/>
      <c:overlay val="0"/>
      <c:spPr>
        <a:noFill/>
        <a:ln>
          <a:noFill/>
        </a:ln>
        <a:effectLst/>
      </c:spPr>
      <c:txPr>
        <a:bodyPr rot="0" spcFirstLastPara="1" vertOverflow="ellipsis" vert="horz" wrap="square" anchor="ctr" anchorCtr="1"/>
        <a:lstStyle/>
        <a:p>
          <a:pPr>
            <a:defRPr sz="1260" b="0" i="0" u="none" strike="noStrike" kern="1200" spc="0" baseline="0">
              <a:solidFill>
                <a:srgbClr val="7030A0"/>
              </a:solidFill>
              <a:latin typeface="+mn-lt"/>
              <a:ea typeface="+mn-ea"/>
              <a:cs typeface="+mn-cs"/>
            </a:defRPr>
          </a:pPr>
          <a:endParaRPr lang="en-US"/>
        </a:p>
      </c:txPr>
    </c:title>
    <c:autoTitleDeleted val="0"/>
    <c:pivotFmts>
      <c:pivotFmt>
        <c:idx val="0"/>
        <c:spPr>
          <a:solidFill>
            <a:srgbClr val="3CEB95"/>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CEB95"/>
          </a:solidFill>
          <a:ln w="25400">
            <a:solidFill>
              <a:schemeClr val="bg1"/>
            </a:solidFill>
          </a:ln>
          <a:effectLst/>
        </c:spPr>
      </c:pivotFmt>
      <c:pivotFmt>
        <c:idx val="2"/>
        <c:spPr>
          <a:solidFill>
            <a:srgbClr val="3CEB95"/>
          </a:solidFill>
          <a:ln w="25400">
            <a:solidFill>
              <a:schemeClr val="bg1"/>
            </a:solidFill>
          </a:ln>
          <a:effectLst/>
        </c:spPr>
      </c:pivotFmt>
      <c:pivotFmt>
        <c:idx val="3"/>
        <c:spPr>
          <a:solidFill>
            <a:srgbClr val="90F4C2"/>
          </a:solidFill>
          <a:ln w="25400">
            <a:solidFill>
              <a:schemeClr val="bg1"/>
            </a:solidFill>
          </a:ln>
          <a:effectLst/>
        </c:spPr>
      </c:pivotFmt>
      <c:pivotFmt>
        <c:idx val="4"/>
        <c:spPr>
          <a:solidFill>
            <a:srgbClr val="3CEB95"/>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0F4C2"/>
          </a:solidFill>
          <a:ln w="25400">
            <a:solidFill>
              <a:schemeClr val="bg1"/>
            </a:solidFill>
          </a:ln>
          <a:effectLst/>
        </c:spPr>
      </c:pivotFmt>
      <c:pivotFmt>
        <c:idx val="6"/>
        <c:spPr>
          <a:solidFill>
            <a:srgbClr val="3CEB95"/>
          </a:solidFill>
          <a:ln w="25400">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7"/>
        <c:spPr>
          <a:solidFill>
            <a:srgbClr val="90F4C2"/>
          </a:solidFill>
          <a:ln w="25400">
            <a:solidFill>
              <a:schemeClr val="bg1"/>
            </a:solidFill>
          </a:ln>
          <a:effectLst/>
        </c:spPr>
      </c:pivotFmt>
    </c:pivotFmts>
    <c:plotArea>
      <c:layout/>
      <c:barChart>
        <c:barDir val="bar"/>
        <c:grouping val="clustered"/>
        <c:varyColors val="0"/>
        <c:ser>
          <c:idx val="0"/>
          <c:order val="0"/>
          <c:tx>
            <c:strRef>
              <c:f>' CountryBarChart'!$B$5</c:f>
              <c:strCache>
                <c:ptCount val="1"/>
                <c:pt idx="0">
                  <c:v>Total</c:v>
                </c:pt>
              </c:strCache>
            </c:strRef>
          </c:tx>
          <c:spPr>
            <a:solidFill>
              <a:srgbClr val="3CEB95"/>
            </a:solidFill>
            <a:ln w="25400">
              <a:solidFill>
                <a:schemeClr val="bg1"/>
              </a:solidFill>
            </a:ln>
            <a:effectLst/>
          </c:spPr>
          <c:invertIfNegative val="0"/>
          <c:dPt>
            <c:idx val="0"/>
            <c:invertIfNegative val="0"/>
            <c:bubble3D val="0"/>
            <c:spPr>
              <a:solidFill>
                <a:srgbClr val="90F4C2"/>
              </a:solidFill>
              <a:ln w="25400">
                <a:solidFill>
                  <a:schemeClr val="bg1"/>
                </a:solidFill>
              </a:ln>
              <a:effectLst/>
            </c:spPr>
          </c:dPt>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 CountryBarChart'!$A$6:$A$8</c:f>
              <c:strCache>
                <c:ptCount val="3"/>
                <c:pt idx="0">
                  <c:v>United Kingdom</c:v>
                </c:pt>
                <c:pt idx="1">
                  <c:v>Ireland</c:v>
                </c:pt>
                <c:pt idx="2">
                  <c:v>United States</c:v>
                </c:pt>
              </c:strCache>
            </c:strRef>
          </c:cat>
          <c:val>
            <c:numRef>
              <c:f>' CountryBarChart'!$B$6:$B$8</c:f>
              <c:numCache>
                <c:formatCode>"$"#,##0</c:formatCode>
                <c:ptCount val="3"/>
                <c:pt idx="0">
                  <c:v>465.29</c:v>
                </c:pt>
                <c:pt idx="1">
                  <c:v>507.38</c:v>
                </c:pt>
                <c:pt idx="2">
                  <c:v>2880.4050000000007</c:v>
                </c:pt>
              </c:numCache>
            </c:numRef>
          </c:val>
        </c:ser>
        <c:dLbls>
          <c:dLblPos val="outEnd"/>
          <c:showLegendKey val="0"/>
          <c:showVal val="1"/>
          <c:showCatName val="0"/>
          <c:showSerName val="0"/>
          <c:showPercent val="0"/>
          <c:showBubbleSize val="0"/>
        </c:dLbls>
        <c:gapWidth val="182"/>
        <c:axId val="405698448"/>
        <c:axId val="405668528"/>
      </c:barChart>
      <c:catAx>
        <c:axId val="405698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rgbClr val="7030A0"/>
                </a:solidFill>
                <a:latin typeface="+mn-lt"/>
                <a:ea typeface="+mn-ea"/>
                <a:cs typeface="+mn-cs"/>
              </a:defRPr>
            </a:pPr>
            <a:endParaRPr lang="en-US"/>
          </a:p>
        </c:txPr>
        <c:crossAx val="405668528"/>
        <c:crosses val="autoZero"/>
        <c:auto val="1"/>
        <c:lblAlgn val="ctr"/>
        <c:lblOffset val="100"/>
        <c:noMultiLvlLbl val="0"/>
      </c:catAx>
      <c:valAx>
        <c:axId val="405668528"/>
        <c:scaling>
          <c:orientation val="minMax"/>
        </c:scaling>
        <c:delete val="0"/>
        <c:axPos val="b"/>
        <c:majorGridlines>
          <c:spPr>
            <a:ln w="9525" cap="flat" cmpd="sng" algn="ctr">
              <a:solidFill>
                <a:srgbClr val="FFFF00"/>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rgbClr val="7030A0"/>
                </a:solidFill>
                <a:latin typeface="+mn-lt"/>
                <a:ea typeface="+mn-ea"/>
                <a:cs typeface="+mn-cs"/>
              </a:defRPr>
            </a:pPr>
            <a:endParaRPr lang="en-US"/>
          </a:p>
        </c:txPr>
        <c:crossAx val="405698448"/>
        <c:crosses val="autoZero"/>
        <c:crossBetween val="between"/>
      </c:valAx>
      <c:spPr>
        <a:solidFill>
          <a:srgbClr val="EFC7E7"/>
        </a:solidFill>
        <a:ln>
          <a:noFill/>
        </a:ln>
        <a:effectLst/>
      </c:spPr>
    </c:plotArea>
    <c:plotVisOnly val="1"/>
    <c:dispBlanksAs val="gap"/>
    <c:showDLblsOverMax val="0"/>
  </c:chart>
  <c:spPr>
    <a:solidFill>
      <a:srgbClr val="EFC7E7"/>
    </a:solidFill>
    <a:ln w="9525" cap="flat" cmpd="sng" algn="ctr">
      <a:solidFill>
        <a:schemeClr val="tx1">
          <a:lumMod val="15000"/>
          <a:lumOff val="85000"/>
        </a:schemeClr>
      </a:solidFill>
      <a:round/>
    </a:ln>
    <a:effectLst/>
  </c:spPr>
  <c:txPr>
    <a:bodyPr/>
    <a:lstStyle/>
    <a:p>
      <a:pPr>
        <a:defRPr sz="1050">
          <a:solidFill>
            <a:srgbClr val="7030A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Project on coffeeOrdersData.xlsx]Top5Customers!TotalSales</c:name>
    <c:fmtId val="10"/>
  </c:pivotSource>
  <c:chart>
    <c:title>
      <c:tx>
        <c:rich>
          <a:bodyPr rot="0" spcFirstLastPara="1" vertOverflow="ellipsis" vert="horz" wrap="square" anchor="ctr" anchorCtr="1"/>
          <a:lstStyle/>
          <a:p>
            <a:pPr>
              <a:defRPr sz="1260" b="0" i="0" u="none" strike="noStrike" kern="1200" spc="0" baseline="0">
                <a:solidFill>
                  <a:srgbClr val="7030A0"/>
                </a:solidFill>
                <a:latin typeface="+mn-lt"/>
                <a:ea typeface="+mn-ea"/>
                <a:cs typeface="+mn-cs"/>
              </a:defRPr>
            </a:pPr>
            <a:r>
              <a:rPr lang="en-US"/>
              <a:t>Top 5 Customers</a:t>
            </a:r>
          </a:p>
        </c:rich>
      </c:tx>
      <c:layout/>
      <c:overlay val="0"/>
      <c:spPr>
        <a:noFill/>
        <a:ln>
          <a:noFill/>
        </a:ln>
        <a:effectLst/>
      </c:spPr>
      <c:txPr>
        <a:bodyPr rot="0" spcFirstLastPara="1" vertOverflow="ellipsis" vert="horz" wrap="square" anchor="ctr" anchorCtr="1"/>
        <a:lstStyle/>
        <a:p>
          <a:pPr>
            <a:defRPr sz="1260" b="0" i="0" u="none" strike="noStrike" kern="1200" spc="0" baseline="0">
              <a:solidFill>
                <a:srgbClr val="7030A0"/>
              </a:solidFill>
              <a:latin typeface="+mn-lt"/>
              <a:ea typeface="+mn-ea"/>
              <a:cs typeface="+mn-cs"/>
            </a:defRPr>
          </a:pPr>
          <a:endParaRPr lang="en-US"/>
        </a:p>
      </c:txPr>
    </c:title>
    <c:autoTitleDeleted val="0"/>
    <c:pivotFmts>
      <c:pivotFmt>
        <c:idx val="0"/>
        <c:spPr>
          <a:solidFill>
            <a:srgbClr val="3CEB95"/>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CEB95"/>
          </a:solidFill>
          <a:ln w="25400">
            <a:solidFill>
              <a:schemeClr val="bg1"/>
            </a:solidFill>
          </a:ln>
          <a:effectLst/>
        </c:spPr>
      </c:pivotFmt>
      <c:pivotFmt>
        <c:idx val="2"/>
        <c:spPr>
          <a:solidFill>
            <a:srgbClr val="3CEB95"/>
          </a:solidFill>
          <a:ln w="25400">
            <a:solidFill>
              <a:schemeClr val="bg1"/>
            </a:solidFill>
          </a:ln>
          <a:effectLst/>
        </c:spPr>
      </c:pivotFmt>
      <c:pivotFmt>
        <c:idx val="3"/>
        <c:spPr>
          <a:solidFill>
            <a:srgbClr val="90F4C2"/>
          </a:solidFill>
          <a:ln w="25400">
            <a:solidFill>
              <a:schemeClr val="bg1"/>
            </a:solidFill>
          </a:ln>
          <a:effectLst/>
        </c:spPr>
      </c:pivotFmt>
      <c:pivotFmt>
        <c:idx val="4"/>
        <c:spPr>
          <a:solidFill>
            <a:srgbClr val="3CEB95"/>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0F4C2"/>
          </a:solidFill>
          <a:ln w="25400">
            <a:solidFill>
              <a:schemeClr val="bg1"/>
            </a:solidFill>
          </a:ln>
          <a:effectLst/>
        </c:spPr>
      </c:pivotFmt>
      <c:pivotFmt>
        <c:idx val="6"/>
        <c:spPr>
          <a:solidFill>
            <a:srgbClr val="3CEB95"/>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3CEB95"/>
          </a:solidFill>
          <a:ln w="25400">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Top5Customers!$B$5</c:f>
              <c:strCache>
                <c:ptCount val="1"/>
                <c:pt idx="0">
                  <c:v>Total</c:v>
                </c:pt>
              </c:strCache>
            </c:strRef>
          </c:tx>
          <c:spPr>
            <a:solidFill>
              <a:srgbClr val="3CEB95"/>
            </a:solidFill>
            <a:ln w="25400">
              <a:solidFill>
                <a:schemeClr val="bg1"/>
              </a:solidFill>
            </a:ln>
            <a:effectLst/>
          </c:spPr>
          <c:invertIfNegative val="0"/>
          <c:dPt>
            <c:idx val="0"/>
            <c:invertIfNegative val="0"/>
            <c:bubble3D val="0"/>
          </c:dPt>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7030A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Top5Customers!$A$6:$A$11</c:f>
              <c:strCache>
                <c:ptCount val="6"/>
                <c:pt idx="0">
                  <c:v>Shermy Moseby</c:v>
                </c:pt>
                <c:pt idx="1">
                  <c:v>Nealson Cuttler</c:v>
                </c:pt>
                <c:pt idx="2">
                  <c:v>Murielle Lorinez</c:v>
                </c:pt>
                <c:pt idx="3">
                  <c:v>Ingelbert Hotchkin</c:v>
                </c:pt>
                <c:pt idx="4">
                  <c:v>Petey Kingsbury</c:v>
                </c:pt>
                <c:pt idx="5">
                  <c:v>Francesco Dressel</c:v>
                </c:pt>
              </c:strCache>
            </c:strRef>
          </c:cat>
          <c:val>
            <c:numRef>
              <c:f>Top5Customers!$B$6:$B$11</c:f>
              <c:numCache>
                <c:formatCode>"$"#,##0</c:formatCode>
                <c:ptCount val="6"/>
                <c:pt idx="0">
                  <c:v>148.92499999999998</c:v>
                </c:pt>
                <c:pt idx="1">
                  <c:v>148.92499999999998</c:v>
                </c:pt>
                <c:pt idx="2">
                  <c:v>167.67000000000002</c:v>
                </c:pt>
                <c:pt idx="3">
                  <c:v>167.67000000000002</c:v>
                </c:pt>
                <c:pt idx="4">
                  <c:v>178.70999999999998</c:v>
                </c:pt>
                <c:pt idx="5">
                  <c:v>178.70999999999998</c:v>
                </c:pt>
              </c:numCache>
            </c:numRef>
          </c:val>
        </c:ser>
        <c:dLbls>
          <c:dLblPos val="outEnd"/>
          <c:showLegendKey val="0"/>
          <c:showVal val="1"/>
          <c:showCatName val="0"/>
          <c:showSerName val="0"/>
          <c:showPercent val="0"/>
          <c:showBubbleSize val="0"/>
        </c:dLbls>
        <c:gapWidth val="182"/>
        <c:axId val="405695184"/>
        <c:axId val="405678320"/>
      </c:barChart>
      <c:catAx>
        <c:axId val="4056951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rgbClr val="7030A0"/>
                </a:solidFill>
                <a:latin typeface="+mn-lt"/>
                <a:ea typeface="+mn-ea"/>
                <a:cs typeface="+mn-cs"/>
              </a:defRPr>
            </a:pPr>
            <a:endParaRPr lang="en-US"/>
          </a:p>
        </c:txPr>
        <c:crossAx val="405678320"/>
        <c:crosses val="autoZero"/>
        <c:auto val="1"/>
        <c:lblAlgn val="ctr"/>
        <c:lblOffset val="100"/>
        <c:noMultiLvlLbl val="0"/>
      </c:catAx>
      <c:valAx>
        <c:axId val="405678320"/>
        <c:scaling>
          <c:orientation val="minMax"/>
        </c:scaling>
        <c:delete val="0"/>
        <c:axPos val="b"/>
        <c:majorGridlines>
          <c:spPr>
            <a:ln w="9525" cap="flat" cmpd="sng" algn="ctr">
              <a:solidFill>
                <a:srgbClr val="FFFF00"/>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rgbClr val="7030A0"/>
                </a:solidFill>
                <a:latin typeface="+mn-lt"/>
                <a:ea typeface="+mn-ea"/>
                <a:cs typeface="+mn-cs"/>
              </a:defRPr>
            </a:pPr>
            <a:endParaRPr lang="en-US"/>
          </a:p>
        </c:txPr>
        <c:crossAx val="405695184"/>
        <c:crosses val="autoZero"/>
        <c:crossBetween val="between"/>
      </c:valAx>
      <c:spPr>
        <a:solidFill>
          <a:srgbClr val="EFC7E7"/>
        </a:solidFill>
        <a:ln>
          <a:noFill/>
        </a:ln>
        <a:effectLst/>
      </c:spPr>
    </c:plotArea>
    <c:plotVisOnly val="1"/>
    <c:dispBlanksAs val="gap"/>
    <c:showDLblsOverMax val="0"/>
  </c:chart>
  <c:spPr>
    <a:solidFill>
      <a:srgbClr val="EFC7E7"/>
    </a:solidFill>
    <a:ln w="9525" cap="flat" cmpd="sng" algn="ctr">
      <a:solidFill>
        <a:schemeClr val="tx1">
          <a:lumMod val="15000"/>
          <a:lumOff val="85000"/>
        </a:schemeClr>
      </a:solidFill>
      <a:round/>
    </a:ln>
    <a:effectLst/>
  </c:spPr>
  <c:txPr>
    <a:bodyPr/>
    <a:lstStyle/>
    <a:p>
      <a:pPr>
        <a:defRPr sz="1050">
          <a:solidFill>
            <a:srgbClr val="7030A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8</xdr:col>
      <xdr:colOff>5040</xdr:colOff>
      <xdr:row>18</xdr:row>
      <xdr:rowOff>190499</xdr:rowOff>
    </xdr:from>
    <xdr:to>
      <xdr:col>18</xdr:col>
      <xdr:colOff>33616</xdr:colOff>
      <xdr:row>41</xdr:row>
      <xdr:rowOff>123263</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5042</xdr:colOff>
      <xdr:row>11</xdr:row>
      <xdr:rowOff>160245</xdr:rowOff>
    </xdr:from>
    <xdr:to>
      <xdr:col>17</xdr:col>
      <xdr:colOff>582706</xdr:colOff>
      <xdr:row>19</xdr:row>
      <xdr:rowOff>7845</xdr:rowOff>
    </xdr:to>
    <mc:AlternateContent xmlns:mc="http://schemas.openxmlformats.org/markup-compatibility/2006">
      <mc:Choice xmlns:tsle="http://schemas.microsoft.com/office/drawing/2012/timeslicer" Requires="tsle">
        <xdr:graphicFrame macro="">
          <xdr:nvGraphicFramePr>
            <xdr:cNvPr id="3" name="Order Date"/>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8398248" y="2255745"/>
              <a:ext cx="611337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18</xdr:col>
      <xdr:colOff>588309</xdr:colOff>
      <xdr:row>12</xdr:row>
      <xdr:rowOff>100293</xdr:rowOff>
    </xdr:from>
    <xdr:to>
      <xdr:col>21</xdr:col>
      <xdr:colOff>571500</xdr:colOff>
      <xdr:row>21</xdr:row>
      <xdr:rowOff>22412</xdr:rowOff>
    </xdr:to>
    <mc:AlternateContent xmlns:mc="http://schemas.openxmlformats.org/markup-compatibility/2006">
      <mc:Choice xmlns:a14="http://schemas.microsoft.com/office/drawing/2010/main" Requires="a14">
        <xdr:graphicFrame macro="">
          <xdr:nvGraphicFramePr>
            <xdr:cNvPr id="4" name="Size"/>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5122338" y="2386293"/>
              <a:ext cx="1798544" cy="16366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459441</xdr:colOff>
      <xdr:row>6</xdr:row>
      <xdr:rowOff>38662</xdr:rowOff>
    </xdr:from>
    <xdr:to>
      <xdr:col>23</xdr:col>
      <xdr:colOff>472888</xdr:colOff>
      <xdr:row>9</xdr:row>
      <xdr:rowOff>179294</xdr:rowOff>
    </xdr:to>
    <mc:AlternateContent xmlns:mc="http://schemas.openxmlformats.org/markup-compatibility/2006">
      <mc:Choice xmlns:a14="http://schemas.microsoft.com/office/drawing/2010/main" Requires="a14">
        <xdr:graphicFrame macro="">
          <xdr:nvGraphicFramePr>
            <xdr:cNvPr id="5" name="Roast Type Name"/>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16203706" y="1181662"/>
              <a:ext cx="1828800" cy="7121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210111</xdr:colOff>
      <xdr:row>20</xdr:row>
      <xdr:rowOff>69475</xdr:rowOff>
    </xdr:from>
    <xdr:to>
      <xdr:col>21</xdr:col>
      <xdr:colOff>223558</xdr:colOff>
      <xdr:row>26</xdr:row>
      <xdr:rowOff>0</xdr:rowOff>
    </xdr:to>
    <mc:AlternateContent xmlns:mc="http://schemas.openxmlformats.org/markup-compatibility/2006">
      <mc:Choice xmlns:a14="http://schemas.microsoft.com/office/drawing/2010/main" Requires="a14">
        <xdr:graphicFrame macro="">
          <xdr:nvGraphicFramePr>
            <xdr:cNvPr id="6" name="Loyalty Card"/>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4744140" y="3879475"/>
              <a:ext cx="1828800" cy="10735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3200</xdr:colOff>
      <xdr:row>1</xdr:row>
      <xdr:rowOff>11207</xdr:rowOff>
    </xdr:from>
    <xdr:to>
      <xdr:col>28</xdr:col>
      <xdr:colOff>598714</xdr:colOff>
      <xdr:row>5</xdr:row>
      <xdr:rowOff>2</xdr:rowOff>
    </xdr:to>
    <xdr:sp macro="" textlink="">
      <xdr:nvSpPr>
        <xdr:cNvPr id="3" name="Rectangle 2"/>
        <xdr:cNvSpPr/>
      </xdr:nvSpPr>
      <xdr:spPr>
        <a:xfrm>
          <a:off x="112057" y="65636"/>
          <a:ext cx="15155157" cy="750795"/>
        </a:xfrm>
        <a:prstGeom prst="rect">
          <a:avLst/>
        </a:prstGeom>
        <a:solidFill>
          <a:srgbClr val="7030A0"/>
        </a:solidFill>
        <a:ln>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000" b="0" cap="none" spc="0">
              <a:ln w="0"/>
              <a:solidFill>
                <a:schemeClr val="bg1"/>
              </a:solidFill>
              <a:effectLst>
                <a:outerShdw blurRad="38100" dist="19050" dir="2700000" algn="tl" rotWithShape="0">
                  <a:schemeClr val="dk1">
                    <a:alpha val="40000"/>
                  </a:schemeClr>
                </a:outerShdw>
              </a:effectLst>
            </a:rPr>
            <a:t>COFFEE </a:t>
          </a:r>
          <a:r>
            <a:rPr lang="en-US" sz="4000" b="0" cap="none" spc="0" baseline="0">
              <a:ln w="0"/>
              <a:solidFill>
                <a:schemeClr val="bg1"/>
              </a:solidFill>
              <a:effectLst>
                <a:outerShdw blurRad="38100" dist="19050" dir="2700000" algn="tl" rotWithShape="0">
                  <a:schemeClr val="dk1">
                    <a:alpha val="40000"/>
                  </a:schemeClr>
                </a:outerShdw>
              </a:effectLst>
            </a:rPr>
            <a:t>SALES DASHBOARD</a:t>
          </a:r>
          <a:endParaRPr lang="en-US" sz="4000" b="0" cap="none" spc="0">
            <a:ln w="0"/>
            <a:solidFill>
              <a:schemeClr val="bg1"/>
            </a:solidFill>
            <a:effectLst>
              <a:outerShdw blurRad="38100" dist="19050" dir="2700000" algn="tl" rotWithShape="0">
                <a:schemeClr val="dk1">
                  <a:alpha val="40000"/>
                </a:schemeClr>
              </a:outerShdw>
            </a:effectLst>
          </a:endParaRPr>
        </a:p>
      </xdr:txBody>
    </xdr:sp>
    <xdr:clientData/>
  </xdr:twoCellAnchor>
  <xdr:twoCellAnchor>
    <xdr:from>
      <xdr:col>0</xdr:col>
      <xdr:colOff>100853</xdr:colOff>
      <xdr:row>17</xdr:row>
      <xdr:rowOff>2356</xdr:rowOff>
    </xdr:from>
    <xdr:to>
      <xdr:col>15</xdr:col>
      <xdr:colOff>51955</xdr:colOff>
      <xdr:row>43</xdr:row>
      <xdr:rowOff>13608</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95251</xdr:colOff>
      <xdr:row>6</xdr:row>
      <xdr:rowOff>1840</xdr:rowOff>
    </xdr:from>
    <xdr:to>
      <xdr:col>18</xdr:col>
      <xdr:colOff>13607</xdr:colOff>
      <xdr:row>16</xdr:row>
      <xdr:rowOff>-1</xdr:rowOff>
    </xdr:to>
    <mc:AlternateContent xmlns:mc="http://schemas.openxmlformats.org/markup-compatibility/2006">
      <mc:Choice xmlns:tsle="http://schemas.microsoft.com/office/drawing/2012/timeslicer" Requires="tsle">
        <xdr:graphicFrame macro="">
          <xdr:nvGraphicFramePr>
            <xdr:cNvPr id="5" name="Order Date 1"/>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95251" y="899911"/>
              <a:ext cx="10001249" cy="183512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19</xdr:col>
      <xdr:colOff>13608</xdr:colOff>
      <xdr:row>10</xdr:row>
      <xdr:rowOff>102452</xdr:rowOff>
    </xdr:from>
    <xdr:to>
      <xdr:col>24</xdr:col>
      <xdr:colOff>1</xdr:colOff>
      <xdr:row>16</xdr:row>
      <xdr:rowOff>13606</xdr:rowOff>
    </xdr:to>
    <mc:AlternateContent xmlns:mc="http://schemas.openxmlformats.org/markup-compatibility/2006">
      <mc:Choice xmlns:a14="http://schemas.microsoft.com/office/drawing/2010/main" Requires="a14">
        <xdr:graphicFrame macro="">
          <xdr:nvGraphicFramePr>
            <xdr:cNvPr id="6" name="Size 1"/>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dr:sp macro="" textlink="">
          <xdr:nvSpPr>
            <xdr:cNvPr id="0" name=""/>
            <xdr:cNvSpPr>
              <a:spLocks noTextEdit="1"/>
            </xdr:cNvSpPr>
          </xdr:nvSpPr>
          <xdr:spPr>
            <a:xfrm>
              <a:off x="10191751" y="1762523"/>
              <a:ext cx="2544536" cy="9861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6</xdr:row>
      <xdr:rowOff>13607</xdr:rowOff>
    </xdr:from>
    <xdr:to>
      <xdr:col>28</xdr:col>
      <xdr:colOff>598714</xdr:colOff>
      <xdr:row>9</xdr:row>
      <xdr:rowOff>154239</xdr:rowOff>
    </xdr:to>
    <mc:AlternateContent xmlns:mc="http://schemas.openxmlformats.org/markup-compatibility/2006">
      <mc:Choice xmlns:a14="http://schemas.microsoft.com/office/drawing/2010/main" Requires="a14">
        <xdr:graphicFrame macro="">
          <xdr:nvGraphicFramePr>
            <xdr:cNvPr id="7" name="Roast Type Name 1"/>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dr:sp macro="" textlink="">
          <xdr:nvSpPr>
            <xdr:cNvPr id="0" name=""/>
            <xdr:cNvSpPr>
              <a:spLocks noTextEdit="1"/>
            </xdr:cNvSpPr>
          </xdr:nvSpPr>
          <xdr:spPr>
            <a:xfrm>
              <a:off x="10178143" y="911678"/>
              <a:ext cx="5089071" cy="7121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34635</xdr:colOff>
      <xdr:row>11</xdr:row>
      <xdr:rowOff>3600</xdr:rowOff>
    </xdr:from>
    <xdr:to>
      <xdr:col>29</xdr:col>
      <xdr:colOff>5097</xdr:colOff>
      <xdr:row>16</xdr:row>
      <xdr:rowOff>13607</xdr:rowOff>
    </xdr:to>
    <mc:AlternateContent xmlns:mc="http://schemas.openxmlformats.org/markup-compatibility/2006">
      <mc:Choice xmlns:a14="http://schemas.microsoft.com/office/drawing/2010/main" Requires="a14">
        <xdr:graphicFrame macro="">
          <xdr:nvGraphicFramePr>
            <xdr:cNvPr id="8" name="Loyalty Card 1"/>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dr:sp macro="" textlink="">
          <xdr:nvSpPr>
            <xdr:cNvPr id="0" name=""/>
            <xdr:cNvSpPr>
              <a:spLocks noTextEdit="1"/>
            </xdr:cNvSpPr>
          </xdr:nvSpPr>
          <xdr:spPr>
            <a:xfrm>
              <a:off x="12866171" y="1786136"/>
              <a:ext cx="2419747" cy="9625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152153</xdr:colOff>
      <xdr:row>17</xdr:row>
      <xdr:rowOff>30926</xdr:rowOff>
    </xdr:from>
    <xdr:to>
      <xdr:col>29</xdr:col>
      <xdr:colOff>27215</xdr:colOff>
      <xdr:row>31</xdr:row>
      <xdr:rowOff>54429</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19430</xdr:colOff>
      <xdr:row>31</xdr:row>
      <xdr:rowOff>180605</xdr:rowOff>
    </xdr:from>
    <xdr:to>
      <xdr:col>29</xdr:col>
      <xdr:colOff>7420</xdr:colOff>
      <xdr:row>43</xdr:row>
      <xdr:rowOff>13608</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6162.519236689812" createdVersion="5" refreshedVersion="5" minRefreshableVersion="3" recordCount="1000">
  <cacheSource type="worksheet">
    <worksheetSource name="Orders"/>
  </cacheSource>
  <cacheFields count="17">
    <cacheField name="Order ID" numFmtId="0">
      <sharedItems/>
    </cacheField>
    <cacheField name="Order Date" numFmtId="166">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6" base="1">
        <rangePr groupBy="months" startDate="2019-01-02T00:00:00" endDate="2022-08-20T00:00:00"/>
        <groupItems count="14">
          <s v="&lt;1/2/2019"/>
          <s v="Jan"/>
          <s v="Feb"/>
          <s v="Mar"/>
          <s v="Apr"/>
          <s v="May"/>
          <s v="Jun"/>
          <s v="Jul"/>
          <s v="Aug"/>
          <s v="Sep"/>
          <s v="Oct"/>
          <s v="Nov"/>
          <s v="Dec"/>
          <s v="&gt;8/20/2022"/>
        </groupItems>
      </fieldGroup>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7">
      <sharedItems containsSemiMixedTypes="0" containsString="0" containsNumber="1" minValue="0.2" maxValue="2.5" count="4">
        <n v="1"/>
        <n v="0.5"/>
        <n v="2.5"/>
        <n v="0.2"/>
      </sharedItems>
    </cacheField>
    <cacheField name="Unit Price" numFmtId="44">
      <sharedItems containsSemiMixedTypes="0" containsString="0" containsNumber="1" minValue="2.6849999999999996" maxValue="36.454999999999998"/>
    </cacheField>
    <cacheField name="Sales" numFmtId="44">
      <sharedItems containsSemiMixedTypes="0" containsString="0" containsNumber="1" minValue="2.6849999999999996" maxValue="218.73"/>
    </cacheField>
    <cacheField name="Coffee Type Name" numFmtId="0">
      <sharedItems count="4">
        <s v="Robusta"/>
        <s v="Excelsa"/>
        <s v="Arabica"/>
        <s v="Laberica"/>
      </sharedItems>
    </cacheField>
    <cacheField name="Roast Type Name" numFmtId="0">
      <sharedItems count="3">
        <s v="Medium"/>
        <s v="Light"/>
        <s v="Dark"/>
      </sharedItems>
    </cacheField>
    <cacheField name="Loyalty Card" numFmtId="0">
      <sharedItems count="2">
        <s v="Yes"/>
        <s v="No"/>
      </sharedItems>
    </cacheField>
    <cacheField name="Years"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otalSales" cacheId="25" applyNumberFormats="0" applyBorderFormats="0" applyFontFormats="0" applyPatternFormats="0" applyAlignmentFormats="0" applyWidthHeightFormats="1" dataCaption="Values" updatedVersion="5" minRefreshableVersion="5" useAutoFormatting="1" itemPrintTitles="1" createdVersion="5" indent="0" compact="0" compactData="0" multipleFieldFilters="0" chartFormat="7">
  <location ref="A5:G34" firstHeaderRow="1" firstDataRow="2" firstDataCol="2"/>
  <pivotFields count="17">
    <pivotField compact="0" outline="0" showAll="0"/>
    <pivotField axis="axisRow" compact="0" numFmtId="166" outline="0" showAll="0">
      <items count="15">
        <item x="0"/>
        <item x="1"/>
        <item x="2"/>
        <item x="3"/>
        <item x="4"/>
        <item x="5"/>
        <item x="6"/>
        <item x="7"/>
        <item x="8"/>
        <item x="9"/>
        <item x="10"/>
        <item x="11"/>
        <item x="12"/>
        <item x="1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7" outline="0" showAll="0">
      <items count="5">
        <item h="1" x="3"/>
        <item h="1" x="1"/>
        <item h="1" x="0"/>
        <item x="2"/>
        <item t="default"/>
      </items>
    </pivotField>
    <pivotField compact="0" numFmtId="44" outline="0" showAll="0"/>
    <pivotField dataField="1" compact="0" numFmtId="44" outline="0" showAll="0"/>
    <pivotField axis="axisCol" compact="0" outline="0" showAll="0">
      <items count="5">
        <item x="2"/>
        <item x="1"/>
        <item x="3"/>
        <item x="0"/>
        <item t="default"/>
      </items>
    </pivotField>
    <pivotField compact="0" outline="0" showAll="0">
      <items count="4">
        <item h="1" x="0"/>
        <item x="2"/>
        <item h="1" x="1"/>
        <item t="default"/>
      </items>
    </pivotField>
    <pivotField compact="0" outline="0" showAll="0" defaultSubtotal="0">
      <items count="2">
        <item x="1"/>
        <item h="1" x="0"/>
      </items>
    </pivotField>
    <pivotField axis="axisRow" compact="0" outline="0" showAll="0" defaultSubtotal="0">
      <items count="6">
        <item x="0"/>
        <item x="1"/>
        <item x="2"/>
        <item x="3"/>
        <item x="4"/>
        <item x="5"/>
      </items>
    </pivotField>
  </pivotFields>
  <rowFields count="2">
    <field x="16"/>
    <field x="1"/>
  </rowFields>
  <rowItems count="28">
    <i>
      <x v="1"/>
      <x v="1"/>
    </i>
    <i r="1">
      <x v="2"/>
    </i>
    <i r="1">
      <x v="3"/>
    </i>
    <i r="1">
      <x v="6"/>
    </i>
    <i r="1">
      <x v="7"/>
    </i>
    <i r="1">
      <x v="10"/>
    </i>
    <i>
      <x v="2"/>
      <x v="2"/>
    </i>
    <i r="1">
      <x v="5"/>
    </i>
    <i r="1">
      <x v="6"/>
    </i>
    <i r="1">
      <x v="7"/>
    </i>
    <i r="1">
      <x v="8"/>
    </i>
    <i r="1">
      <x v="9"/>
    </i>
    <i r="1">
      <x v="10"/>
    </i>
    <i r="1">
      <x v="11"/>
    </i>
    <i r="1">
      <x v="12"/>
    </i>
    <i>
      <x v="3"/>
      <x v="1"/>
    </i>
    <i r="1">
      <x v="2"/>
    </i>
    <i r="1">
      <x v="5"/>
    </i>
    <i r="1">
      <x v="6"/>
    </i>
    <i r="1">
      <x v="9"/>
    </i>
    <i r="1">
      <x v="10"/>
    </i>
    <i r="1">
      <x v="11"/>
    </i>
    <i>
      <x v="4"/>
      <x v="1"/>
    </i>
    <i r="1">
      <x v="2"/>
    </i>
    <i r="1">
      <x v="3"/>
    </i>
    <i r="1">
      <x v="5"/>
    </i>
    <i r="1">
      <x v="7"/>
    </i>
    <i t="grand">
      <x/>
    </i>
  </rowItems>
  <colFields count="1">
    <field x="13"/>
  </colFields>
  <colItems count="5">
    <i>
      <x/>
    </i>
    <i>
      <x v="1"/>
    </i>
    <i>
      <x v="2"/>
    </i>
    <i>
      <x v="3"/>
    </i>
    <i t="grand">
      <x/>
    </i>
  </colItems>
  <dataFields count="1">
    <dataField name="Sum of Sales" fld="12" baseField="1" baseItem="5" numFmtId="3"/>
  </dataFields>
  <chartFormats count="9">
    <chartFormat chart="1" format="4" series="1">
      <pivotArea type="data" outline="0" fieldPosition="0">
        <references count="2">
          <reference field="4294967294" count="1" selected="0">
            <x v="0"/>
          </reference>
          <reference field="13" count="1" selected="0">
            <x v="0"/>
          </reference>
        </references>
      </pivotArea>
    </chartFormat>
    <chartFormat chart="1" format="5" series="1">
      <pivotArea type="data" outline="0" fieldPosition="0">
        <references count="2">
          <reference field="4294967294" count="1" selected="0">
            <x v="0"/>
          </reference>
          <reference field="13" count="1" selected="0">
            <x v="1"/>
          </reference>
        </references>
      </pivotArea>
    </chartFormat>
    <chartFormat chart="1" format="6" series="1">
      <pivotArea type="data" outline="0" fieldPosition="0">
        <references count="2">
          <reference field="4294967294" count="1" selected="0">
            <x v="0"/>
          </reference>
          <reference field="13" count="1" selected="0">
            <x v="2"/>
          </reference>
        </references>
      </pivotArea>
    </chartFormat>
    <chartFormat chart="1" format="7" series="1">
      <pivotArea type="data" outline="0" fieldPosition="0">
        <references count="2">
          <reference field="4294967294" count="1" selected="0">
            <x v="0"/>
          </reference>
          <reference field="13" count="1" selected="0">
            <x v="3"/>
          </reference>
        </references>
      </pivotArea>
    </chartFormat>
    <chartFormat chart="1" format="8" series="1">
      <pivotArea type="data" outline="0" fieldPosition="0">
        <references count="1">
          <reference field="4294967294" count="1" selected="0">
            <x v="0"/>
          </reference>
        </references>
      </pivotArea>
    </chartFormat>
    <chartFormat chart="6" format="13" series="1">
      <pivotArea type="data" outline="0" fieldPosition="0">
        <references count="2">
          <reference field="4294967294" count="1" selected="0">
            <x v="0"/>
          </reference>
          <reference field="13" count="1" selected="0">
            <x v="0"/>
          </reference>
        </references>
      </pivotArea>
    </chartFormat>
    <chartFormat chart="6" format="14" series="1">
      <pivotArea type="data" outline="0" fieldPosition="0">
        <references count="2">
          <reference field="4294967294" count="1" selected="0">
            <x v="0"/>
          </reference>
          <reference field="13" count="1" selected="0">
            <x v="1"/>
          </reference>
        </references>
      </pivotArea>
    </chartFormat>
    <chartFormat chart="6" format="15" series="1">
      <pivotArea type="data" outline="0" fieldPosition="0">
        <references count="2">
          <reference field="4294967294" count="1" selected="0">
            <x v="0"/>
          </reference>
          <reference field="13" count="1" selected="0">
            <x v="2"/>
          </reference>
        </references>
      </pivotArea>
    </chartFormat>
    <chartFormat chart="6" format="16"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TotalSales" cacheId="25" applyNumberFormats="0" applyBorderFormats="0" applyFontFormats="0" applyPatternFormats="0" applyAlignmentFormats="0" applyWidthHeightFormats="1" dataCaption="Values" updatedVersion="5" minRefreshableVersion="5" useAutoFormatting="1" rowGrandTotals="0" colGrandTotals="0" itemPrintTitles="1" createdVersion="5" indent="0" compact="0" compactData="0" multipleFieldFilters="0" chartFormat="10">
  <location ref="A5:B8" firstHeaderRow="1" firstDataRow="1" firstDataCol="1"/>
  <pivotFields count="17">
    <pivotField compact="0" outline="0" showAll="0"/>
    <pivotField compact="0" numFmtId="166" outline="0" showAll="0">
      <items count="15">
        <item x="0"/>
        <item x="1"/>
        <item x="2"/>
        <item x="3"/>
        <item x="4"/>
        <item x="5"/>
        <item x="6"/>
        <item x="7"/>
        <item x="8"/>
        <item x="9"/>
        <item x="10"/>
        <item x="11"/>
        <item x="12"/>
        <item x="13"/>
        <item t="default"/>
      </items>
    </pivotField>
    <pivotField compact="0" outline="0" showAll="0"/>
    <pivotField compact="0" outline="0" showAll="0"/>
    <pivotField compact="0" outline="0" showAll="0"/>
    <pivotField compact="0" outline="0" showAll="0"/>
    <pivotField compact="0" outline="0" showAll="0"/>
    <pivotField axis="axisRow" compact="0" outline="0" showAll="0" sortType="ascending">
      <items count="4">
        <item x="1"/>
        <item x="2"/>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numFmtId="167" outline="0" showAll="0">
      <items count="5">
        <item h="1" x="3"/>
        <item h="1" x="1"/>
        <item h="1" x="0"/>
        <item x="2"/>
        <item t="default"/>
      </items>
    </pivotField>
    <pivotField compact="0" numFmtId="44" outline="0" showAll="0"/>
    <pivotField dataField="1" compact="0" numFmtId="44" outline="0" showAll="0"/>
    <pivotField compact="0" outline="0" showAll="0"/>
    <pivotField compact="0" outline="0" showAll="0">
      <items count="4">
        <item h="1" x="0"/>
        <item x="2"/>
        <item h="1" x="1"/>
        <item t="default"/>
      </items>
    </pivotField>
    <pivotField compact="0" outline="0" showAll="0" defaultSubtotal="0">
      <items count="2">
        <item x="1"/>
        <item h="1" x="0"/>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1" numFmtId="169"/>
  </dataFields>
  <formats count="2">
    <format dxfId="2">
      <pivotArea outline="0" collapsedLevelsAreSubtotals="1" fieldPosition="0">
        <references count="1">
          <reference field="7" count="1" selected="0">
            <x v="0"/>
          </reference>
        </references>
      </pivotArea>
    </format>
    <format dxfId="1">
      <pivotArea outline="0" fieldPosition="0">
        <references count="1">
          <reference field="4294967294" count="1">
            <x v="0"/>
          </reference>
        </references>
      </pivotArea>
    </format>
  </formats>
  <chartFormats count="2">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7"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TotalSales" cacheId="25" applyNumberFormats="0" applyBorderFormats="0" applyFontFormats="0" applyPatternFormats="0" applyAlignmentFormats="0" applyWidthHeightFormats="1" dataCaption="Values" updatedVersion="5" minRefreshableVersion="5" useAutoFormatting="1" rowGrandTotals="0" colGrandTotals="0" itemPrintTitles="1" createdVersion="5" indent="0" compact="0" compactData="0" multipleFieldFilters="0" chartFormat="13">
  <location ref="A5:B11" firstHeaderRow="1" firstDataRow="1" firstDataCol="1"/>
  <pivotFields count="17">
    <pivotField compact="0" outline="0" showAll="0"/>
    <pivotField compact="0" numFmtId="166" outline="0" showAll="0">
      <items count="15">
        <item x="0"/>
        <item x="1"/>
        <item x="2"/>
        <item x="3"/>
        <item x="4"/>
        <item x="5"/>
        <item x="6"/>
        <item x="7"/>
        <item x="8"/>
        <item x="9"/>
        <item x="10"/>
        <item x="11"/>
        <item x="12"/>
        <item x="13"/>
        <item t="default"/>
      </items>
    </pivotField>
    <pivotField compact="0" outline="0" showAll="0"/>
    <pivotField compact="0" outline="0" showAll="0"/>
    <pivotField compact="0" outline="0" showAll="0"/>
    <pivotField axis="axisRow" compact="0" outline="0" showAll="0" measureFilter="1" sortType="ascending">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autoSortScope>
        <pivotArea dataOnly="0" outline="0" fieldPosition="0">
          <references count="1">
            <reference field="4294967294" count="1" selected="0">
              <x v="0"/>
            </reference>
          </references>
        </pivotArea>
      </autoSortScope>
    </pivotField>
    <pivotField compact="0" outline="0" showAll="0"/>
    <pivotField compact="0" outline="0" showAll="0" sortType="ascending">
      <items count="4">
        <item x="1"/>
        <item x="2"/>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numFmtId="167" outline="0" showAll="0">
      <items count="5">
        <item h="1" x="3"/>
        <item h="1" x="1"/>
        <item h="1" x="0"/>
        <item x="2"/>
        <item t="default"/>
      </items>
    </pivotField>
    <pivotField compact="0" numFmtId="44" outline="0" showAll="0"/>
    <pivotField dataField="1" compact="0" numFmtId="44" outline="0" showAll="0"/>
    <pivotField compact="0" outline="0" showAll="0"/>
    <pivotField compact="0" outline="0" showAll="0">
      <items count="4">
        <item h="1" x="0"/>
        <item x="2"/>
        <item h="1" x="1"/>
        <item t="default"/>
      </items>
    </pivotField>
    <pivotField compact="0" outline="0" showAll="0" defaultSubtotal="0">
      <items count="2">
        <item x="1"/>
        <item h="1" x="0"/>
      </items>
    </pivotField>
    <pivotField compact="0" outline="0" showAll="0" defaultSubtotal="0">
      <items count="6">
        <item x="0"/>
        <item x="1"/>
        <item x="2"/>
        <item x="3"/>
        <item x="4"/>
        <item x="5"/>
      </items>
    </pivotField>
  </pivotFields>
  <rowFields count="1">
    <field x="5"/>
  </rowFields>
  <rowItems count="6">
    <i>
      <x v="788"/>
    </i>
    <i>
      <x v="646"/>
    </i>
    <i>
      <x v="631"/>
    </i>
    <i>
      <x v="417"/>
    </i>
    <i>
      <x v="696"/>
    </i>
    <i>
      <x v="329"/>
    </i>
  </rowItems>
  <colItems count="1">
    <i/>
  </colItems>
  <dataFields count="1">
    <dataField name="Sum of Sales" fld="12" baseField="7" baseItem="1" numFmtId="169"/>
  </dataFields>
  <formats count="1">
    <format dxfId="0">
      <pivotArea outline="0" fieldPosition="0">
        <references count="1">
          <reference field="4294967294" count="1">
            <x v="0"/>
          </reference>
        </references>
      </pivotArea>
    </format>
  </formats>
  <chartFormats count="3">
    <chartFormat chart="3" format="17"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2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Loyalty_Card" sourceName="Loyalty Card">
  <pivotTables>
    <pivotTable tabId="18" name="TotalSales"/>
    <pivotTable tabId="19" name="TotalSales"/>
    <pivotTable tabId="21" name="TotalSales"/>
  </pivotTables>
  <data>
    <tabular pivotCacheId="1">
      <items count="2">
        <i x="1" s="1"/>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oast_Type_Name" sourceName="Roast Type Name">
  <pivotTables>
    <pivotTable tabId="18" name="TotalSales"/>
    <pivotTable tabId="19" name="TotalSales"/>
    <pivotTable tabId="21" name="TotalSales"/>
  </pivotTables>
  <data>
    <tabular pivotCacheId="1">
      <items count="3">
        <i x="0"/>
        <i x="2" s="1"/>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ize" sourceName="Size">
  <pivotTables>
    <pivotTable tabId="18" name="TotalSales"/>
    <pivotTable tabId="19" name="TotalSales"/>
    <pivotTable tabId="21" name="TotalSales"/>
  </pivotTables>
  <data>
    <tabular pivotCacheId="1">
      <items count="4">
        <i x="3"/>
        <i x="1"/>
        <i x="0"/>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Loyalty Card" cache="Slicer_Loyalty_Card" caption="Loyalty Card" rowHeight="241300"/>
  <slicer name="Roast Type Name" cache="Slicer_Roast_Type_Name" caption="Roast Type Name" columnCount="3" rowHeight="241300"/>
  <slicer name="Size" cache="Slicer_Size" caption="Size" columnCount="2"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Loyalty Card 1" cache="Slicer_Loyalty_Card" caption="Loyalty Card" rowHeight="241300"/>
  <slicer name="Roast Type Name 1" cache="Slicer_Roast_Type_Name" caption="Roast Type Name" columnCount="3" rowHeight="241300"/>
  <slicer name="Size 1" cache="Slicer_Size" caption="Size" columnCount="2" rowHeight="241300"/>
</slicers>
</file>

<file path=xl/tables/table1.xml><?xml version="1.0" encoding="utf-8"?>
<table xmlns="http://schemas.openxmlformats.org/spreadsheetml/2006/main" id="1" name="Orders" displayName="Orders" ref="A1:P1001" totalsRowShown="0" headerRowDxfId="8">
  <autoFilter ref="A1:P1001"/>
  <tableColumns count="16">
    <tableColumn id="1" name="Order ID" dataDxfId="18"/>
    <tableColumn id="2" name="Order Date" dataDxfId="17"/>
    <tableColumn id="3" name="Customer ID" dataDxfId="16"/>
    <tableColumn id="4" name="Product ID"/>
    <tableColumn id="5" name="Quantity" dataDxfId="15"/>
    <tableColumn id="6" name="Customer Name" dataDxfId="14">
      <calculatedColumnFormula>IFERROR(INDEX(customers!B$1:B$1001, MATCH(C2, customers!A$1:A$1001, 0)), "Not Found")</calculatedColumnFormula>
    </tableColumn>
    <tableColumn id="7" name="Email" dataDxfId="13">
      <calculatedColumnFormula>IF(IFERROR(INDEX(customers!C$1:C$1001, MATCH(C2, customers!A$1:A$1001, 0)), "Not Found")=0,"",IFERROR(INDEX(customers!C$1:C$1001, MATCH(C2, customers!A$1:A$1001, 0)), "Not Found"))</calculatedColumnFormula>
    </tableColumn>
    <tableColumn id="8" name="Country" dataDxfId="12">
      <calculatedColumnFormula>IFERROR(INDEX(customers!G$1:G$1001, MATCH(C2, customers!A$1:A$1001, 0)), "Not Found")</calculatedColumnFormula>
    </tableColumn>
    <tableColumn id="9" name="Coffee Type">
      <calculatedColumnFormula>INDEX(products!$A$1:$G$49,MATCH(orders!$D2,products!$A$1:$A$49,0),MATCH(orders!I$1,products!$A$1:$G$1,0))</calculatedColumnFormula>
    </tableColumn>
    <tableColumn id="10" name="Roast Type">
      <calculatedColumnFormula>INDEX(products!$A$1:$G$49,MATCH(orders!$D2,products!$A$1:$A$49,0),MATCH(orders!J$1,products!$A$1:$G$1,0))</calculatedColumnFormula>
    </tableColumn>
    <tableColumn id="11" name="Size" dataDxfId="11">
      <calculatedColumnFormula>INDEX(products!$A$1:$G$49,MATCH(orders!$D2,products!$A$1:$A$49,0),MATCH(orders!K$1,products!$A$1:$G$1,0))</calculatedColumnFormula>
    </tableColumn>
    <tableColumn id="12" name="Unit Price" dataDxfId="10" dataCellStyle="Currency">
      <calculatedColumnFormula>INDEX(products!$A$1:$G$49,MATCH(orders!$D2,products!$A$1:$A$49,0),MATCH(orders!L$1,products!$A$1:$G$1,0))</calculatedColumnFormula>
    </tableColumn>
    <tableColumn id="13" name="Sales" dataDxfId="9" dataCellStyle="Currency">
      <calculatedColumnFormula>L2*E2</calculatedColumnFormula>
    </tableColumn>
    <tableColumn id="14" name="Coffee Type Name">
      <calculatedColumnFormula>IF(I2="Rob","Robusta",IF(I2="Exc","Excelsa",IF(I2="Ara","Arabica",IF(I2="Lib","Laberica",""))))</calculatedColumnFormula>
    </tableColumn>
    <tableColumn id="15" name="Roast Type Name">
      <calculatedColumnFormula>IF(J2="M","Medium",IF(J2="L","Light",IF(J2="D","Dark","")))</calculatedColumnFormula>
    </tableColumn>
    <tableColumn id="16" name="Loyalty Card" dataDxfId="5">
      <calculatedColumnFormula>INDEX(customers!$I$1:$I$1001, MATCH(Orders[[#This Row],[Customer ID]], customers!$A$1:$A$1001, 0))</calculatedColumnFormula>
    </tableColumn>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NativeTimeline_Order_Date" sourceName="Order Date">
  <pivotTables>
    <pivotTable tabId="18" name="TotalSales"/>
    <pivotTable tabId="19" name="TotalSales"/>
    <pivotTable tabId="21" name="TotalSales"/>
  </pivotTables>
  <state minimalRefreshVersion="6" lastRefreshVersion="6" pivotCacheId="1"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Order Date" cache="NativeTimeline_Order_Date" caption="Order Date" level="2" selectionLevel="2" scrollPosition="2021-01-01T00:00:00" style="Purple Timeline Style"/>
</timelines>
</file>

<file path=xl/timelines/timeline2.xml><?xml version="1.0" encoding="utf-8"?>
<timelines xmlns="http://schemas.microsoft.com/office/spreadsheetml/2010/11/main" xmlns:mc="http://schemas.openxmlformats.org/markup-compatibility/2006" xmlns:x="http://schemas.openxmlformats.org/spreadsheetml/2006/main" mc:Ignorable="x">
  <timeline name="Order Date 1" cache="NativeTimeline_Order_Date" caption="Order Date" level="2" selectionLevel="2" scrollPosition="2021-04-22T00:00:00" style="Purple Timeline Style"/>
</timeline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5" Type="http://schemas.microsoft.com/office/2011/relationships/timeline" Target="../timelines/timelin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5:N34"/>
  <sheetViews>
    <sheetView topLeftCell="F1" zoomScale="85" zoomScaleNormal="85" workbookViewId="0">
      <selection activeCell="L10" sqref="L10"/>
    </sheetView>
  </sheetViews>
  <sheetFormatPr defaultRowHeight="15" x14ac:dyDescent="0.25"/>
  <cols>
    <col min="1" max="2" width="13.140625" bestFit="1" customWidth="1"/>
    <col min="3" max="3" width="20" customWidth="1"/>
    <col min="4" max="4" width="20" bestFit="1" customWidth="1"/>
    <col min="5" max="6" width="20" customWidth="1"/>
    <col min="7" max="7" width="11.28515625" customWidth="1"/>
    <col min="8" max="8" width="8.42578125" customWidth="1"/>
    <col min="9" max="9" width="8.140625" customWidth="1"/>
    <col min="10" max="10" width="9.28515625" bestFit="1" customWidth="1"/>
    <col min="11" max="11" width="11.28515625" bestFit="1" customWidth="1"/>
  </cols>
  <sheetData>
    <row r="5" spans="1:7" x14ac:dyDescent="0.25">
      <c r="A5" s="6" t="s">
        <v>6215</v>
      </c>
      <c r="C5" s="6" t="s">
        <v>6196</v>
      </c>
    </row>
    <row r="6" spans="1:7" x14ac:dyDescent="0.25">
      <c r="A6" s="6" t="s">
        <v>6214</v>
      </c>
      <c r="B6" s="6" t="s">
        <v>1</v>
      </c>
      <c r="C6" t="s">
        <v>6216</v>
      </c>
      <c r="D6" t="s">
        <v>6217</v>
      </c>
      <c r="E6" t="s">
        <v>6218</v>
      </c>
      <c r="F6" t="s">
        <v>6219</v>
      </c>
      <c r="G6" t="s">
        <v>6198</v>
      </c>
    </row>
    <row r="7" spans="1:7" x14ac:dyDescent="0.25">
      <c r="A7" t="s">
        <v>6199</v>
      </c>
      <c r="B7" s="7" t="s">
        <v>6200</v>
      </c>
      <c r="C7" s="8">
        <v>68.655000000000001</v>
      </c>
      <c r="D7" s="8">
        <v>111.78</v>
      </c>
      <c r="E7" s="8"/>
      <c r="F7" s="8"/>
      <c r="G7" s="8">
        <v>180.435</v>
      </c>
    </row>
    <row r="8" spans="1:7" x14ac:dyDescent="0.25">
      <c r="B8" s="7" t="s">
        <v>6201</v>
      </c>
      <c r="C8" s="8"/>
      <c r="D8" s="8"/>
      <c r="E8" s="8">
        <v>119.13999999999999</v>
      </c>
      <c r="F8" s="8"/>
      <c r="G8" s="8">
        <v>119.13999999999999</v>
      </c>
    </row>
    <row r="9" spans="1:7" x14ac:dyDescent="0.25">
      <c r="B9" s="7" t="s">
        <v>6202</v>
      </c>
      <c r="C9" s="8"/>
      <c r="D9" s="8">
        <v>167.67000000000002</v>
      </c>
      <c r="E9" s="8"/>
      <c r="F9" s="8"/>
      <c r="G9" s="8">
        <v>167.67000000000002</v>
      </c>
    </row>
    <row r="10" spans="1:7" x14ac:dyDescent="0.25">
      <c r="B10" s="7" t="s">
        <v>6204</v>
      </c>
      <c r="C10" s="8"/>
      <c r="D10" s="8"/>
      <c r="E10" s="8">
        <v>89.35499999999999</v>
      </c>
      <c r="F10" s="8"/>
      <c r="G10" s="8">
        <v>89.35499999999999</v>
      </c>
    </row>
    <row r="11" spans="1:7" x14ac:dyDescent="0.25">
      <c r="B11" s="7" t="s">
        <v>6205</v>
      </c>
      <c r="C11" s="8">
        <v>68.655000000000001</v>
      </c>
      <c r="D11" s="8"/>
      <c r="E11" s="8"/>
      <c r="F11" s="8">
        <v>123.50999999999999</v>
      </c>
      <c r="G11" s="8">
        <v>192.16499999999999</v>
      </c>
    </row>
    <row r="12" spans="1:7" x14ac:dyDescent="0.25">
      <c r="B12" s="7" t="s">
        <v>6208</v>
      </c>
      <c r="C12" s="8"/>
      <c r="D12" s="8">
        <v>27.945</v>
      </c>
      <c r="E12" s="8"/>
      <c r="F12" s="8"/>
      <c r="G12" s="8">
        <v>27.945</v>
      </c>
    </row>
    <row r="13" spans="1:7" x14ac:dyDescent="0.25">
      <c r="A13" t="s">
        <v>6211</v>
      </c>
      <c r="B13" s="7" t="s">
        <v>6201</v>
      </c>
      <c r="C13" s="8">
        <v>274.62</v>
      </c>
      <c r="D13" s="8">
        <v>167.67000000000002</v>
      </c>
      <c r="E13" s="8">
        <v>89.35499999999999</v>
      </c>
      <c r="F13" s="8"/>
      <c r="G13" s="8">
        <v>531.64499999999998</v>
      </c>
    </row>
    <row r="14" spans="1:7" x14ac:dyDescent="0.25">
      <c r="B14" s="7" t="s">
        <v>6203</v>
      </c>
      <c r="C14" s="8"/>
      <c r="D14" s="8"/>
      <c r="E14" s="8"/>
      <c r="F14" s="8">
        <v>41.169999999999995</v>
      </c>
      <c r="G14" s="8">
        <v>41.169999999999995</v>
      </c>
    </row>
    <row r="15" spans="1:7" x14ac:dyDescent="0.25">
      <c r="B15" s="7" t="s">
        <v>6204</v>
      </c>
      <c r="C15" s="8">
        <v>91.539999999999992</v>
      </c>
      <c r="D15" s="8"/>
      <c r="E15" s="8">
        <v>119.13999999999999</v>
      </c>
      <c r="F15" s="8"/>
      <c r="G15" s="8">
        <v>210.67999999999998</v>
      </c>
    </row>
    <row r="16" spans="1:7" x14ac:dyDescent="0.25">
      <c r="B16" s="7" t="s">
        <v>6205</v>
      </c>
      <c r="C16" s="8"/>
      <c r="D16" s="8"/>
      <c r="E16" s="8"/>
      <c r="F16" s="8">
        <v>123.50999999999999</v>
      </c>
      <c r="G16" s="8">
        <v>123.50999999999999</v>
      </c>
    </row>
    <row r="17" spans="1:14" x14ac:dyDescent="0.25">
      <c r="B17" s="7" t="s">
        <v>6206</v>
      </c>
      <c r="C17" s="8"/>
      <c r="D17" s="8"/>
      <c r="E17" s="8"/>
      <c r="F17" s="8">
        <v>41.169999999999995</v>
      </c>
      <c r="G17" s="8">
        <v>41.169999999999995</v>
      </c>
    </row>
    <row r="18" spans="1:14" x14ac:dyDescent="0.25">
      <c r="B18" s="7" t="s">
        <v>6207</v>
      </c>
      <c r="C18" s="8">
        <v>91.539999999999992</v>
      </c>
      <c r="D18" s="8"/>
      <c r="E18" s="8"/>
      <c r="F18" s="8"/>
      <c r="G18" s="8">
        <v>91.539999999999992</v>
      </c>
    </row>
    <row r="19" spans="1:14" x14ac:dyDescent="0.25">
      <c r="B19" s="7" t="s">
        <v>6208</v>
      </c>
      <c r="C19" s="8"/>
      <c r="D19" s="8">
        <v>83.835000000000008</v>
      </c>
      <c r="E19" s="8">
        <v>29.784999999999997</v>
      </c>
      <c r="F19" s="8"/>
      <c r="G19" s="8">
        <v>113.62</v>
      </c>
    </row>
    <row r="20" spans="1:14" x14ac:dyDescent="0.25">
      <c r="B20" s="7" t="s">
        <v>6209</v>
      </c>
      <c r="C20" s="8">
        <v>22.884999999999998</v>
      </c>
      <c r="D20" s="8"/>
      <c r="E20" s="8">
        <v>119.13999999999999</v>
      </c>
      <c r="F20" s="8"/>
      <c r="G20" s="8">
        <v>142.02499999999998</v>
      </c>
    </row>
    <row r="21" spans="1:14" x14ac:dyDescent="0.25">
      <c r="B21" s="7" t="s">
        <v>6210</v>
      </c>
      <c r="C21" s="8"/>
      <c r="D21" s="8">
        <v>139.72499999999999</v>
      </c>
      <c r="E21" s="8"/>
      <c r="F21" s="8"/>
      <c r="G21" s="8">
        <v>139.72499999999999</v>
      </c>
    </row>
    <row r="22" spans="1:14" x14ac:dyDescent="0.25">
      <c r="A22" t="s">
        <v>6212</v>
      </c>
      <c r="B22" s="7" t="s">
        <v>6200</v>
      </c>
      <c r="C22" s="8"/>
      <c r="D22" s="8"/>
      <c r="E22" s="8">
        <v>29.784999999999997</v>
      </c>
      <c r="F22" s="8"/>
      <c r="G22" s="8">
        <v>29.784999999999997</v>
      </c>
    </row>
    <row r="23" spans="1:14" x14ac:dyDescent="0.25">
      <c r="B23" s="7" t="s">
        <v>6201</v>
      </c>
      <c r="C23" s="8">
        <v>114.42499999999998</v>
      </c>
      <c r="D23" s="8"/>
      <c r="E23" s="8"/>
      <c r="F23" s="8"/>
      <c r="G23" s="8">
        <v>114.42499999999998</v>
      </c>
    </row>
    <row r="24" spans="1:14" x14ac:dyDescent="0.25">
      <c r="B24" s="7" t="s">
        <v>6203</v>
      </c>
      <c r="C24" s="8"/>
      <c r="D24" s="8"/>
      <c r="E24" s="8">
        <v>148.92499999999998</v>
      </c>
      <c r="F24" s="8"/>
      <c r="G24" s="8">
        <v>148.92499999999998</v>
      </c>
    </row>
    <row r="25" spans="1:14" x14ac:dyDescent="0.25">
      <c r="B25" s="7" t="s">
        <v>6204</v>
      </c>
      <c r="C25" s="8">
        <v>22.884999999999998</v>
      </c>
      <c r="D25" s="8"/>
      <c r="E25" s="8">
        <v>148.92499999999998</v>
      </c>
      <c r="F25" s="8">
        <v>61.754999999999995</v>
      </c>
      <c r="G25" s="8">
        <v>233.56499999999997</v>
      </c>
    </row>
    <row r="26" spans="1:14" x14ac:dyDescent="0.25">
      <c r="B26" s="7" t="s">
        <v>6207</v>
      </c>
      <c r="C26" s="8">
        <v>91.539999999999992</v>
      </c>
      <c r="D26" s="8"/>
      <c r="E26" s="8"/>
      <c r="F26" s="8"/>
      <c r="G26" s="8">
        <v>91.539999999999992</v>
      </c>
      <c r="N26" s="9"/>
    </row>
    <row r="27" spans="1:14" x14ac:dyDescent="0.25">
      <c r="B27" s="7" t="s">
        <v>6208</v>
      </c>
      <c r="C27" s="8">
        <v>114.42499999999998</v>
      </c>
      <c r="D27" s="8">
        <v>55.89</v>
      </c>
      <c r="E27" s="8"/>
      <c r="F27" s="8"/>
      <c r="G27" s="8">
        <v>170.315</v>
      </c>
    </row>
    <row r="28" spans="1:14" x14ac:dyDescent="0.25">
      <c r="B28" s="7" t="s">
        <v>6209</v>
      </c>
      <c r="C28" s="8"/>
      <c r="D28" s="8">
        <v>139.72499999999999</v>
      </c>
      <c r="E28" s="8"/>
      <c r="F28" s="8"/>
      <c r="G28" s="8">
        <v>139.72499999999999</v>
      </c>
    </row>
    <row r="29" spans="1:14" x14ac:dyDescent="0.25">
      <c r="A29" t="s">
        <v>6213</v>
      </c>
      <c r="B29" s="7" t="s">
        <v>6200</v>
      </c>
      <c r="C29" s="8"/>
      <c r="D29" s="8"/>
      <c r="E29" s="8">
        <v>178.70999999999998</v>
      </c>
      <c r="F29" s="8"/>
      <c r="G29" s="8">
        <v>178.70999999999998</v>
      </c>
    </row>
    <row r="30" spans="1:14" x14ac:dyDescent="0.25">
      <c r="B30" s="7" t="s">
        <v>6201</v>
      </c>
      <c r="C30" s="8"/>
      <c r="D30" s="8">
        <v>55.89</v>
      </c>
      <c r="E30" s="8"/>
      <c r="F30" s="8"/>
      <c r="G30" s="8">
        <v>55.89</v>
      </c>
    </row>
    <row r="31" spans="1:14" x14ac:dyDescent="0.25">
      <c r="B31" s="7" t="s">
        <v>6202</v>
      </c>
      <c r="C31" s="8"/>
      <c r="D31" s="8"/>
      <c r="E31" s="8"/>
      <c r="F31" s="8">
        <v>20.584999999999997</v>
      </c>
      <c r="G31" s="8">
        <v>20.584999999999997</v>
      </c>
    </row>
    <row r="32" spans="1:14" x14ac:dyDescent="0.25">
      <c r="B32" s="7" t="s">
        <v>6203</v>
      </c>
      <c r="C32" s="8"/>
      <c r="D32" s="8"/>
      <c r="E32" s="8"/>
      <c r="F32" s="8">
        <v>164.67999999999998</v>
      </c>
      <c r="G32" s="8">
        <v>164.67999999999998</v>
      </c>
    </row>
    <row r="33" spans="1:7" x14ac:dyDescent="0.25">
      <c r="B33" s="7" t="s">
        <v>6205</v>
      </c>
      <c r="C33" s="8">
        <v>114.42499999999998</v>
      </c>
      <c r="D33" s="8"/>
      <c r="E33" s="8">
        <v>178.70999999999998</v>
      </c>
      <c r="F33" s="8"/>
      <c r="G33" s="8">
        <v>293.13499999999999</v>
      </c>
    </row>
    <row r="34" spans="1:7" x14ac:dyDescent="0.25">
      <c r="A34" t="s">
        <v>6198</v>
      </c>
      <c r="C34" s="8">
        <v>1075.5949999999998</v>
      </c>
      <c r="D34" s="8">
        <v>950.13000000000011</v>
      </c>
      <c r="E34" s="8">
        <v>1250.9699999999998</v>
      </c>
      <c r="F34" s="8">
        <v>576.37999999999988</v>
      </c>
      <c r="G34" s="8">
        <v>3853.0749999999998</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7"/>
  <sheetViews>
    <sheetView showGridLines="0" tabSelected="1" zoomScale="70" zoomScaleNormal="70" workbookViewId="0">
      <selection activeCell="AF24" sqref="AF24"/>
    </sheetView>
  </sheetViews>
  <sheetFormatPr defaultRowHeight="15" x14ac:dyDescent="0.25"/>
  <cols>
    <col min="1" max="1" width="1.7109375" customWidth="1"/>
    <col min="16" max="16" width="2.7109375" customWidth="1"/>
    <col min="19" max="19" width="1.42578125" customWidth="1"/>
    <col min="23" max="23" width="1.7109375" customWidth="1"/>
    <col min="25" max="25" width="1.42578125" customWidth="1"/>
  </cols>
  <sheetData>
    <row r="1" ht="5.0999999999999996" customHeight="1" x14ac:dyDescent="0.25"/>
    <row r="6" ht="6.95" customHeight="1" x14ac:dyDescent="0.25"/>
    <row r="11" ht="9.9499999999999993" customHeight="1" x14ac:dyDescent="0.25"/>
    <row r="17" ht="6.95"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5:N26"/>
  <sheetViews>
    <sheetView zoomScale="85" zoomScaleNormal="85" workbookViewId="0">
      <selection activeCell="F26" sqref="F26"/>
    </sheetView>
  </sheetViews>
  <sheetFormatPr defaultRowHeight="15" x14ac:dyDescent="0.25"/>
  <cols>
    <col min="1" max="1" width="16" customWidth="1"/>
    <col min="2" max="2" width="12.140625" customWidth="1"/>
    <col min="3" max="3" width="15.7109375" customWidth="1"/>
    <col min="4" max="4" width="20" bestFit="1" customWidth="1"/>
    <col min="5" max="6" width="20" customWidth="1"/>
    <col min="7" max="7" width="11.28515625" customWidth="1"/>
    <col min="8" max="8" width="8.42578125" customWidth="1"/>
    <col min="9" max="9" width="8.140625" customWidth="1"/>
    <col min="10" max="10" width="9.28515625" bestFit="1" customWidth="1"/>
    <col min="11" max="11" width="11.28515625" bestFit="1" customWidth="1"/>
  </cols>
  <sheetData>
    <row r="5" spans="1:2" x14ac:dyDescent="0.25">
      <c r="A5" s="6" t="s">
        <v>7</v>
      </c>
      <c r="B5" t="s">
        <v>6215</v>
      </c>
    </row>
    <row r="6" spans="1:2" x14ac:dyDescent="0.25">
      <c r="A6" t="s">
        <v>28</v>
      </c>
      <c r="B6" s="10">
        <v>465.29</v>
      </c>
    </row>
    <row r="7" spans="1:2" x14ac:dyDescent="0.25">
      <c r="A7" t="s">
        <v>318</v>
      </c>
      <c r="B7" s="10">
        <v>507.38</v>
      </c>
    </row>
    <row r="8" spans="1:2" x14ac:dyDescent="0.25">
      <c r="A8" t="s">
        <v>19</v>
      </c>
      <c r="B8" s="10">
        <v>2880.4050000000007</v>
      </c>
    </row>
    <row r="26" spans="14:14" x14ac:dyDescent="0.25">
      <c r="N26" s="9"/>
    </row>
  </sheetData>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5:N26"/>
  <sheetViews>
    <sheetView zoomScale="85" zoomScaleNormal="85" workbookViewId="0">
      <selection activeCell="E25" sqref="E25"/>
    </sheetView>
  </sheetViews>
  <sheetFormatPr defaultRowHeight="15" x14ac:dyDescent="0.25"/>
  <cols>
    <col min="1" max="1" width="18.42578125" customWidth="1"/>
    <col min="2" max="2" width="12.140625" customWidth="1"/>
    <col min="3" max="3" width="15.7109375" customWidth="1"/>
    <col min="4" max="4" width="20" bestFit="1" customWidth="1"/>
    <col min="5" max="6" width="20" customWidth="1"/>
    <col min="7" max="7" width="11.28515625" customWidth="1"/>
    <col min="8" max="8" width="8.42578125" customWidth="1"/>
    <col min="9" max="9" width="8.140625" customWidth="1"/>
    <col min="10" max="10" width="9.28515625" bestFit="1" customWidth="1"/>
    <col min="11" max="11" width="11.28515625" bestFit="1" customWidth="1"/>
  </cols>
  <sheetData>
    <row r="5" spans="1:2" x14ac:dyDescent="0.25">
      <c r="A5" s="6" t="s">
        <v>4</v>
      </c>
      <c r="B5" t="s">
        <v>6215</v>
      </c>
    </row>
    <row r="6" spans="1:2" x14ac:dyDescent="0.25">
      <c r="A6" t="s">
        <v>4231</v>
      </c>
      <c r="B6" s="10">
        <v>148.92499999999998</v>
      </c>
    </row>
    <row r="7" spans="1:2" x14ac:dyDescent="0.25">
      <c r="A7" t="s">
        <v>1598</v>
      </c>
      <c r="B7" s="10">
        <v>148.92499999999998</v>
      </c>
    </row>
    <row r="8" spans="1:2" x14ac:dyDescent="0.25">
      <c r="A8" t="s">
        <v>5270</v>
      </c>
      <c r="B8" s="10">
        <v>167.67000000000002</v>
      </c>
    </row>
    <row r="9" spans="1:2" x14ac:dyDescent="0.25">
      <c r="A9" t="s">
        <v>2741</v>
      </c>
      <c r="B9" s="10">
        <v>167.67000000000002</v>
      </c>
    </row>
    <row r="10" spans="1:2" x14ac:dyDescent="0.25">
      <c r="A10" t="s">
        <v>746</v>
      </c>
      <c r="B10" s="10">
        <v>178.70999999999998</v>
      </c>
    </row>
    <row r="11" spans="1:2" x14ac:dyDescent="0.25">
      <c r="A11" t="s">
        <v>4391</v>
      </c>
      <c r="B11" s="10">
        <v>178.70999999999998</v>
      </c>
    </row>
    <row r="26" spans="14:14" x14ac:dyDescent="0.25">
      <c r="N26" s="9"/>
    </row>
  </sheetData>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01"/>
  <sheetViews>
    <sheetView topLeftCell="G1" zoomScaleNormal="100" workbookViewId="0">
      <selection activeCell="P2" sqref="P2"/>
    </sheetView>
  </sheetViews>
  <sheetFormatPr defaultRowHeight="15" x14ac:dyDescent="0.25"/>
  <cols>
    <col min="1" max="1" width="16.5703125" bestFit="1" customWidth="1"/>
    <col min="2" max="2" width="13" bestFit="1" customWidth="1"/>
    <col min="3" max="3" width="17.42578125" bestFit="1" customWidth="1"/>
    <col min="4" max="4" width="12" customWidth="1"/>
    <col min="5" max="5" width="10.42578125" customWidth="1"/>
    <col min="6" max="6" width="23.7109375" bestFit="1" customWidth="1"/>
    <col min="7" max="7" width="39.42578125" bestFit="1" customWidth="1"/>
    <col min="8" max="8" width="17.42578125" bestFit="1" customWidth="1"/>
    <col min="9" max="9" width="13.140625" customWidth="1"/>
    <col min="10" max="10" width="12.42578125" customWidth="1"/>
    <col min="11" max="11" width="6.28515625" bestFit="1" customWidth="1"/>
    <col min="12" max="12" width="11.28515625" customWidth="1"/>
    <col min="13" max="13" width="9.5703125" bestFit="1" customWidth="1"/>
    <col min="14" max="14" width="18.85546875" customWidth="1"/>
    <col min="15" max="15" width="18.140625" customWidth="1"/>
    <col min="16" max="16" width="14" bestFit="1" customWidth="1"/>
  </cols>
  <sheetData>
    <row r="1" spans="1:16" x14ac:dyDescent="0.25">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25">
      <c r="A2" s="2" t="s">
        <v>490</v>
      </c>
      <c r="B2" s="3">
        <v>43713</v>
      </c>
      <c r="C2" s="2" t="s">
        <v>491</v>
      </c>
      <c r="D2" t="s">
        <v>6138</v>
      </c>
      <c r="E2" s="2">
        <v>2</v>
      </c>
      <c r="F2" s="2" t="str">
        <f>IFERROR(INDEX(customers!B$1:B$1001, MATCH(C2, customers!A$1:A$1001, 0)), "Not Found")</f>
        <v>Aloisia Allner</v>
      </c>
      <c r="G2" s="2" t="str">
        <f>IF(IFERROR(INDEX(customers!C$1:C$1001, MATCH(C2, customers!A$1:A$1001, 0)), "Not Found")=0,"",IFERROR(INDEX(customers!C$1:C$1001, MATCH(C2, customers!A$1:A$1001, 0)), "Not Found"))</f>
        <v>aallner0@lulu.com</v>
      </c>
      <c r="H2" s="2" t="str">
        <f>IFERROR(INDEX(customers!G$1:G$1001, MATCH(C2, customers!A$1:A$1001, 0)), "Not Found")</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IF(I2="Rob","Robusta",IF(I2="Exc","Excelsa",IF(I2="Ara","Arabica",IF(I2="Lib","Laberica",""))))</f>
        <v>Robusta</v>
      </c>
      <c r="O2" t="str">
        <f>IF(J2="M","Medium",IF(J2="L","Light",IF(J2="D","Dark","")))</f>
        <v>Medium</v>
      </c>
      <c r="P2" t="str">
        <f>INDEX(customers!$I$1:$I$1001, MATCH(Orders[[#This Row],[Customer ID]], customers!$A$1:$A$1001, 0))</f>
        <v>Yes</v>
      </c>
    </row>
    <row r="3" spans="1:16" x14ac:dyDescent="0.25">
      <c r="A3" s="2" t="s">
        <v>490</v>
      </c>
      <c r="B3" s="3">
        <v>43713</v>
      </c>
      <c r="C3" s="2" t="s">
        <v>491</v>
      </c>
      <c r="D3" t="s">
        <v>6139</v>
      </c>
      <c r="E3" s="2">
        <v>5</v>
      </c>
      <c r="F3" s="2" t="str">
        <f>IFERROR(INDEX(customers!B$1:B$1001, MATCH(C3, customers!A$1:A$1001, 0)), "Not Found")</f>
        <v>Aloisia Allner</v>
      </c>
      <c r="G3" s="2" t="str">
        <f>IF(IFERROR(INDEX(customers!C$1:C$1001, MATCH(C3, customers!A$1:A$1001, 0)), "Not Found")=0,"",IFERROR(INDEX(customers!C$1:C$1001, MATCH(C3, customers!A$1:A$1001, 0)), "Not Found"))</f>
        <v>aallner0@lulu.com</v>
      </c>
      <c r="H3" s="2" t="str">
        <f>IFERROR(INDEX(customers!G$1:G$1001, MATCH(C3, customers!A$1:A$1001, 0)), "Not Found")</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L3*E3</f>
        <v>41.25</v>
      </c>
      <c r="N3" t="str">
        <f>IF(I3="Rob","Robusta",IF(I3="Exc","Excelsa",IF(I3="Ara","Arabica",IF(I3="Lib","Laberica",""))))</f>
        <v>Excelsa</v>
      </c>
      <c r="O3" t="str">
        <f t="shared" ref="O3:O66" si="0">IF(J3="M","Medium",IF(J3="L","Light",IF(J3="D","Dark","")))</f>
        <v>Medium</v>
      </c>
      <c r="P3" t="str">
        <f>INDEX(customers!$I$1:$I$1001, MATCH(Orders[[#This Row],[Customer ID]], customers!$A$1:$A$1001, 0))</f>
        <v>Yes</v>
      </c>
    </row>
    <row r="4" spans="1:16" x14ac:dyDescent="0.25">
      <c r="A4" s="2" t="s">
        <v>501</v>
      </c>
      <c r="B4" s="3">
        <v>44364</v>
      </c>
      <c r="C4" s="2" t="s">
        <v>502</v>
      </c>
      <c r="D4" t="s">
        <v>6140</v>
      </c>
      <c r="E4" s="2">
        <v>1</v>
      </c>
      <c r="F4" s="2" t="str">
        <f>IFERROR(INDEX(customers!B$1:B$1001, MATCH(C4, customers!A$1:A$1001, 0)), "Not Found")</f>
        <v>Jami Redholes</v>
      </c>
      <c r="G4" s="2" t="str">
        <f>IF(IFERROR(INDEX(customers!C$1:C$1001, MATCH(C4, customers!A$1:A$1001, 0)), "Not Found")=0,"",IFERROR(INDEX(customers!C$1:C$1001, MATCH(C4, customers!A$1:A$1001, 0)), "Not Found"))</f>
        <v>jredholes2@tmall.com</v>
      </c>
      <c r="H4" s="2" t="str">
        <f>IFERROR(INDEX(customers!G$1:G$1001, MATCH(C4, customers!A$1:A$1001, 0)), "Not Found")</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L4*E4</f>
        <v>12.95</v>
      </c>
      <c r="N4" t="str">
        <f>IF(I4="Rob","Robusta",IF(I4="Exc","Excelsa",IF(I4="Ara","Arabica",IF(I4="Lib","Laberica",""))))</f>
        <v>Arabica</v>
      </c>
      <c r="O4" t="str">
        <f t="shared" si="0"/>
        <v>Light</v>
      </c>
      <c r="P4" t="str">
        <f>INDEX(customers!$I$1:$I$1001, MATCH(Orders[[#This Row],[Customer ID]], customers!$A$1:$A$1001, 0))</f>
        <v>Yes</v>
      </c>
    </row>
    <row r="5" spans="1:16" x14ac:dyDescent="0.25">
      <c r="A5" s="2" t="s">
        <v>512</v>
      </c>
      <c r="B5" s="3">
        <v>44392</v>
      </c>
      <c r="C5" s="2" t="s">
        <v>513</v>
      </c>
      <c r="D5" t="s">
        <v>6141</v>
      </c>
      <c r="E5" s="2">
        <v>2</v>
      </c>
      <c r="F5" s="2" t="str">
        <f>IFERROR(INDEX(customers!B$1:B$1001, MATCH(C5, customers!A$1:A$1001, 0)), "Not Found")</f>
        <v>Christoffer O' Shea</v>
      </c>
      <c r="G5" s="2" t="str">
        <f>IF(IFERROR(INDEX(customers!C$1:C$1001, MATCH(C5, customers!A$1:A$1001, 0)), "Not Found")=0,"",IFERROR(INDEX(customers!C$1:C$1001, MATCH(C5, customers!A$1:A$1001, 0)), "Not Found"))</f>
        <v/>
      </c>
      <c r="H5" s="2" t="str">
        <f>IFERROR(INDEX(customers!G$1:G$1001, MATCH(C5, customers!A$1:A$1001, 0)), "Not Found")</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L5*E5</f>
        <v>27.5</v>
      </c>
      <c r="N5" t="str">
        <f>IF(I5="Rob","Robusta",IF(I5="Exc","Excelsa",IF(I5="Ara","Arabica",IF(I5="Lib","Laberica",""))))</f>
        <v>Excelsa</v>
      </c>
      <c r="O5" t="str">
        <f t="shared" si="0"/>
        <v>Medium</v>
      </c>
      <c r="P5" t="str">
        <f>INDEX(customers!$I$1:$I$1001, MATCH(Orders[[#This Row],[Customer ID]], customers!$A$1:$A$1001, 0))</f>
        <v>No</v>
      </c>
    </row>
    <row r="6" spans="1:16" x14ac:dyDescent="0.25">
      <c r="A6" s="2" t="s">
        <v>512</v>
      </c>
      <c r="B6" s="3">
        <v>44392</v>
      </c>
      <c r="C6" s="2" t="s">
        <v>513</v>
      </c>
      <c r="D6" t="s">
        <v>6142</v>
      </c>
      <c r="E6" s="2">
        <v>2</v>
      </c>
      <c r="F6" s="2" t="str">
        <f>IFERROR(INDEX(customers!B$1:B$1001, MATCH(C6, customers!A$1:A$1001, 0)), "Not Found")</f>
        <v>Christoffer O' Shea</v>
      </c>
      <c r="G6" s="2" t="str">
        <f>IF(IFERROR(INDEX(customers!C$1:C$1001, MATCH(C6, customers!A$1:A$1001, 0)), "Not Found")=0,"",IFERROR(INDEX(customers!C$1:C$1001, MATCH(C6, customers!A$1:A$1001, 0)), "Not Found"))</f>
        <v/>
      </c>
      <c r="H6" s="2" t="str">
        <f>IFERROR(INDEX(customers!G$1:G$1001, MATCH(C6, customers!A$1:A$1001, 0)), "Not Found")</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L6*E6</f>
        <v>54.969999999999992</v>
      </c>
      <c r="N6" t="str">
        <f>IF(I6="Rob","Robusta",IF(I6="Exc","Excelsa",IF(I6="Ara","Arabica",IF(I6="Lib","Laberica",""))))</f>
        <v>Robusta</v>
      </c>
      <c r="O6" t="str">
        <f t="shared" si="0"/>
        <v>Light</v>
      </c>
      <c r="P6" t="str">
        <f>INDEX(customers!$I$1:$I$1001, MATCH(Orders[[#This Row],[Customer ID]], customers!$A$1:$A$1001, 0))</f>
        <v>No</v>
      </c>
    </row>
    <row r="7" spans="1:16" x14ac:dyDescent="0.25">
      <c r="A7" s="2" t="s">
        <v>519</v>
      </c>
      <c r="B7" s="3">
        <v>44412</v>
      </c>
      <c r="C7" s="2" t="s">
        <v>520</v>
      </c>
      <c r="D7" t="s">
        <v>6143</v>
      </c>
      <c r="E7" s="2">
        <v>3</v>
      </c>
      <c r="F7" s="2" t="str">
        <f>IFERROR(INDEX(customers!B$1:B$1001, MATCH(C7, customers!A$1:A$1001, 0)), "Not Found")</f>
        <v>Beryle Cottier</v>
      </c>
      <c r="G7" s="2" t="str">
        <f>IF(IFERROR(INDEX(customers!C$1:C$1001, MATCH(C7, customers!A$1:A$1001, 0)), "Not Found")=0,"",IFERROR(INDEX(customers!C$1:C$1001, MATCH(C7, customers!A$1:A$1001, 0)), "Not Found"))</f>
        <v/>
      </c>
      <c r="H7" s="2" t="str">
        <f>IFERROR(INDEX(customers!G$1:G$1001, MATCH(C7, customers!A$1:A$1001, 0)), "Not Found")</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L7*E7</f>
        <v>38.849999999999994</v>
      </c>
      <c r="N7" t="str">
        <f>IF(I7="Rob","Robusta",IF(I7="Exc","Excelsa",IF(I7="Ara","Arabica",IF(I7="Lib","Laberica",""))))</f>
        <v>Laberica</v>
      </c>
      <c r="O7" t="str">
        <f t="shared" si="0"/>
        <v>Dark</v>
      </c>
      <c r="P7" t="str">
        <f>INDEX(customers!$I$1:$I$1001, MATCH(Orders[[#This Row],[Customer ID]], customers!$A$1:$A$1001, 0))</f>
        <v>No</v>
      </c>
    </row>
    <row r="8" spans="1:16" x14ac:dyDescent="0.25">
      <c r="A8" s="2" t="s">
        <v>524</v>
      </c>
      <c r="B8" s="3">
        <v>44582</v>
      </c>
      <c r="C8" s="2" t="s">
        <v>525</v>
      </c>
      <c r="D8" t="s">
        <v>6144</v>
      </c>
      <c r="E8" s="2">
        <v>3</v>
      </c>
      <c r="F8" s="2" t="str">
        <f>IFERROR(INDEX(customers!B$1:B$1001, MATCH(C8, customers!A$1:A$1001, 0)), "Not Found")</f>
        <v>Shaylynn Lobe</v>
      </c>
      <c r="G8" s="2" t="str">
        <f>IF(IFERROR(INDEX(customers!C$1:C$1001, MATCH(C8, customers!A$1:A$1001, 0)), "Not Found")=0,"",IFERROR(INDEX(customers!C$1:C$1001, MATCH(C8, customers!A$1:A$1001, 0)), "Not Found"))</f>
        <v>slobe6@nifty.com</v>
      </c>
      <c r="H8" s="2" t="str">
        <f>IFERROR(INDEX(customers!G$1:G$1001, MATCH(C8, customers!A$1:A$1001, 0)), "Not Found")</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L8*E8</f>
        <v>21.87</v>
      </c>
      <c r="N8" t="str">
        <f>IF(I8="Rob","Robusta",IF(I8="Exc","Excelsa",IF(I8="Ara","Arabica",IF(I8="Lib","Laberica",""))))</f>
        <v>Excelsa</v>
      </c>
      <c r="O8" t="str">
        <f t="shared" si="0"/>
        <v>Dark</v>
      </c>
      <c r="P8" t="str">
        <f>INDEX(customers!$I$1:$I$1001, MATCH(Orders[[#This Row],[Customer ID]], customers!$A$1:$A$1001, 0))</f>
        <v>Yes</v>
      </c>
    </row>
    <row r="9" spans="1:16" x14ac:dyDescent="0.25">
      <c r="A9" s="2" t="s">
        <v>530</v>
      </c>
      <c r="B9" s="3">
        <v>44701</v>
      </c>
      <c r="C9" s="2" t="s">
        <v>531</v>
      </c>
      <c r="D9" t="s">
        <v>6145</v>
      </c>
      <c r="E9" s="2">
        <v>1</v>
      </c>
      <c r="F9" s="2" t="str">
        <f>IFERROR(INDEX(customers!B$1:B$1001, MATCH(C9, customers!A$1:A$1001, 0)), "Not Found")</f>
        <v>Melvin Wharfe</v>
      </c>
      <c r="G9" s="2" t="str">
        <f>IF(IFERROR(INDEX(customers!C$1:C$1001, MATCH(C9, customers!A$1:A$1001, 0)), "Not Found")=0,"",IFERROR(INDEX(customers!C$1:C$1001, MATCH(C9, customers!A$1:A$1001, 0)), "Not Found"))</f>
        <v/>
      </c>
      <c r="H9" s="2" t="str">
        <f>IFERROR(INDEX(customers!G$1:G$1001, MATCH(C9, customers!A$1:A$1001, 0)), "Not Found")</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L9*E9</f>
        <v>4.7549999999999999</v>
      </c>
      <c r="N9" t="str">
        <f>IF(I9="Rob","Robusta",IF(I9="Exc","Excelsa",IF(I9="Ara","Arabica",IF(I9="Lib","Laberica",""))))</f>
        <v>Laberica</v>
      </c>
      <c r="O9" t="str">
        <f t="shared" si="0"/>
        <v>Light</v>
      </c>
      <c r="P9" t="str">
        <f>INDEX(customers!$I$1:$I$1001, MATCH(Orders[[#This Row],[Customer ID]], customers!$A$1:$A$1001, 0))</f>
        <v>Yes</v>
      </c>
    </row>
    <row r="10" spans="1:16" x14ac:dyDescent="0.25">
      <c r="A10" s="2" t="s">
        <v>535</v>
      </c>
      <c r="B10" s="3">
        <v>43467</v>
      </c>
      <c r="C10" s="2" t="s">
        <v>536</v>
      </c>
      <c r="D10" t="s">
        <v>6146</v>
      </c>
      <c r="E10" s="2">
        <v>3</v>
      </c>
      <c r="F10" s="2" t="str">
        <f>IFERROR(INDEX(customers!B$1:B$1001, MATCH(C10, customers!A$1:A$1001, 0)), "Not Found")</f>
        <v>Guthrey Petracci</v>
      </c>
      <c r="G10" s="2" t="str">
        <f>IF(IFERROR(INDEX(customers!C$1:C$1001, MATCH(C10, customers!A$1:A$1001, 0)), "Not Found")=0,"",IFERROR(INDEX(customers!C$1:C$1001, MATCH(C10, customers!A$1:A$1001, 0)), "Not Found"))</f>
        <v>gpetracci8@livejournal.com</v>
      </c>
      <c r="H10" s="2" t="str">
        <f>IFERROR(INDEX(customers!G$1:G$1001, MATCH(C10, customers!A$1:A$1001, 0)), "Not Found")</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L10*E10</f>
        <v>17.91</v>
      </c>
      <c r="N10" t="str">
        <f>IF(I10="Rob","Robusta",IF(I10="Exc","Excelsa",IF(I10="Ara","Arabica",IF(I10="Lib","Laberica",""))))</f>
        <v>Robusta</v>
      </c>
      <c r="O10" t="str">
        <f t="shared" si="0"/>
        <v>Medium</v>
      </c>
      <c r="P10" t="str">
        <f>INDEX(customers!$I$1:$I$1001, MATCH(Orders[[#This Row],[Customer ID]], customers!$A$1:$A$1001, 0))</f>
        <v>No</v>
      </c>
    </row>
    <row r="11" spans="1:16" x14ac:dyDescent="0.25">
      <c r="A11" s="2" t="s">
        <v>541</v>
      </c>
      <c r="B11" s="3">
        <v>43713</v>
      </c>
      <c r="C11" s="2" t="s">
        <v>542</v>
      </c>
      <c r="D11" t="s">
        <v>6146</v>
      </c>
      <c r="E11" s="2">
        <v>1</v>
      </c>
      <c r="F11" s="2" t="str">
        <f>IFERROR(INDEX(customers!B$1:B$1001, MATCH(C11, customers!A$1:A$1001, 0)), "Not Found")</f>
        <v>Rodger Raven</v>
      </c>
      <c r="G11" s="2" t="str">
        <f>IF(IFERROR(INDEX(customers!C$1:C$1001, MATCH(C11, customers!A$1:A$1001, 0)), "Not Found")=0,"",IFERROR(INDEX(customers!C$1:C$1001, MATCH(C11, customers!A$1:A$1001, 0)), "Not Found"))</f>
        <v>rraven9@ed.gov</v>
      </c>
      <c r="H11" s="2" t="str">
        <f>IFERROR(INDEX(customers!G$1:G$1001, MATCH(C11, customers!A$1:A$1001, 0)), "Not Found")</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L11*E11</f>
        <v>5.97</v>
      </c>
      <c r="N11" t="str">
        <f>IF(I11="Rob","Robusta",IF(I11="Exc","Excelsa",IF(I11="Ara","Arabica",IF(I11="Lib","Laberica",""))))</f>
        <v>Robusta</v>
      </c>
      <c r="O11" t="str">
        <f t="shared" si="0"/>
        <v>Medium</v>
      </c>
      <c r="P11" t="str">
        <f>INDEX(customers!$I$1:$I$1001, MATCH(Orders[[#This Row],[Customer ID]], customers!$A$1:$A$1001, 0))</f>
        <v>No</v>
      </c>
    </row>
    <row r="12" spans="1:16" x14ac:dyDescent="0.25">
      <c r="A12" s="2" t="s">
        <v>547</v>
      </c>
      <c r="B12" s="3">
        <v>44263</v>
      </c>
      <c r="C12" s="2" t="s">
        <v>548</v>
      </c>
      <c r="D12" t="s">
        <v>6147</v>
      </c>
      <c r="E12" s="2">
        <v>4</v>
      </c>
      <c r="F12" s="2" t="str">
        <f>IFERROR(INDEX(customers!B$1:B$1001, MATCH(C12, customers!A$1:A$1001, 0)), "Not Found")</f>
        <v>Ferrell Ferber</v>
      </c>
      <c r="G12" s="2" t="str">
        <f>IF(IFERROR(INDEX(customers!C$1:C$1001, MATCH(C12, customers!A$1:A$1001, 0)), "Not Found")=0,"",IFERROR(INDEX(customers!C$1:C$1001, MATCH(C12, customers!A$1:A$1001, 0)), "Not Found"))</f>
        <v>fferbera@businesswire.com</v>
      </c>
      <c r="H12" s="2" t="str">
        <f>IFERROR(INDEX(customers!G$1:G$1001, MATCH(C12, customers!A$1:A$1001, 0)), "Not Found")</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L12*E12</f>
        <v>39.799999999999997</v>
      </c>
      <c r="N12" t="str">
        <f>IF(I12="Rob","Robusta",IF(I12="Exc","Excelsa",IF(I12="Ara","Arabica",IF(I12="Lib","Laberica",""))))</f>
        <v>Arabica</v>
      </c>
      <c r="O12" t="str">
        <f t="shared" si="0"/>
        <v>Dark</v>
      </c>
      <c r="P12" t="str">
        <f>INDEX(customers!$I$1:$I$1001, MATCH(Orders[[#This Row],[Customer ID]], customers!$A$1:$A$1001, 0))</f>
        <v>No</v>
      </c>
    </row>
    <row r="13" spans="1:16" x14ac:dyDescent="0.25">
      <c r="A13" s="2" t="s">
        <v>553</v>
      </c>
      <c r="B13" s="3">
        <v>44132</v>
      </c>
      <c r="C13" s="2" t="s">
        <v>554</v>
      </c>
      <c r="D13" t="s">
        <v>6148</v>
      </c>
      <c r="E13" s="2">
        <v>5</v>
      </c>
      <c r="F13" s="2" t="str">
        <f>IFERROR(INDEX(customers!B$1:B$1001, MATCH(C13, customers!A$1:A$1001, 0)), "Not Found")</f>
        <v>Duky Phizackerly</v>
      </c>
      <c r="G13" s="2" t="str">
        <f>IF(IFERROR(INDEX(customers!C$1:C$1001, MATCH(C13, customers!A$1:A$1001, 0)), "Not Found")=0,"",IFERROR(INDEX(customers!C$1:C$1001, MATCH(C13, customers!A$1:A$1001, 0)), "Not Found"))</f>
        <v>dphizackerlyb@utexas.edu</v>
      </c>
      <c r="H13" s="2" t="str">
        <f>IFERROR(INDEX(customers!G$1:G$1001, MATCH(C13, customers!A$1:A$1001, 0)), "Not Found")</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L13*E13</f>
        <v>170.77499999999998</v>
      </c>
      <c r="N13" t="str">
        <f>IF(I13="Rob","Robusta",IF(I13="Exc","Excelsa",IF(I13="Ara","Arabica",IF(I13="Lib","Laberica",""))))</f>
        <v>Excelsa</v>
      </c>
      <c r="O13" t="str">
        <f t="shared" si="0"/>
        <v>Light</v>
      </c>
      <c r="P13" t="str">
        <f>INDEX(customers!$I$1:$I$1001, MATCH(Orders[[#This Row],[Customer ID]], customers!$A$1:$A$1001, 0))</f>
        <v>Yes</v>
      </c>
    </row>
    <row r="14" spans="1:16" x14ac:dyDescent="0.25">
      <c r="A14" s="2" t="s">
        <v>559</v>
      </c>
      <c r="B14" s="3">
        <v>44744</v>
      </c>
      <c r="C14" s="2" t="s">
        <v>560</v>
      </c>
      <c r="D14" t="s">
        <v>6138</v>
      </c>
      <c r="E14" s="2">
        <v>5</v>
      </c>
      <c r="F14" s="2" t="str">
        <f>IFERROR(INDEX(customers!B$1:B$1001, MATCH(C14, customers!A$1:A$1001, 0)), "Not Found")</f>
        <v>Rosaleen Scholar</v>
      </c>
      <c r="G14" s="2" t="str">
        <f>IF(IFERROR(INDEX(customers!C$1:C$1001, MATCH(C14, customers!A$1:A$1001, 0)), "Not Found")=0,"",IFERROR(INDEX(customers!C$1:C$1001, MATCH(C14, customers!A$1:A$1001, 0)), "Not Found"))</f>
        <v>rscholarc@nyu.edu</v>
      </c>
      <c r="H14" s="2" t="str">
        <f>IFERROR(INDEX(customers!G$1:G$1001, MATCH(C14, customers!A$1:A$1001, 0)), "Not Found")</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L14*E14</f>
        <v>49.75</v>
      </c>
      <c r="N14" t="str">
        <f>IF(I14="Rob","Robusta",IF(I14="Exc","Excelsa",IF(I14="Ara","Arabica",IF(I14="Lib","Laberica",""))))</f>
        <v>Robusta</v>
      </c>
      <c r="O14" t="str">
        <f t="shared" si="0"/>
        <v>Medium</v>
      </c>
      <c r="P14" t="str">
        <f>INDEX(customers!$I$1:$I$1001, MATCH(Orders[[#This Row],[Customer ID]], customers!$A$1:$A$1001, 0))</f>
        <v>No</v>
      </c>
    </row>
    <row r="15" spans="1:16" x14ac:dyDescent="0.25">
      <c r="A15" s="2" t="s">
        <v>565</v>
      </c>
      <c r="B15" s="3">
        <v>43973</v>
      </c>
      <c r="C15" s="2" t="s">
        <v>566</v>
      </c>
      <c r="D15" t="s">
        <v>6149</v>
      </c>
      <c r="E15" s="2">
        <v>2</v>
      </c>
      <c r="F15" s="2" t="str">
        <f>IFERROR(INDEX(customers!B$1:B$1001, MATCH(C15, customers!A$1:A$1001, 0)), "Not Found")</f>
        <v>Terence Vanyutin</v>
      </c>
      <c r="G15" s="2" t="str">
        <f>IF(IFERROR(INDEX(customers!C$1:C$1001, MATCH(C15, customers!A$1:A$1001, 0)), "Not Found")=0,"",IFERROR(INDEX(customers!C$1:C$1001, MATCH(C15, customers!A$1:A$1001, 0)), "Not Found"))</f>
        <v>tvanyutind@wix.com</v>
      </c>
      <c r="H15" s="2" t="str">
        <f>IFERROR(INDEX(customers!G$1:G$1001, MATCH(C15, customers!A$1:A$1001, 0)), "Not Found")</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L15*E15</f>
        <v>41.169999999999995</v>
      </c>
      <c r="N15" t="str">
        <f>IF(I15="Rob","Robusta",IF(I15="Exc","Excelsa",IF(I15="Ara","Arabica",IF(I15="Lib","Laberica",""))))</f>
        <v>Robusta</v>
      </c>
      <c r="O15" t="str">
        <f t="shared" si="0"/>
        <v>Dark</v>
      </c>
      <c r="P15" t="str">
        <f>INDEX(customers!$I$1:$I$1001, MATCH(Orders[[#This Row],[Customer ID]], customers!$A$1:$A$1001, 0))</f>
        <v>No</v>
      </c>
    </row>
    <row r="16" spans="1:16" x14ac:dyDescent="0.25">
      <c r="A16" s="2" t="s">
        <v>570</v>
      </c>
      <c r="B16" s="3">
        <v>44656</v>
      </c>
      <c r="C16" s="2" t="s">
        <v>571</v>
      </c>
      <c r="D16" t="s">
        <v>6150</v>
      </c>
      <c r="E16" s="2">
        <v>3</v>
      </c>
      <c r="F16" s="2" t="str">
        <f>IFERROR(INDEX(customers!B$1:B$1001, MATCH(C16, customers!A$1:A$1001, 0)), "Not Found")</f>
        <v>Patrice Trobe</v>
      </c>
      <c r="G16" s="2" t="str">
        <f>IF(IFERROR(INDEX(customers!C$1:C$1001, MATCH(C16, customers!A$1:A$1001, 0)), "Not Found")=0,"",IFERROR(INDEX(customers!C$1:C$1001, MATCH(C16, customers!A$1:A$1001, 0)), "Not Found"))</f>
        <v>ptrobee@wunderground.com</v>
      </c>
      <c r="H16" s="2" t="str">
        <f>IFERROR(INDEX(customers!G$1:G$1001, MATCH(C16, customers!A$1:A$1001, 0)), "Not Found")</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L16*E16</f>
        <v>11.654999999999999</v>
      </c>
      <c r="N16" t="str">
        <f>IF(I16="Rob","Robusta",IF(I16="Exc","Excelsa",IF(I16="Ara","Arabica",IF(I16="Lib","Laberica",""))))</f>
        <v>Laberica</v>
      </c>
      <c r="O16" t="str">
        <f t="shared" si="0"/>
        <v>Dark</v>
      </c>
      <c r="P16" t="str">
        <f>INDEX(customers!$I$1:$I$1001, MATCH(Orders[[#This Row],[Customer ID]], customers!$A$1:$A$1001, 0))</f>
        <v>Yes</v>
      </c>
    </row>
    <row r="17" spans="1:16" x14ac:dyDescent="0.25">
      <c r="A17" s="2" t="s">
        <v>576</v>
      </c>
      <c r="B17" s="3">
        <v>44719</v>
      </c>
      <c r="C17" s="2" t="s">
        <v>577</v>
      </c>
      <c r="D17" t="s">
        <v>6151</v>
      </c>
      <c r="E17" s="2">
        <v>5</v>
      </c>
      <c r="F17" s="2" t="str">
        <f>IFERROR(INDEX(customers!B$1:B$1001, MATCH(C17, customers!A$1:A$1001, 0)), "Not Found")</f>
        <v>Llywellyn Oscroft</v>
      </c>
      <c r="G17" s="2" t="str">
        <f>IF(IFERROR(INDEX(customers!C$1:C$1001, MATCH(C17, customers!A$1:A$1001, 0)), "Not Found")=0,"",IFERROR(INDEX(customers!C$1:C$1001, MATCH(C17, customers!A$1:A$1001, 0)), "Not Found"))</f>
        <v>loscroftf@ebay.co.uk</v>
      </c>
      <c r="H17" s="2" t="str">
        <f>IFERROR(INDEX(customers!G$1:G$1001, MATCH(C17, customers!A$1:A$1001, 0)), "Not Found")</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L17*E17</f>
        <v>114.42499999999998</v>
      </c>
      <c r="N17" t="str">
        <f>IF(I17="Rob","Robusta",IF(I17="Exc","Excelsa",IF(I17="Ara","Arabica",IF(I17="Lib","Laberica",""))))</f>
        <v>Robusta</v>
      </c>
      <c r="O17" t="str">
        <f t="shared" si="0"/>
        <v>Medium</v>
      </c>
      <c r="P17" t="str">
        <f>INDEX(customers!$I$1:$I$1001, MATCH(Orders[[#This Row],[Customer ID]], customers!$A$1:$A$1001, 0))</f>
        <v>No</v>
      </c>
    </row>
    <row r="18" spans="1:16" x14ac:dyDescent="0.25">
      <c r="A18" s="2" t="s">
        <v>581</v>
      </c>
      <c r="B18" s="3">
        <v>43544</v>
      </c>
      <c r="C18" s="2" t="s">
        <v>582</v>
      </c>
      <c r="D18" t="s">
        <v>6152</v>
      </c>
      <c r="E18" s="2">
        <v>6</v>
      </c>
      <c r="F18" s="2" t="str">
        <f>IFERROR(INDEX(customers!B$1:B$1001, MATCH(C18, customers!A$1:A$1001, 0)), "Not Found")</f>
        <v>Minni Alabaster</v>
      </c>
      <c r="G18" s="2" t="str">
        <f>IF(IFERROR(INDEX(customers!C$1:C$1001, MATCH(C18, customers!A$1:A$1001, 0)), "Not Found")=0,"",IFERROR(INDEX(customers!C$1:C$1001, MATCH(C18, customers!A$1:A$1001, 0)), "Not Found"))</f>
        <v>malabasterg@hexun.com</v>
      </c>
      <c r="H18" s="2" t="str">
        <f>IFERROR(INDEX(customers!G$1:G$1001, MATCH(C18, customers!A$1:A$1001, 0)), "Not Found")</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L18*E18</f>
        <v>20.25</v>
      </c>
      <c r="N18" t="str">
        <f>IF(I18="Rob","Robusta",IF(I18="Exc","Excelsa",IF(I18="Ara","Arabica",IF(I18="Lib","Laberica",""))))</f>
        <v>Arabica</v>
      </c>
      <c r="O18" t="str">
        <f t="shared" si="0"/>
        <v>Medium</v>
      </c>
      <c r="P18" t="str">
        <f>INDEX(customers!$I$1:$I$1001, MATCH(Orders[[#This Row],[Customer ID]], customers!$A$1:$A$1001, 0))</f>
        <v>No</v>
      </c>
    </row>
    <row r="19" spans="1:16" x14ac:dyDescent="0.25">
      <c r="A19" s="2" t="s">
        <v>587</v>
      </c>
      <c r="B19" s="3">
        <v>43757</v>
      </c>
      <c r="C19" s="2" t="s">
        <v>588</v>
      </c>
      <c r="D19" t="s">
        <v>6140</v>
      </c>
      <c r="E19" s="2">
        <v>6</v>
      </c>
      <c r="F19" s="2" t="str">
        <f>IFERROR(INDEX(customers!B$1:B$1001, MATCH(C19, customers!A$1:A$1001, 0)), "Not Found")</f>
        <v>Rhianon Broxup</v>
      </c>
      <c r="G19" s="2" t="str">
        <f>IF(IFERROR(INDEX(customers!C$1:C$1001, MATCH(C19, customers!A$1:A$1001, 0)), "Not Found")=0,"",IFERROR(INDEX(customers!C$1:C$1001, MATCH(C19, customers!A$1:A$1001, 0)), "Not Found"))</f>
        <v>rbroxuph@jimdo.com</v>
      </c>
      <c r="H19" s="2" t="str">
        <f>IFERROR(INDEX(customers!G$1:G$1001, MATCH(C19, customers!A$1:A$1001, 0)), "Not Found")</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L19*E19</f>
        <v>77.699999999999989</v>
      </c>
      <c r="N19" t="str">
        <f>IF(I19="Rob","Robusta",IF(I19="Exc","Excelsa",IF(I19="Ara","Arabica",IF(I19="Lib","Laberica",""))))</f>
        <v>Arabica</v>
      </c>
      <c r="O19" t="str">
        <f t="shared" si="0"/>
        <v>Light</v>
      </c>
      <c r="P19" t="str">
        <f>INDEX(customers!$I$1:$I$1001, MATCH(Orders[[#This Row],[Customer ID]], customers!$A$1:$A$1001, 0))</f>
        <v>No</v>
      </c>
    </row>
    <row r="20" spans="1:16" x14ac:dyDescent="0.25">
      <c r="A20" s="2" t="s">
        <v>593</v>
      </c>
      <c r="B20" s="3">
        <v>43629</v>
      </c>
      <c r="C20" s="2" t="s">
        <v>594</v>
      </c>
      <c r="D20" t="s">
        <v>6149</v>
      </c>
      <c r="E20" s="2">
        <v>4</v>
      </c>
      <c r="F20" s="2" t="str">
        <f>IFERROR(INDEX(customers!B$1:B$1001, MATCH(C20, customers!A$1:A$1001, 0)), "Not Found")</f>
        <v>Pall Redford</v>
      </c>
      <c r="G20" s="2" t="str">
        <f>IF(IFERROR(INDEX(customers!C$1:C$1001, MATCH(C20, customers!A$1:A$1001, 0)), "Not Found")=0,"",IFERROR(INDEX(customers!C$1:C$1001, MATCH(C20, customers!A$1:A$1001, 0)), "Not Found"))</f>
        <v>predfordi@ow.ly</v>
      </c>
      <c r="H20" s="2" t="str">
        <f>IFERROR(INDEX(customers!G$1:G$1001, MATCH(C20, customers!A$1:A$1001, 0)), "Not Found")</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L20*E20</f>
        <v>82.339999999999989</v>
      </c>
      <c r="N20" t="str">
        <f>IF(I20="Rob","Robusta",IF(I20="Exc","Excelsa",IF(I20="Ara","Arabica",IF(I20="Lib","Laberica",""))))</f>
        <v>Robusta</v>
      </c>
      <c r="O20" t="str">
        <f t="shared" si="0"/>
        <v>Dark</v>
      </c>
      <c r="P20" t="str">
        <f>INDEX(customers!$I$1:$I$1001, MATCH(Orders[[#This Row],[Customer ID]], customers!$A$1:$A$1001, 0))</f>
        <v>Yes</v>
      </c>
    </row>
    <row r="21" spans="1:16" x14ac:dyDescent="0.25">
      <c r="A21" s="2" t="s">
        <v>598</v>
      </c>
      <c r="B21" s="3">
        <v>44169</v>
      </c>
      <c r="C21" s="2" t="s">
        <v>599</v>
      </c>
      <c r="D21" t="s">
        <v>6152</v>
      </c>
      <c r="E21" s="2">
        <v>5</v>
      </c>
      <c r="F21" s="2" t="str">
        <f>IFERROR(INDEX(customers!B$1:B$1001, MATCH(C21, customers!A$1:A$1001, 0)), "Not Found")</f>
        <v>Aurea Corradino</v>
      </c>
      <c r="G21" s="2" t="str">
        <f>IF(IFERROR(INDEX(customers!C$1:C$1001, MATCH(C21, customers!A$1:A$1001, 0)), "Not Found")=0,"",IFERROR(INDEX(customers!C$1:C$1001, MATCH(C21, customers!A$1:A$1001, 0)), "Not Found"))</f>
        <v>acorradinoj@harvard.edu</v>
      </c>
      <c r="H21" s="2" t="str">
        <f>IFERROR(INDEX(customers!G$1:G$1001, MATCH(C21, customers!A$1:A$1001, 0)), "Not Found")</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L21*E21</f>
        <v>16.875</v>
      </c>
      <c r="N21" t="str">
        <f>IF(I21="Rob","Robusta",IF(I21="Exc","Excelsa",IF(I21="Ara","Arabica",IF(I21="Lib","Laberica",""))))</f>
        <v>Arabica</v>
      </c>
      <c r="O21" t="str">
        <f t="shared" si="0"/>
        <v>Medium</v>
      </c>
      <c r="P21" t="str">
        <f>INDEX(customers!$I$1:$I$1001, MATCH(Orders[[#This Row],[Customer ID]], customers!$A$1:$A$1001, 0))</f>
        <v>Yes</v>
      </c>
    </row>
    <row r="22" spans="1:16" x14ac:dyDescent="0.25">
      <c r="A22" s="2" t="s">
        <v>598</v>
      </c>
      <c r="B22" s="3">
        <v>44169</v>
      </c>
      <c r="C22" s="2" t="s">
        <v>599</v>
      </c>
      <c r="D22" t="s">
        <v>6153</v>
      </c>
      <c r="E22" s="2">
        <v>4</v>
      </c>
      <c r="F22" s="2" t="str">
        <f>IFERROR(INDEX(customers!B$1:B$1001, MATCH(C22, customers!A$1:A$1001, 0)), "Not Found")</f>
        <v>Aurea Corradino</v>
      </c>
      <c r="G22" s="2" t="str">
        <f>IF(IFERROR(INDEX(customers!C$1:C$1001, MATCH(C22, customers!A$1:A$1001, 0)), "Not Found")=0,"",IFERROR(INDEX(customers!C$1:C$1001, MATCH(C22, customers!A$1:A$1001, 0)), "Not Found"))</f>
        <v>acorradinoj@harvard.edu</v>
      </c>
      <c r="H22" s="2" t="str">
        <f>IFERROR(INDEX(customers!G$1:G$1001, MATCH(C22, customers!A$1:A$1001, 0)), "Not Found")</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L22*E22</f>
        <v>14.58</v>
      </c>
      <c r="N22" t="str">
        <f>IF(I22="Rob","Robusta",IF(I22="Exc","Excelsa",IF(I22="Ara","Arabica",IF(I22="Lib","Laberica",""))))</f>
        <v>Excelsa</v>
      </c>
      <c r="O22" t="str">
        <f t="shared" si="0"/>
        <v>Dark</v>
      </c>
      <c r="P22" t="str">
        <f>INDEX(customers!$I$1:$I$1001, MATCH(Orders[[#This Row],[Customer ID]], customers!$A$1:$A$1001, 0))</f>
        <v>Yes</v>
      </c>
    </row>
    <row r="23" spans="1:16" x14ac:dyDescent="0.25">
      <c r="A23" s="2" t="s">
        <v>608</v>
      </c>
      <c r="B23" s="3">
        <v>44169</v>
      </c>
      <c r="C23" s="2" t="s">
        <v>609</v>
      </c>
      <c r="D23" t="s">
        <v>6154</v>
      </c>
      <c r="E23" s="2">
        <v>6</v>
      </c>
      <c r="F23" s="2" t="str">
        <f>IFERROR(INDEX(customers!B$1:B$1001, MATCH(C23, customers!A$1:A$1001, 0)), "Not Found")</f>
        <v>Avrit Davidowsky</v>
      </c>
      <c r="G23" s="2" t="str">
        <f>IF(IFERROR(INDEX(customers!C$1:C$1001, MATCH(C23, customers!A$1:A$1001, 0)), "Not Found")=0,"",IFERROR(INDEX(customers!C$1:C$1001, MATCH(C23, customers!A$1:A$1001, 0)), "Not Found"))</f>
        <v>adavidowskyl@netvibes.com</v>
      </c>
      <c r="H23" s="2" t="str">
        <f>IFERROR(INDEX(customers!G$1:G$1001, MATCH(C23, customers!A$1:A$1001, 0)), "Not Found")</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L23*E23</f>
        <v>17.91</v>
      </c>
      <c r="N23" t="str">
        <f>IF(I23="Rob","Robusta",IF(I23="Exc","Excelsa",IF(I23="Ara","Arabica",IF(I23="Lib","Laberica",""))))</f>
        <v>Arabica</v>
      </c>
      <c r="O23" t="str">
        <f t="shared" si="0"/>
        <v>Dark</v>
      </c>
      <c r="P23" t="str">
        <f>INDEX(customers!$I$1:$I$1001, MATCH(Orders[[#This Row],[Customer ID]], customers!$A$1:$A$1001, 0))</f>
        <v>No</v>
      </c>
    </row>
    <row r="24" spans="1:16" x14ac:dyDescent="0.25">
      <c r="A24" s="2" t="s">
        <v>614</v>
      </c>
      <c r="B24" s="3">
        <v>44218</v>
      </c>
      <c r="C24" s="2" t="s">
        <v>615</v>
      </c>
      <c r="D24" t="s">
        <v>6151</v>
      </c>
      <c r="E24" s="2">
        <v>4</v>
      </c>
      <c r="F24" s="2" t="str">
        <f>IFERROR(INDEX(customers!B$1:B$1001, MATCH(C24, customers!A$1:A$1001, 0)), "Not Found")</f>
        <v>Annabel Antuk</v>
      </c>
      <c r="G24" s="2" t="str">
        <f>IF(IFERROR(INDEX(customers!C$1:C$1001, MATCH(C24, customers!A$1:A$1001, 0)), "Not Found")=0,"",IFERROR(INDEX(customers!C$1:C$1001, MATCH(C24, customers!A$1:A$1001, 0)), "Not Found"))</f>
        <v>aantukm@kickstarter.com</v>
      </c>
      <c r="H24" s="2" t="str">
        <f>IFERROR(INDEX(customers!G$1:G$1001, MATCH(C24, customers!A$1:A$1001, 0)), "Not Found")</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L24*E24</f>
        <v>91.539999999999992</v>
      </c>
      <c r="N24" t="str">
        <f>IF(I24="Rob","Robusta",IF(I24="Exc","Excelsa",IF(I24="Ara","Arabica",IF(I24="Lib","Laberica",""))))</f>
        <v>Robusta</v>
      </c>
      <c r="O24" t="str">
        <f t="shared" si="0"/>
        <v>Medium</v>
      </c>
      <c r="P24" t="str">
        <f>INDEX(customers!$I$1:$I$1001, MATCH(Orders[[#This Row],[Customer ID]], customers!$A$1:$A$1001, 0))</f>
        <v>Yes</v>
      </c>
    </row>
    <row r="25" spans="1:16" x14ac:dyDescent="0.25">
      <c r="A25" s="2" t="s">
        <v>620</v>
      </c>
      <c r="B25" s="3">
        <v>44603</v>
      </c>
      <c r="C25" s="2" t="s">
        <v>621</v>
      </c>
      <c r="D25" t="s">
        <v>6154</v>
      </c>
      <c r="E25" s="2">
        <v>4</v>
      </c>
      <c r="F25" s="2" t="str">
        <f>IFERROR(INDEX(customers!B$1:B$1001, MATCH(C25, customers!A$1:A$1001, 0)), "Not Found")</f>
        <v>Iorgo Kleinert</v>
      </c>
      <c r="G25" s="2" t="str">
        <f>IF(IFERROR(INDEX(customers!C$1:C$1001, MATCH(C25, customers!A$1:A$1001, 0)), "Not Found")=0,"",IFERROR(INDEX(customers!C$1:C$1001, MATCH(C25, customers!A$1:A$1001, 0)), "Not Found"))</f>
        <v>ikleinertn@timesonline.co.uk</v>
      </c>
      <c r="H25" s="2" t="str">
        <f>IFERROR(INDEX(customers!G$1:G$1001, MATCH(C25, customers!A$1:A$1001, 0)), "Not Found")</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L25*E25</f>
        <v>11.94</v>
      </c>
      <c r="N25" t="str">
        <f>IF(I25="Rob","Robusta",IF(I25="Exc","Excelsa",IF(I25="Ara","Arabica",IF(I25="Lib","Laberica",""))))</f>
        <v>Arabica</v>
      </c>
      <c r="O25" t="str">
        <f t="shared" si="0"/>
        <v>Dark</v>
      </c>
      <c r="P25" t="str">
        <f>INDEX(customers!$I$1:$I$1001, MATCH(Orders[[#This Row],[Customer ID]], customers!$A$1:$A$1001, 0))</f>
        <v>Yes</v>
      </c>
    </row>
    <row r="26" spans="1:16" x14ac:dyDescent="0.25">
      <c r="A26" s="2" t="s">
        <v>626</v>
      </c>
      <c r="B26" s="3">
        <v>44454</v>
      </c>
      <c r="C26" s="2" t="s">
        <v>627</v>
      </c>
      <c r="D26" t="s">
        <v>6155</v>
      </c>
      <c r="E26" s="2">
        <v>1</v>
      </c>
      <c r="F26" s="2" t="str">
        <f>IFERROR(INDEX(customers!B$1:B$1001, MATCH(C26, customers!A$1:A$1001, 0)), "Not Found")</f>
        <v>Chrisy Blofeld</v>
      </c>
      <c r="G26" s="2" t="str">
        <f>IF(IFERROR(INDEX(customers!C$1:C$1001, MATCH(C26, customers!A$1:A$1001, 0)), "Not Found")=0,"",IFERROR(INDEX(customers!C$1:C$1001, MATCH(C26, customers!A$1:A$1001, 0)), "Not Found"))</f>
        <v>cblofeldo@amazon.co.uk</v>
      </c>
      <c r="H26" s="2" t="str">
        <f>IFERROR(INDEX(customers!G$1:G$1001, MATCH(C26, customers!A$1:A$1001, 0)), "Not Found")</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L26*E26</f>
        <v>11.25</v>
      </c>
      <c r="N26" t="str">
        <f>IF(I26="Rob","Robusta",IF(I26="Exc","Excelsa",IF(I26="Ara","Arabica",IF(I26="Lib","Laberica",""))))</f>
        <v>Arabica</v>
      </c>
      <c r="O26" t="str">
        <f t="shared" si="0"/>
        <v>Medium</v>
      </c>
      <c r="P26" t="str">
        <f>INDEX(customers!$I$1:$I$1001, MATCH(Orders[[#This Row],[Customer ID]], customers!$A$1:$A$1001, 0))</f>
        <v>No</v>
      </c>
    </row>
    <row r="27" spans="1:16" x14ac:dyDescent="0.25">
      <c r="A27" s="2" t="s">
        <v>632</v>
      </c>
      <c r="B27" s="3">
        <v>44128</v>
      </c>
      <c r="C27" s="2" t="s">
        <v>633</v>
      </c>
      <c r="D27" t="s">
        <v>6156</v>
      </c>
      <c r="E27" s="2">
        <v>3</v>
      </c>
      <c r="F27" s="2" t="str">
        <f>IFERROR(INDEX(customers!B$1:B$1001, MATCH(C27, customers!A$1:A$1001, 0)), "Not Found")</f>
        <v>Culley Farris</v>
      </c>
      <c r="G27" s="2" t="str">
        <f>IF(IFERROR(INDEX(customers!C$1:C$1001, MATCH(C27, customers!A$1:A$1001, 0)), "Not Found")=0,"",IFERROR(INDEX(customers!C$1:C$1001, MATCH(C27, customers!A$1:A$1001, 0)), "Not Found"))</f>
        <v/>
      </c>
      <c r="H27" s="2" t="str">
        <f>IFERROR(INDEX(customers!G$1:G$1001, MATCH(C27, customers!A$1:A$1001, 0)), "Not Found")</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L27*E27</f>
        <v>12.375</v>
      </c>
      <c r="N27" t="str">
        <f>IF(I27="Rob","Robusta",IF(I27="Exc","Excelsa",IF(I27="Ara","Arabica",IF(I27="Lib","Laberica",""))))</f>
        <v>Excelsa</v>
      </c>
      <c r="O27" t="str">
        <f t="shared" si="0"/>
        <v>Medium</v>
      </c>
      <c r="P27" t="str">
        <f>INDEX(customers!$I$1:$I$1001, MATCH(Orders[[#This Row],[Customer ID]], customers!$A$1:$A$1001, 0))</f>
        <v>Yes</v>
      </c>
    </row>
    <row r="28" spans="1:16" x14ac:dyDescent="0.25">
      <c r="A28" s="2" t="s">
        <v>637</v>
      </c>
      <c r="B28" s="3">
        <v>43516</v>
      </c>
      <c r="C28" s="2" t="s">
        <v>638</v>
      </c>
      <c r="D28" t="s">
        <v>6157</v>
      </c>
      <c r="E28" s="2">
        <v>4</v>
      </c>
      <c r="F28" s="2" t="str">
        <f>IFERROR(INDEX(customers!B$1:B$1001, MATCH(C28, customers!A$1:A$1001, 0)), "Not Found")</f>
        <v>Selene Shales</v>
      </c>
      <c r="G28" s="2" t="str">
        <f>IF(IFERROR(INDEX(customers!C$1:C$1001, MATCH(C28, customers!A$1:A$1001, 0)), "Not Found")=0,"",IFERROR(INDEX(customers!C$1:C$1001, MATCH(C28, customers!A$1:A$1001, 0)), "Not Found"))</f>
        <v>sshalesq@umich.edu</v>
      </c>
      <c r="H28" s="2" t="str">
        <f>IFERROR(INDEX(customers!G$1:G$1001, MATCH(C28, customers!A$1:A$1001, 0)), "Not Found")</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L28*E28</f>
        <v>27</v>
      </c>
      <c r="N28" t="str">
        <f>IF(I28="Rob","Robusta",IF(I28="Exc","Excelsa",IF(I28="Ara","Arabica",IF(I28="Lib","Laberica",""))))</f>
        <v>Arabica</v>
      </c>
      <c r="O28" t="str">
        <f t="shared" si="0"/>
        <v>Medium</v>
      </c>
      <c r="P28" t="str">
        <f>INDEX(customers!$I$1:$I$1001, MATCH(Orders[[#This Row],[Customer ID]], customers!$A$1:$A$1001, 0))</f>
        <v>Yes</v>
      </c>
    </row>
    <row r="29" spans="1:16" x14ac:dyDescent="0.25">
      <c r="A29" s="2" t="s">
        <v>643</v>
      </c>
      <c r="B29" s="3">
        <v>43746</v>
      </c>
      <c r="C29" s="2" t="s">
        <v>644</v>
      </c>
      <c r="D29" t="s">
        <v>6152</v>
      </c>
      <c r="E29" s="2">
        <v>5</v>
      </c>
      <c r="F29" s="2" t="str">
        <f>IFERROR(INDEX(customers!B$1:B$1001, MATCH(C29, customers!A$1:A$1001, 0)), "Not Found")</f>
        <v>Vivie Danneil</v>
      </c>
      <c r="G29" s="2" t="str">
        <f>IF(IFERROR(INDEX(customers!C$1:C$1001, MATCH(C29, customers!A$1:A$1001, 0)), "Not Found")=0,"",IFERROR(INDEX(customers!C$1:C$1001, MATCH(C29, customers!A$1:A$1001, 0)), "Not Found"))</f>
        <v>vdanneilr@mtv.com</v>
      </c>
      <c r="H29" s="2" t="str">
        <f>IFERROR(INDEX(customers!G$1:G$1001, MATCH(C29, customers!A$1:A$1001, 0)), "Not Found")</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L29*E29</f>
        <v>16.875</v>
      </c>
      <c r="N29" t="str">
        <f>IF(I29="Rob","Robusta",IF(I29="Exc","Excelsa",IF(I29="Ara","Arabica",IF(I29="Lib","Laberica",""))))</f>
        <v>Arabica</v>
      </c>
      <c r="O29" t="str">
        <f t="shared" si="0"/>
        <v>Medium</v>
      </c>
      <c r="P29" t="str">
        <f>INDEX(customers!$I$1:$I$1001, MATCH(Orders[[#This Row],[Customer ID]], customers!$A$1:$A$1001, 0))</f>
        <v>No</v>
      </c>
    </row>
    <row r="30" spans="1:16" x14ac:dyDescent="0.25">
      <c r="A30" s="2" t="s">
        <v>649</v>
      </c>
      <c r="B30" s="3">
        <v>44775</v>
      </c>
      <c r="C30" s="2" t="s">
        <v>650</v>
      </c>
      <c r="D30" t="s">
        <v>6158</v>
      </c>
      <c r="E30" s="2">
        <v>3</v>
      </c>
      <c r="F30" s="2" t="str">
        <f>IFERROR(INDEX(customers!B$1:B$1001, MATCH(C30, customers!A$1:A$1001, 0)), "Not Found")</f>
        <v>Theresita Newbury</v>
      </c>
      <c r="G30" s="2" t="str">
        <f>IF(IFERROR(INDEX(customers!C$1:C$1001, MATCH(C30, customers!A$1:A$1001, 0)), "Not Found")=0,"",IFERROR(INDEX(customers!C$1:C$1001, MATCH(C30, customers!A$1:A$1001, 0)), "Not Found"))</f>
        <v>tnewburys@usda.gov</v>
      </c>
      <c r="H30" s="2" t="str">
        <f>IFERROR(INDEX(customers!G$1:G$1001, MATCH(C30, customers!A$1:A$1001, 0)), "Not Found")</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L30*E30</f>
        <v>17.91</v>
      </c>
      <c r="N30" t="str">
        <f>IF(I30="Rob","Robusta",IF(I30="Exc","Excelsa",IF(I30="Ara","Arabica",IF(I30="Lib","Laberica",""))))</f>
        <v>Arabica</v>
      </c>
      <c r="O30" t="str">
        <f t="shared" si="0"/>
        <v>Dark</v>
      </c>
      <c r="P30" t="str">
        <f>INDEX(customers!$I$1:$I$1001, MATCH(Orders[[#This Row],[Customer ID]], customers!$A$1:$A$1001, 0))</f>
        <v>No</v>
      </c>
    </row>
    <row r="31" spans="1:16" x14ac:dyDescent="0.25">
      <c r="A31" s="2" t="s">
        <v>655</v>
      </c>
      <c r="B31" s="3">
        <v>43516</v>
      </c>
      <c r="C31" s="2" t="s">
        <v>656</v>
      </c>
      <c r="D31" t="s">
        <v>6147</v>
      </c>
      <c r="E31" s="2">
        <v>4</v>
      </c>
      <c r="F31" s="2" t="str">
        <f>IFERROR(INDEX(customers!B$1:B$1001, MATCH(C31, customers!A$1:A$1001, 0)), "Not Found")</f>
        <v>Mozelle Calcutt</v>
      </c>
      <c r="G31" s="2" t="str">
        <f>IF(IFERROR(INDEX(customers!C$1:C$1001, MATCH(C31, customers!A$1:A$1001, 0)), "Not Found")=0,"",IFERROR(INDEX(customers!C$1:C$1001, MATCH(C31, customers!A$1:A$1001, 0)), "Not Found"))</f>
        <v>mcalcuttt@baidu.com</v>
      </c>
      <c r="H31" s="2" t="str">
        <f>IFERROR(INDEX(customers!G$1:G$1001, MATCH(C31, customers!A$1:A$1001, 0)), "Not Found")</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L31*E31</f>
        <v>39.799999999999997</v>
      </c>
      <c r="N31" t="str">
        <f>IF(I31="Rob","Robusta",IF(I31="Exc","Excelsa",IF(I31="Ara","Arabica",IF(I31="Lib","Laberica",""))))</f>
        <v>Arabica</v>
      </c>
      <c r="O31" t="str">
        <f t="shared" si="0"/>
        <v>Dark</v>
      </c>
      <c r="P31" t="str">
        <f>INDEX(customers!$I$1:$I$1001, MATCH(Orders[[#This Row],[Customer ID]], customers!$A$1:$A$1001, 0))</f>
        <v>Yes</v>
      </c>
    </row>
    <row r="32" spans="1:16" x14ac:dyDescent="0.25">
      <c r="A32" s="2" t="s">
        <v>661</v>
      </c>
      <c r="B32" s="3">
        <v>44464</v>
      </c>
      <c r="C32" s="2" t="s">
        <v>662</v>
      </c>
      <c r="D32" t="s">
        <v>6159</v>
      </c>
      <c r="E32" s="2">
        <v>5</v>
      </c>
      <c r="F32" s="2" t="str">
        <f>IFERROR(INDEX(customers!B$1:B$1001, MATCH(C32, customers!A$1:A$1001, 0)), "Not Found")</f>
        <v>Adrian Swaine</v>
      </c>
      <c r="G32" s="2" t="str">
        <f>IF(IFERROR(INDEX(customers!C$1:C$1001, MATCH(C32, customers!A$1:A$1001, 0)), "Not Found")=0,"",IFERROR(INDEX(customers!C$1:C$1001, MATCH(C32, customers!A$1:A$1001, 0)), "Not Found"))</f>
        <v/>
      </c>
      <c r="H32" s="2" t="str">
        <f>IFERROR(INDEX(customers!G$1:G$1001, MATCH(C32, customers!A$1:A$1001, 0)), "Not Found")</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L32*E32</f>
        <v>21.825000000000003</v>
      </c>
      <c r="N32" t="str">
        <f>IF(I32="Rob","Robusta",IF(I32="Exc","Excelsa",IF(I32="Ara","Arabica",IF(I32="Lib","Laberica",""))))</f>
        <v>Laberica</v>
      </c>
      <c r="O32" t="str">
        <f t="shared" si="0"/>
        <v>Medium</v>
      </c>
      <c r="P32" t="str">
        <f>INDEX(customers!$I$1:$I$1001, MATCH(Orders[[#This Row],[Customer ID]], customers!$A$1:$A$1001, 0))</f>
        <v>No</v>
      </c>
    </row>
    <row r="33" spans="1:16" x14ac:dyDescent="0.25">
      <c r="A33" s="2" t="s">
        <v>661</v>
      </c>
      <c r="B33" s="3">
        <v>44464</v>
      </c>
      <c r="C33" s="2" t="s">
        <v>662</v>
      </c>
      <c r="D33" t="s">
        <v>6158</v>
      </c>
      <c r="E33" s="2">
        <v>6</v>
      </c>
      <c r="F33" s="2" t="str">
        <f>IFERROR(INDEX(customers!B$1:B$1001, MATCH(C33, customers!A$1:A$1001, 0)), "Not Found")</f>
        <v>Adrian Swaine</v>
      </c>
      <c r="G33" s="2" t="str">
        <f>IF(IFERROR(INDEX(customers!C$1:C$1001, MATCH(C33, customers!A$1:A$1001, 0)), "Not Found")=0,"",IFERROR(INDEX(customers!C$1:C$1001, MATCH(C33, customers!A$1:A$1001, 0)), "Not Found"))</f>
        <v/>
      </c>
      <c r="H33" s="2" t="str">
        <f>IFERROR(INDEX(customers!G$1:G$1001, MATCH(C33, customers!A$1:A$1001, 0)), "Not Found")</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L33*E33</f>
        <v>35.82</v>
      </c>
      <c r="N33" t="str">
        <f>IF(I33="Rob","Robusta",IF(I33="Exc","Excelsa",IF(I33="Ara","Arabica",IF(I33="Lib","Laberica",""))))</f>
        <v>Arabica</v>
      </c>
      <c r="O33" t="str">
        <f t="shared" si="0"/>
        <v>Dark</v>
      </c>
      <c r="P33" t="str">
        <f>INDEX(customers!$I$1:$I$1001, MATCH(Orders[[#This Row],[Customer ID]], customers!$A$1:$A$1001, 0))</f>
        <v>No</v>
      </c>
    </row>
    <row r="34" spans="1:16" x14ac:dyDescent="0.25">
      <c r="A34" s="2" t="s">
        <v>661</v>
      </c>
      <c r="B34" s="3">
        <v>44464</v>
      </c>
      <c r="C34" s="2" t="s">
        <v>662</v>
      </c>
      <c r="D34" t="s">
        <v>6160</v>
      </c>
      <c r="E34" s="2">
        <v>6</v>
      </c>
      <c r="F34" s="2" t="str">
        <f>IFERROR(INDEX(customers!B$1:B$1001, MATCH(C34, customers!A$1:A$1001, 0)), "Not Found")</f>
        <v>Adrian Swaine</v>
      </c>
      <c r="G34" s="2" t="str">
        <f>IF(IFERROR(INDEX(customers!C$1:C$1001, MATCH(C34, customers!A$1:A$1001, 0)), "Not Found")=0,"",IFERROR(INDEX(customers!C$1:C$1001, MATCH(C34, customers!A$1:A$1001, 0)), "Not Found"))</f>
        <v/>
      </c>
      <c r="H34" s="2" t="str">
        <f>IFERROR(INDEX(customers!G$1:G$1001, MATCH(C34, customers!A$1:A$1001, 0)), "Not Found")</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L34*E34</f>
        <v>52.38</v>
      </c>
      <c r="N34" t="str">
        <f>IF(I34="Rob","Robusta",IF(I34="Exc","Excelsa",IF(I34="Ara","Arabica",IF(I34="Lib","Laberica",""))))</f>
        <v>Laberica</v>
      </c>
      <c r="O34" t="str">
        <f t="shared" si="0"/>
        <v>Medium</v>
      </c>
      <c r="P34" t="str">
        <f>INDEX(customers!$I$1:$I$1001, MATCH(Orders[[#This Row],[Customer ID]], customers!$A$1:$A$1001, 0))</f>
        <v>No</v>
      </c>
    </row>
    <row r="35" spans="1:16" x14ac:dyDescent="0.25">
      <c r="A35" s="2" t="s">
        <v>676</v>
      </c>
      <c r="B35" s="3">
        <v>44394</v>
      </c>
      <c r="C35" s="2" t="s">
        <v>677</v>
      </c>
      <c r="D35" t="s">
        <v>6145</v>
      </c>
      <c r="E35" s="2">
        <v>5</v>
      </c>
      <c r="F35" s="2" t="str">
        <f>IFERROR(INDEX(customers!B$1:B$1001, MATCH(C35, customers!A$1:A$1001, 0)), "Not Found")</f>
        <v>Gallard Gatheral</v>
      </c>
      <c r="G35" s="2" t="str">
        <f>IF(IFERROR(INDEX(customers!C$1:C$1001, MATCH(C35, customers!A$1:A$1001, 0)), "Not Found")=0,"",IFERROR(INDEX(customers!C$1:C$1001, MATCH(C35, customers!A$1:A$1001, 0)), "Not Found"))</f>
        <v>ggatheralx@123-reg.co.uk</v>
      </c>
      <c r="H35" s="2" t="str">
        <f>IFERROR(INDEX(customers!G$1:G$1001, MATCH(C35, customers!A$1:A$1001, 0)), "Not Found")</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L35*E35</f>
        <v>23.774999999999999</v>
      </c>
      <c r="N35" t="str">
        <f>IF(I35="Rob","Robusta",IF(I35="Exc","Excelsa",IF(I35="Ara","Arabica",IF(I35="Lib","Laberica",""))))</f>
        <v>Laberica</v>
      </c>
      <c r="O35" t="str">
        <f t="shared" si="0"/>
        <v>Light</v>
      </c>
      <c r="P35" t="str">
        <f>INDEX(customers!$I$1:$I$1001, MATCH(Orders[[#This Row],[Customer ID]], customers!$A$1:$A$1001, 0))</f>
        <v>No</v>
      </c>
    </row>
    <row r="36" spans="1:16" x14ac:dyDescent="0.25">
      <c r="A36" s="2" t="s">
        <v>681</v>
      </c>
      <c r="B36" s="3">
        <v>44011</v>
      </c>
      <c r="C36" s="2" t="s">
        <v>682</v>
      </c>
      <c r="D36" t="s">
        <v>6161</v>
      </c>
      <c r="E36" s="2">
        <v>6</v>
      </c>
      <c r="F36" s="2" t="str">
        <f>IFERROR(INDEX(customers!B$1:B$1001, MATCH(C36, customers!A$1:A$1001, 0)), "Not Found")</f>
        <v>Una Welberry</v>
      </c>
      <c r="G36" s="2" t="str">
        <f>IF(IFERROR(INDEX(customers!C$1:C$1001, MATCH(C36, customers!A$1:A$1001, 0)), "Not Found")=0,"",IFERROR(INDEX(customers!C$1:C$1001, MATCH(C36, customers!A$1:A$1001, 0)), "Not Found"))</f>
        <v>uwelberryy@ebay.co.uk</v>
      </c>
      <c r="H36" s="2" t="str">
        <f>IFERROR(INDEX(customers!G$1:G$1001, MATCH(C36, customers!A$1:A$1001, 0)), "Not Found")</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L36*E36</f>
        <v>57.06</v>
      </c>
      <c r="N36" t="str">
        <f>IF(I36="Rob","Robusta",IF(I36="Exc","Excelsa",IF(I36="Ara","Arabica",IF(I36="Lib","Laberica",""))))</f>
        <v>Laberica</v>
      </c>
      <c r="O36" t="str">
        <f t="shared" si="0"/>
        <v>Light</v>
      </c>
      <c r="P36" t="str">
        <f>INDEX(customers!$I$1:$I$1001, MATCH(Orders[[#This Row],[Customer ID]], customers!$A$1:$A$1001, 0))</f>
        <v>Yes</v>
      </c>
    </row>
    <row r="37" spans="1:16" x14ac:dyDescent="0.25">
      <c r="A37" s="2" t="s">
        <v>687</v>
      </c>
      <c r="B37" s="3">
        <v>44348</v>
      </c>
      <c r="C37" s="2" t="s">
        <v>688</v>
      </c>
      <c r="D37" t="s">
        <v>6158</v>
      </c>
      <c r="E37" s="2">
        <v>6</v>
      </c>
      <c r="F37" s="2" t="str">
        <f>IFERROR(INDEX(customers!B$1:B$1001, MATCH(C37, customers!A$1:A$1001, 0)), "Not Found")</f>
        <v>Faber Eilhart</v>
      </c>
      <c r="G37" s="2" t="str">
        <f>IF(IFERROR(INDEX(customers!C$1:C$1001, MATCH(C37, customers!A$1:A$1001, 0)), "Not Found")=0,"",IFERROR(INDEX(customers!C$1:C$1001, MATCH(C37, customers!A$1:A$1001, 0)), "Not Found"))</f>
        <v>feilhartz@who.int</v>
      </c>
      <c r="H37" s="2" t="str">
        <f>IFERROR(INDEX(customers!G$1:G$1001, MATCH(C37, customers!A$1:A$1001, 0)), "Not Found")</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L37*E37</f>
        <v>35.82</v>
      </c>
      <c r="N37" t="str">
        <f>IF(I37="Rob","Robusta",IF(I37="Exc","Excelsa",IF(I37="Ara","Arabica",IF(I37="Lib","Laberica",""))))</f>
        <v>Arabica</v>
      </c>
      <c r="O37" t="str">
        <f t="shared" si="0"/>
        <v>Dark</v>
      </c>
      <c r="P37" t="str">
        <f>INDEX(customers!$I$1:$I$1001, MATCH(Orders[[#This Row],[Customer ID]], customers!$A$1:$A$1001, 0))</f>
        <v>No</v>
      </c>
    </row>
    <row r="38" spans="1:16" x14ac:dyDescent="0.25">
      <c r="A38" s="2" t="s">
        <v>693</v>
      </c>
      <c r="B38" s="3">
        <v>44233</v>
      </c>
      <c r="C38" s="2" t="s">
        <v>694</v>
      </c>
      <c r="D38" t="s">
        <v>6159</v>
      </c>
      <c r="E38" s="2">
        <v>2</v>
      </c>
      <c r="F38" s="2" t="str">
        <f>IFERROR(INDEX(customers!B$1:B$1001, MATCH(C38, customers!A$1:A$1001, 0)), "Not Found")</f>
        <v>Zorina Ponting</v>
      </c>
      <c r="G38" s="2" t="str">
        <f>IF(IFERROR(INDEX(customers!C$1:C$1001, MATCH(C38, customers!A$1:A$1001, 0)), "Not Found")=0,"",IFERROR(INDEX(customers!C$1:C$1001, MATCH(C38, customers!A$1:A$1001, 0)), "Not Found"))</f>
        <v>zponting10@altervista.org</v>
      </c>
      <c r="H38" s="2" t="str">
        <f>IFERROR(INDEX(customers!G$1:G$1001, MATCH(C38, customers!A$1:A$1001, 0)), "Not Found")</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L38*E38</f>
        <v>8.73</v>
      </c>
      <c r="N38" t="str">
        <f>IF(I38="Rob","Robusta",IF(I38="Exc","Excelsa",IF(I38="Ara","Arabica",IF(I38="Lib","Laberica",""))))</f>
        <v>Laberica</v>
      </c>
      <c r="O38" t="str">
        <f t="shared" si="0"/>
        <v>Medium</v>
      </c>
      <c r="P38" t="str">
        <f>INDEX(customers!$I$1:$I$1001, MATCH(Orders[[#This Row],[Customer ID]], customers!$A$1:$A$1001, 0))</f>
        <v>No</v>
      </c>
    </row>
    <row r="39" spans="1:16" x14ac:dyDescent="0.25">
      <c r="A39" s="2" t="s">
        <v>699</v>
      </c>
      <c r="B39" s="3">
        <v>43580</v>
      </c>
      <c r="C39" s="2" t="s">
        <v>700</v>
      </c>
      <c r="D39" t="s">
        <v>6161</v>
      </c>
      <c r="E39" s="2">
        <v>3</v>
      </c>
      <c r="F39" s="2" t="str">
        <f>IFERROR(INDEX(customers!B$1:B$1001, MATCH(C39, customers!A$1:A$1001, 0)), "Not Found")</f>
        <v>Silvio Strase</v>
      </c>
      <c r="G39" s="2" t="str">
        <f>IF(IFERROR(INDEX(customers!C$1:C$1001, MATCH(C39, customers!A$1:A$1001, 0)), "Not Found")=0,"",IFERROR(INDEX(customers!C$1:C$1001, MATCH(C39, customers!A$1:A$1001, 0)), "Not Found"))</f>
        <v>sstrase11@booking.com</v>
      </c>
      <c r="H39" s="2" t="str">
        <f>IFERROR(INDEX(customers!G$1:G$1001, MATCH(C39, customers!A$1:A$1001, 0)), "Not Found")</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L39*E39</f>
        <v>28.53</v>
      </c>
      <c r="N39" t="str">
        <f>IF(I39="Rob","Robusta",IF(I39="Exc","Excelsa",IF(I39="Ara","Arabica",IF(I39="Lib","Laberica",""))))</f>
        <v>Laberica</v>
      </c>
      <c r="O39" t="str">
        <f t="shared" si="0"/>
        <v>Light</v>
      </c>
      <c r="P39" t="str">
        <f>INDEX(customers!$I$1:$I$1001, MATCH(Orders[[#This Row],[Customer ID]], customers!$A$1:$A$1001, 0))</f>
        <v>No</v>
      </c>
    </row>
    <row r="40" spans="1:16" x14ac:dyDescent="0.25">
      <c r="A40" s="2" t="s">
        <v>705</v>
      </c>
      <c r="B40" s="3">
        <v>43946</v>
      </c>
      <c r="C40" s="2" t="s">
        <v>706</v>
      </c>
      <c r="D40" t="s">
        <v>6151</v>
      </c>
      <c r="E40" s="2">
        <v>5</v>
      </c>
      <c r="F40" s="2" t="str">
        <f>IFERROR(INDEX(customers!B$1:B$1001, MATCH(C40, customers!A$1:A$1001, 0)), "Not Found")</f>
        <v>Dorie de la Tremoille</v>
      </c>
      <c r="G40" s="2" t="str">
        <f>IF(IFERROR(INDEX(customers!C$1:C$1001, MATCH(C40, customers!A$1:A$1001, 0)), "Not Found")=0,"",IFERROR(INDEX(customers!C$1:C$1001, MATCH(C40, customers!A$1:A$1001, 0)), "Not Found"))</f>
        <v>dde12@unesco.org</v>
      </c>
      <c r="H40" s="2" t="str">
        <f>IFERROR(INDEX(customers!G$1:G$1001, MATCH(C40, customers!A$1:A$1001, 0)), "Not Found")</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L40*E40</f>
        <v>114.42499999999998</v>
      </c>
      <c r="N40" t="str">
        <f>IF(I40="Rob","Robusta",IF(I40="Exc","Excelsa",IF(I40="Ara","Arabica",IF(I40="Lib","Laberica",""))))</f>
        <v>Robusta</v>
      </c>
      <c r="O40" t="str">
        <f t="shared" si="0"/>
        <v>Medium</v>
      </c>
      <c r="P40" t="str">
        <f>INDEX(customers!$I$1:$I$1001, MATCH(Orders[[#This Row],[Customer ID]], customers!$A$1:$A$1001, 0))</f>
        <v>No</v>
      </c>
    </row>
    <row r="41" spans="1:16" x14ac:dyDescent="0.25">
      <c r="A41" s="2" t="s">
        <v>711</v>
      </c>
      <c r="B41" s="3">
        <v>44524</v>
      </c>
      <c r="C41" s="2" t="s">
        <v>712</v>
      </c>
      <c r="D41" t="s">
        <v>6138</v>
      </c>
      <c r="E41" s="2">
        <v>6</v>
      </c>
      <c r="F41" s="2" t="str">
        <f>IFERROR(INDEX(customers!B$1:B$1001, MATCH(C41, customers!A$1:A$1001, 0)), "Not Found")</f>
        <v>Hy Zanetto</v>
      </c>
      <c r="G41" s="2" t="str">
        <f>IF(IFERROR(INDEX(customers!C$1:C$1001, MATCH(C41, customers!A$1:A$1001, 0)), "Not Found")=0,"",IFERROR(INDEX(customers!C$1:C$1001, MATCH(C41, customers!A$1:A$1001, 0)), "Not Found"))</f>
        <v/>
      </c>
      <c r="H41" s="2" t="str">
        <f>IFERROR(INDEX(customers!G$1:G$1001, MATCH(C41, customers!A$1:A$1001, 0)), "Not Found")</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L41*E41</f>
        <v>59.699999999999996</v>
      </c>
      <c r="N41" t="str">
        <f>IF(I41="Rob","Robusta",IF(I41="Exc","Excelsa",IF(I41="Ara","Arabica",IF(I41="Lib","Laberica",""))))</f>
        <v>Robusta</v>
      </c>
      <c r="O41" t="str">
        <f t="shared" si="0"/>
        <v>Medium</v>
      </c>
      <c r="P41" t="str">
        <f>INDEX(customers!$I$1:$I$1001, MATCH(Orders[[#This Row],[Customer ID]], customers!$A$1:$A$1001, 0))</f>
        <v>Yes</v>
      </c>
    </row>
    <row r="42" spans="1:16" x14ac:dyDescent="0.25">
      <c r="A42" s="2" t="s">
        <v>715</v>
      </c>
      <c r="B42" s="3">
        <v>44305</v>
      </c>
      <c r="C42" s="2" t="s">
        <v>716</v>
      </c>
      <c r="D42" t="s">
        <v>6162</v>
      </c>
      <c r="E42" s="2">
        <v>3</v>
      </c>
      <c r="F42" s="2" t="str">
        <f>IFERROR(INDEX(customers!B$1:B$1001, MATCH(C42, customers!A$1:A$1001, 0)), "Not Found")</f>
        <v>Jessica McNess</v>
      </c>
      <c r="G42" s="2" t="str">
        <f>IF(IFERROR(INDEX(customers!C$1:C$1001, MATCH(C42, customers!A$1:A$1001, 0)), "Not Found")=0,"",IFERROR(INDEX(customers!C$1:C$1001, MATCH(C42, customers!A$1:A$1001, 0)), "Not Found"))</f>
        <v/>
      </c>
      <c r="H42" s="2" t="str">
        <f>IFERROR(INDEX(customers!G$1:G$1001, MATCH(C42, customers!A$1:A$1001, 0)), "Not Found")</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L42*E42</f>
        <v>43.650000000000006</v>
      </c>
      <c r="N42" t="str">
        <f>IF(I42="Rob","Robusta",IF(I42="Exc","Excelsa",IF(I42="Ara","Arabica",IF(I42="Lib","Laberica",""))))</f>
        <v>Laberica</v>
      </c>
      <c r="O42" t="str">
        <f t="shared" si="0"/>
        <v>Medium</v>
      </c>
      <c r="P42" t="str">
        <f>INDEX(customers!$I$1:$I$1001, MATCH(Orders[[#This Row],[Customer ID]], customers!$A$1:$A$1001, 0))</f>
        <v>No</v>
      </c>
    </row>
    <row r="43" spans="1:16" x14ac:dyDescent="0.25">
      <c r="A43" s="2" t="s">
        <v>720</v>
      </c>
      <c r="B43" s="3">
        <v>44749</v>
      </c>
      <c r="C43" s="2" t="s">
        <v>721</v>
      </c>
      <c r="D43" t="s">
        <v>6153</v>
      </c>
      <c r="E43" s="2">
        <v>2</v>
      </c>
      <c r="F43" s="2" t="str">
        <f>IFERROR(INDEX(customers!B$1:B$1001, MATCH(C43, customers!A$1:A$1001, 0)), "Not Found")</f>
        <v>Lorenzo Yeoland</v>
      </c>
      <c r="G43" s="2" t="str">
        <f>IF(IFERROR(INDEX(customers!C$1:C$1001, MATCH(C43, customers!A$1:A$1001, 0)), "Not Found")=0,"",IFERROR(INDEX(customers!C$1:C$1001, MATCH(C43, customers!A$1:A$1001, 0)), "Not Found"))</f>
        <v>lyeoland15@pbs.org</v>
      </c>
      <c r="H43" s="2" t="str">
        <f>IFERROR(INDEX(customers!G$1:G$1001, MATCH(C43, customers!A$1:A$1001, 0)), "Not Found")</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L43*E43</f>
        <v>7.29</v>
      </c>
      <c r="N43" t="str">
        <f>IF(I43="Rob","Robusta",IF(I43="Exc","Excelsa",IF(I43="Ara","Arabica",IF(I43="Lib","Laberica",""))))</f>
        <v>Excelsa</v>
      </c>
      <c r="O43" t="str">
        <f t="shared" si="0"/>
        <v>Dark</v>
      </c>
      <c r="P43" t="str">
        <f>INDEX(customers!$I$1:$I$1001, MATCH(Orders[[#This Row],[Customer ID]], customers!$A$1:$A$1001, 0))</f>
        <v>Yes</v>
      </c>
    </row>
    <row r="44" spans="1:16" x14ac:dyDescent="0.25">
      <c r="A44" s="2" t="s">
        <v>726</v>
      </c>
      <c r="B44" s="3">
        <v>43607</v>
      </c>
      <c r="C44" s="2" t="s">
        <v>727</v>
      </c>
      <c r="D44" t="s">
        <v>6163</v>
      </c>
      <c r="E44" s="2">
        <v>3</v>
      </c>
      <c r="F44" s="2" t="str">
        <f>IFERROR(INDEX(customers!B$1:B$1001, MATCH(C44, customers!A$1:A$1001, 0)), "Not Found")</f>
        <v>Abigail Tolworthy</v>
      </c>
      <c r="G44" s="2" t="str">
        <f>IF(IFERROR(INDEX(customers!C$1:C$1001, MATCH(C44, customers!A$1:A$1001, 0)), "Not Found")=0,"",IFERROR(INDEX(customers!C$1:C$1001, MATCH(C44, customers!A$1:A$1001, 0)), "Not Found"))</f>
        <v>atolworthy16@toplist.cz</v>
      </c>
      <c r="H44" s="2" t="str">
        <f>IFERROR(INDEX(customers!G$1:G$1001, MATCH(C44, customers!A$1:A$1001, 0)), "Not Found")</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L44*E44</f>
        <v>8.0549999999999997</v>
      </c>
      <c r="N44" t="str">
        <f>IF(I44="Rob","Robusta",IF(I44="Exc","Excelsa",IF(I44="Ara","Arabica",IF(I44="Lib","Laberica",""))))</f>
        <v>Robusta</v>
      </c>
      <c r="O44" t="str">
        <f t="shared" si="0"/>
        <v>Dark</v>
      </c>
      <c r="P44" t="str">
        <f>INDEX(customers!$I$1:$I$1001, MATCH(Orders[[#This Row],[Customer ID]], customers!$A$1:$A$1001, 0))</f>
        <v>Yes</v>
      </c>
    </row>
    <row r="45" spans="1:16" x14ac:dyDescent="0.25">
      <c r="A45" s="2" t="s">
        <v>733</v>
      </c>
      <c r="B45" s="3">
        <v>44473</v>
      </c>
      <c r="C45" s="2" t="s">
        <v>734</v>
      </c>
      <c r="D45" t="s">
        <v>6164</v>
      </c>
      <c r="E45" s="2">
        <v>2</v>
      </c>
      <c r="F45" s="2" t="str">
        <f>IFERROR(INDEX(customers!B$1:B$1001, MATCH(C45, customers!A$1:A$1001, 0)), "Not Found")</f>
        <v>Maurie Bartol</v>
      </c>
      <c r="G45" s="2" t="str">
        <f>IF(IFERROR(INDEX(customers!C$1:C$1001, MATCH(C45, customers!A$1:A$1001, 0)), "Not Found")=0,"",IFERROR(INDEX(customers!C$1:C$1001, MATCH(C45, customers!A$1:A$1001, 0)), "Not Found"))</f>
        <v/>
      </c>
      <c r="H45" s="2" t="str">
        <f>IFERROR(INDEX(customers!G$1:G$1001, MATCH(C45, customers!A$1:A$1001, 0)), "Not Found")</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L45*E45</f>
        <v>72.91</v>
      </c>
      <c r="N45" t="str">
        <f>IF(I45="Rob","Robusta",IF(I45="Exc","Excelsa",IF(I45="Ara","Arabica",IF(I45="Lib","Laberica",""))))</f>
        <v>Laberica</v>
      </c>
      <c r="O45" t="str">
        <f t="shared" si="0"/>
        <v>Light</v>
      </c>
      <c r="P45" t="str">
        <f>INDEX(customers!$I$1:$I$1001, MATCH(Orders[[#This Row],[Customer ID]], customers!$A$1:$A$1001, 0))</f>
        <v>No</v>
      </c>
    </row>
    <row r="46" spans="1:16" x14ac:dyDescent="0.25">
      <c r="A46" s="2" t="s">
        <v>738</v>
      </c>
      <c r="B46" s="3">
        <v>43932</v>
      </c>
      <c r="C46" s="2" t="s">
        <v>739</v>
      </c>
      <c r="D46" t="s">
        <v>6139</v>
      </c>
      <c r="E46" s="2">
        <v>2</v>
      </c>
      <c r="F46" s="2" t="str">
        <f>IFERROR(INDEX(customers!B$1:B$1001, MATCH(C46, customers!A$1:A$1001, 0)), "Not Found")</f>
        <v>Olag Baudassi</v>
      </c>
      <c r="G46" s="2" t="str">
        <f>IF(IFERROR(INDEX(customers!C$1:C$1001, MATCH(C46, customers!A$1:A$1001, 0)), "Not Found")=0,"",IFERROR(INDEX(customers!C$1:C$1001, MATCH(C46, customers!A$1:A$1001, 0)), "Not Found"))</f>
        <v>obaudassi18@seesaa.net</v>
      </c>
      <c r="H46" s="2" t="str">
        <f>IFERROR(INDEX(customers!G$1:G$1001, MATCH(C46, customers!A$1:A$1001, 0)), "Not Found")</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L46*E46</f>
        <v>16.5</v>
      </c>
      <c r="N46" t="str">
        <f>IF(I46="Rob","Robusta",IF(I46="Exc","Excelsa",IF(I46="Ara","Arabica",IF(I46="Lib","Laberica",""))))</f>
        <v>Excelsa</v>
      </c>
      <c r="O46" t="str">
        <f t="shared" si="0"/>
        <v>Medium</v>
      </c>
      <c r="P46" t="str">
        <f>INDEX(customers!$I$1:$I$1001, MATCH(Orders[[#This Row],[Customer ID]], customers!$A$1:$A$1001, 0))</f>
        <v>Yes</v>
      </c>
    </row>
    <row r="47" spans="1:16" x14ac:dyDescent="0.25">
      <c r="A47" s="2" t="s">
        <v>744</v>
      </c>
      <c r="B47" s="3">
        <v>44592</v>
      </c>
      <c r="C47" s="2" t="s">
        <v>745</v>
      </c>
      <c r="D47" t="s">
        <v>6165</v>
      </c>
      <c r="E47" s="2">
        <v>6</v>
      </c>
      <c r="F47" s="2" t="str">
        <f>IFERROR(INDEX(customers!B$1:B$1001, MATCH(C47, customers!A$1:A$1001, 0)), "Not Found")</f>
        <v>Petey Kingsbury</v>
      </c>
      <c r="G47" s="2" t="str">
        <f>IF(IFERROR(INDEX(customers!C$1:C$1001, MATCH(C47, customers!A$1:A$1001, 0)), "Not Found")=0,"",IFERROR(INDEX(customers!C$1:C$1001, MATCH(C47, customers!A$1:A$1001, 0)), "Not Found"))</f>
        <v>pkingsbury19@comcast.net</v>
      </c>
      <c r="H47" s="2" t="str">
        <f>IFERROR(INDEX(customers!G$1:G$1001, MATCH(C47, customers!A$1:A$1001, 0)), "Not Found")</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L47*E47</f>
        <v>178.70999999999998</v>
      </c>
      <c r="N47" t="str">
        <f>IF(I47="Rob","Robusta",IF(I47="Exc","Excelsa",IF(I47="Ara","Arabica",IF(I47="Lib","Laberica",""))))</f>
        <v>Laberica</v>
      </c>
      <c r="O47" t="str">
        <f t="shared" si="0"/>
        <v>Dark</v>
      </c>
      <c r="P47" t="str">
        <f>INDEX(customers!$I$1:$I$1001, MATCH(Orders[[#This Row],[Customer ID]], customers!$A$1:$A$1001, 0))</f>
        <v>No</v>
      </c>
    </row>
    <row r="48" spans="1:16" x14ac:dyDescent="0.25">
      <c r="A48" s="2" t="s">
        <v>750</v>
      </c>
      <c r="B48" s="3">
        <v>43776</v>
      </c>
      <c r="C48" s="2" t="s">
        <v>751</v>
      </c>
      <c r="D48" t="s">
        <v>6166</v>
      </c>
      <c r="E48" s="2">
        <v>2</v>
      </c>
      <c r="F48" s="2" t="str">
        <f>IFERROR(INDEX(customers!B$1:B$1001, MATCH(C48, customers!A$1:A$1001, 0)), "Not Found")</f>
        <v>Donna Baskeyfied</v>
      </c>
      <c r="G48" s="2" t="str">
        <f>IF(IFERROR(INDEX(customers!C$1:C$1001, MATCH(C48, customers!A$1:A$1001, 0)), "Not Found")=0,"",IFERROR(INDEX(customers!C$1:C$1001, MATCH(C48, customers!A$1:A$1001, 0)), "Not Found"))</f>
        <v/>
      </c>
      <c r="H48" s="2" t="str">
        <f>IFERROR(INDEX(customers!G$1:G$1001, MATCH(C48, customers!A$1:A$1001, 0)), "Not Found")</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L48*E48</f>
        <v>63.249999999999993</v>
      </c>
      <c r="N48" t="str">
        <f>IF(I48="Rob","Robusta",IF(I48="Exc","Excelsa",IF(I48="Ara","Arabica",IF(I48="Lib","Laberica",""))))</f>
        <v>Excelsa</v>
      </c>
      <c r="O48" t="str">
        <f t="shared" si="0"/>
        <v>Medium</v>
      </c>
      <c r="P48" t="str">
        <f>INDEX(customers!$I$1:$I$1001, MATCH(Orders[[#This Row],[Customer ID]], customers!$A$1:$A$1001, 0))</f>
        <v>Yes</v>
      </c>
    </row>
    <row r="49" spans="1:16" x14ac:dyDescent="0.25">
      <c r="A49" s="2" t="s">
        <v>755</v>
      </c>
      <c r="B49" s="3">
        <v>43644</v>
      </c>
      <c r="C49" s="2" t="s">
        <v>756</v>
      </c>
      <c r="D49" t="s">
        <v>6167</v>
      </c>
      <c r="E49" s="2">
        <v>2</v>
      </c>
      <c r="F49" s="2" t="str">
        <f>IFERROR(INDEX(customers!B$1:B$1001, MATCH(C49, customers!A$1:A$1001, 0)), "Not Found")</f>
        <v>Arda Curley</v>
      </c>
      <c r="G49" s="2" t="str">
        <f>IF(IFERROR(INDEX(customers!C$1:C$1001, MATCH(C49, customers!A$1:A$1001, 0)), "Not Found")=0,"",IFERROR(INDEX(customers!C$1:C$1001, MATCH(C49, customers!A$1:A$1001, 0)), "Not Found"))</f>
        <v>acurley1b@hao123.com</v>
      </c>
      <c r="H49" s="2" t="str">
        <f>IFERROR(INDEX(customers!G$1:G$1001, MATCH(C49, customers!A$1:A$1001, 0)), "Not Found")</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L49*E49</f>
        <v>7.77</v>
      </c>
      <c r="N49" t="str">
        <f>IF(I49="Rob","Robusta",IF(I49="Exc","Excelsa",IF(I49="Ara","Arabica",IF(I49="Lib","Laberica",""))))</f>
        <v>Arabica</v>
      </c>
      <c r="O49" t="str">
        <f t="shared" si="0"/>
        <v>Light</v>
      </c>
      <c r="P49" t="str">
        <f>INDEX(customers!$I$1:$I$1001, MATCH(Orders[[#This Row],[Customer ID]], customers!$A$1:$A$1001, 0))</f>
        <v>Yes</v>
      </c>
    </row>
    <row r="50" spans="1:16" x14ac:dyDescent="0.25">
      <c r="A50" s="2" t="s">
        <v>761</v>
      </c>
      <c r="B50" s="3">
        <v>44085</v>
      </c>
      <c r="C50" s="2" t="s">
        <v>762</v>
      </c>
      <c r="D50" t="s">
        <v>6168</v>
      </c>
      <c r="E50" s="2">
        <v>4</v>
      </c>
      <c r="F50" s="2" t="str">
        <f>IFERROR(INDEX(customers!B$1:B$1001, MATCH(C50, customers!A$1:A$1001, 0)), "Not Found")</f>
        <v>Raynor McGilvary</v>
      </c>
      <c r="G50" s="2" t="str">
        <f>IF(IFERROR(INDEX(customers!C$1:C$1001, MATCH(C50, customers!A$1:A$1001, 0)), "Not Found")=0,"",IFERROR(INDEX(customers!C$1:C$1001, MATCH(C50, customers!A$1:A$1001, 0)), "Not Found"))</f>
        <v>rmcgilvary1c@tamu.edu</v>
      </c>
      <c r="H50" s="2" t="str">
        <f>IFERROR(INDEX(customers!G$1:G$1001, MATCH(C50, customers!A$1:A$1001, 0)), "Not Found")</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L50*E50</f>
        <v>91.539999999999992</v>
      </c>
      <c r="N50" t="str">
        <f>IF(I50="Rob","Robusta",IF(I50="Exc","Excelsa",IF(I50="Ara","Arabica",IF(I50="Lib","Laberica",""))))</f>
        <v>Arabica</v>
      </c>
      <c r="O50" t="str">
        <f t="shared" si="0"/>
        <v>Dark</v>
      </c>
      <c r="P50" t="str">
        <f>INDEX(customers!$I$1:$I$1001, MATCH(Orders[[#This Row],[Customer ID]], customers!$A$1:$A$1001, 0))</f>
        <v>No</v>
      </c>
    </row>
    <row r="51" spans="1:16" x14ac:dyDescent="0.25">
      <c r="A51" s="2" t="s">
        <v>766</v>
      </c>
      <c r="B51" s="3">
        <v>44790</v>
      </c>
      <c r="C51" s="2" t="s">
        <v>767</v>
      </c>
      <c r="D51" t="s">
        <v>6140</v>
      </c>
      <c r="E51" s="2">
        <v>3</v>
      </c>
      <c r="F51" s="2" t="str">
        <f>IFERROR(INDEX(customers!B$1:B$1001, MATCH(C51, customers!A$1:A$1001, 0)), "Not Found")</f>
        <v>Isis Pikett</v>
      </c>
      <c r="G51" s="2" t="str">
        <f>IF(IFERROR(INDEX(customers!C$1:C$1001, MATCH(C51, customers!A$1:A$1001, 0)), "Not Found")=0,"",IFERROR(INDEX(customers!C$1:C$1001, MATCH(C51, customers!A$1:A$1001, 0)), "Not Found"))</f>
        <v>ipikett1d@xinhuanet.com</v>
      </c>
      <c r="H51" s="2" t="str">
        <f>IFERROR(INDEX(customers!G$1:G$1001, MATCH(C51, customers!A$1:A$1001, 0)), "Not Found")</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L51*E51</f>
        <v>38.849999999999994</v>
      </c>
      <c r="N51" t="str">
        <f>IF(I51="Rob","Robusta",IF(I51="Exc","Excelsa",IF(I51="Ara","Arabica",IF(I51="Lib","Laberica",""))))</f>
        <v>Arabica</v>
      </c>
      <c r="O51" t="str">
        <f t="shared" si="0"/>
        <v>Light</v>
      </c>
      <c r="P51" t="str">
        <f>INDEX(customers!$I$1:$I$1001, MATCH(Orders[[#This Row],[Customer ID]], customers!$A$1:$A$1001, 0))</f>
        <v>No</v>
      </c>
    </row>
    <row r="52" spans="1:16" x14ac:dyDescent="0.25">
      <c r="A52" s="2" t="s">
        <v>772</v>
      </c>
      <c r="B52" s="3">
        <v>44792</v>
      </c>
      <c r="C52" s="2" t="s">
        <v>773</v>
      </c>
      <c r="D52" t="s">
        <v>6169</v>
      </c>
      <c r="E52" s="2">
        <v>2</v>
      </c>
      <c r="F52" s="2" t="str">
        <f>IFERROR(INDEX(customers!B$1:B$1001, MATCH(C52, customers!A$1:A$1001, 0)), "Not Found")</f>
        <v>Inger Bouldon</v>
      </c>
      <c r="G52" s="2" t="str">
        <f>IF(IFERROR(INDEX(customers!C$1:C$1001, MATCH(C52, customers!A$1:A$1001, 0)), "Not Found")=0,"",IFERROR(INDEX(customers!C$1:C$1001, MATCH(C52, customers!A$1:A$1001, 0)), "Not Found"))</f>
        <v>ibouldon1e@gizmodo.com</v>
      </c>
      <c r="H52" s="2" t="str">
        <f>IFERROR(INDEX(customers!G$1:G$1001, MATCH(C52, customers!A$1:A$1001, 0)), "Not Found")</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L52*E52</f>
        <v>15.54</v>
      </c>
      <c r="N52" t="str">
        <f>IF(I52="Rob","Robusta",IF(I52="Exc","Excelsa",IF(I52="Ara","Arabica",IF(I52="Lib","Laberica",""))))</f>
        <v>Laberica</v>
      </c>
      <c r="O52" t="str">
        <f t="shared" si="0"/>
        <v>Dark</v>
      </c>
      <c r="P52" t="str">
        <f>INDEX(customers!$I$1:$I$1001, MATCH(Orders[[#This Row],[Customer ID]], customers!$A$1:$A$1001, 0))</f>
        <v>No</v>
      </c>
    </row>
    <row r="53" spans="1:16" x14ac:dyDescent="0.25">
      <c r="A53" s="2" t="s">
        <v>778</v>
      </c>
      <c r="B53" s="3">
        <v>43600</v>
      </c>
      <c r="C53" s="2" t="s">
        <v>779</v>
      </c>
      <c r="D53" t="s">
        <v>6164</v>
      </c>
      <c r="E53" s="2">
        <v>4</v>
      </c>
      <c r="F53" s="2" t="str">
        <f>IFERROR(INDEX(customers!B$1:B$1001, MATCH(C53, customers!A$1:A$1001, 0)), "Not Found")</f>
        <v>Karry Flanders</v>
      </c>
      <c r="G53" s="2" t="str">
        <f>IF(IFERROR(INDEX(customers!C$1:C$1001, MATCH(C53, customers!A$1:A$1001, 0)), "Not Found")=0,"",IFERROR(INDEX(customers!C$1:C$1001, MATCH(C53, customers!A$1:A$1001, 0)), "Not Found"))</f>
        <v>kflanders1f@over-blog.com</v>
      </c>
      <c r="H53" s="2" t="str">
        <f>IFERROR(INDEX(customers!G$1:G$1001, MATCH(C53, customers!A$1:A$1001, 0)), "Not Found")</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L53*E53</f>
        <v>145.82</v>
      </c>
      <c r="N53" t="str">
        <f>IF(I53="Rob","Robusta",IF(I53="Exc","Excelsa",IF(I53="Ara","Arabica",IF(I53="Lib","Laberica",""))))</f>
        <v>Laberica</v>
      </c>
      <c r="O53" t="str">
        <f t="shared" si="0"/>
        <v>Light</v>
      </c>
      <c r="P53" t="str">
        <f>INDEX(customers!$I$1:$I$1001, MATCH(Orders[[#This Row],[Customer ID]], customers!$A$1:$A$1001, 0))</f>
        <v>Yes</v>
      </c>
    </row>
    <row r="54" spans="1:16" x14ac:dyDescent="0.25">
      <c r="A54" s="2" t="s">
        <v>784</v>
      </c>
      <c r="B54" s="3">
        <v>43719</v>
      </c>
      <c r="C54" s="2" t="s">
        <v>785</v>
      </c>
      <c r="D54" t="s">
        <v>6146</v>
      </c>
      <c r="E54" s="2">
        <v>5</v>
      </c>
      <c r="F54" s="2" t="str">
        <f>IFERROR(INDEX(customers!B$1:B$1001, MATCH(C54, customers!A$1:A$1001, 0)), "Not Found")</f>
        <v>Hartley Mattioli</v>
      </c>
      <c r="G54" s="2" t="str">
        <f>IF(IFERROR(INDEX(customers!C$1:C$1001, MATCH(C54, customers!A$1:A$1001, 0)), "Not Found")=0,"",IFERROR(INDEX(customers!C$1:C$1001, MATCH(C54, customers!A$1:A$1001, 0)), "Not Found"))</f>
        <v>hmattioli1g@webmd.com</v>
      </c>
      <c r="H54" s="2" t="str">
        <f>IFERROR(INDEX(customers!G$1:G$1001, MATCH(C54, customers!A$1:A$1001, 0)), "Not Found")</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L54*E54</f>
        <v>29.849999999999998</v>
      </c>
      <c r="N54" t="str">
        <f>IF(I54="Rob","Robusta",IF(I54="Exc","Excelsa",IF(I54="Ara","Arabica",IF(I54="Lib","Laberica",""))))</f>
        <v>Robusta</v>
      </c>
      <c r="O54" t="str">
        <f t="shared" si="0"/>
        <v>Medium</v>
      </c>
      <c r="P54" t="str">
        <f>INDEX(customers!$I$1:$I$1001, MATCH(Orders[[#This Row],[Customer ID]], customers!$A$1:$A$1001, 0))</f>
        <v>No</v>
      </c>
    </row>
    <row r="55" spans="1:16" x14ac:dyDescent="0.25">
      <c r="A55" s="2" t="s">
        <v>784</v>
      </c>
      <c r="B55" s="3">
        <v>43719</v>
      </c>
      <c r="C55" s="2" t="s">
        <v>785</v>
      </c>
      <c r="D55" t="s">
        <v>6164</v>
      </c>
      <c r="E55" s="2">
        <v>2</v>
      </c>
      <c r="F55" s="2" t="str">
        <f>IFERROR(INDEX(customers!B$1:B$1001, MATCH(C55, customers!A$1:A$1001, 0)), "Not Found")</f>
        <v>Hartley Mattioli</v>
      </c>
      <c r="G55" s="2" t="str">
        <f>IF(IFERROR(INDEX(customers!C$1:C$1001, MATCH(C55, customers!A$1:A$1001, 0)), "Not Found")=0,"",IFERROR(INDEX(customers!C$1:C$1001, MATCH(C55, customers!A$1:A$1001, 0)), "Not Found"))</f>
        <v>hmattioli1g@webmd.com</v>
      </c>
      <c r="H55" s="2" t="str">
        <f>IFERROR(INDEX(customers!G$1:G$1001, MATCH(C55, customers!A$1:A$1001, 0)), "Not Found")</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L55*E55</f>
        <v>72.91</v>
      </c>
      <c r="N55" t="str">
        <f>IF(I55="Rob","Robusta",IF(I55="Exc","Excelsa",IF(I55="Ara","Arabica",IF(I55="Lib","Laberica",""))))</f>
        <v>Laberica</v>
      </c>
      <c r="O55" t="str">
        <f t="shared" si="0"/>
        <v>Light</v>
      </c>
      <c r="P55" t="str">
        <f>INDEX(customers!$I$1:$I$1001, MATCH(Orders[[#This Row],[Customer ID]], customers!$A$1:$A$1001, 0))</f>
        <v>No</v>
      </c>
    </row>
    <row r="56" spans="1:16" x14ac:dyDescent="0.25">
      <c r="A56" s="2" t="s">
        <v>794</v>
      </c>
      <c r="B56" s="3">
        <v>44271</v>
      </c>
      <c r="C56" s="2" t="s">
        <v>795</v>
      </c>
      <c r="D56" t="s">
        <v>6162</v>
      </c>
      <c r="E56" s="2">
        <v>5</v>
      </c>
      <c r="F56" s="2" t="str">
        <f>IFERROR(INDEX(customers!B$1:B$1001, MATCH(C56, customers!A$1:A$1001, 0)), "Not Found")</f>
        <v>Archambault Gillard</v>
      </c>
      <c r="G56" s="2" t="str">
        <f>IF(IFERROR(INDEX(customers!C$1:C$1001, MATCH(C56, customers!A$1:A$1001, 0)), "Not Found")=0,"",IFERROR(INDEX(customers!C$1:C$1001, MATCH(C56, customers!A$1:A$1001, 0)), "Not Found"))</f>
        <v>agillard1i@issuu.com</v>
      </c>
      <c r="H56" s="2" t="str">
        <f>IFERROR(INDEX(customers!G$1:G$1001, MATCH(C56, customers!A$1:A$1001, 0)), "Not Found")</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L56*E56</f>
        <v>72.75</v>
      </c>
      <c r="N56" t="str">
        <f>IF(I56="Rob","Robusta",IF(I56="Exc","Excelsa",IF(I56="Ara","Arabica",IF(I56="Lib","Laberica",""))))</f>
        <v>Laberica</v>
      </c>
      <c r="O56" t="str">
        <f t="shared" si="0"/>
        <v>Medium</v>
      </c>
      <c r="P56" t="str">
        <f>INDEX(customers!$I$1:$I$1001, MATCH(Orders[[#This Row],[Customer ID]], customers!$A$1:$A$1001, 0))</f>
        <v>No</v>
      </c>
    </row>
    <row r="57" spans="1:16" x14ac:dyDescent="0.25">
      <c r="A57" s="2" t="s">
        <v>800</v>
      </c>
      <c r="B57" s="3">
        <v>44168</v>
      </c>
      <c r="C57" s="2" t="s">
        <v>801</v>
      </c>
      <c r="D57" t="s">
        <v>6170</v>
      </c>
      <c r="E57" s="2">
        <v>3</v>
      </c>
      <c r="F57" s="2" t="str">
        <f>IFERROR(INDEX(customers!B$1:B$1001, MATCH(C57, customers!A$1:A$1001, 0)), "Not Found")</f>
        <v>Salomo Cushworth</v>
      </c>
      <c r="G57" s="2" t="str">
        <f>IF(IFERROR(INDEX(customers!C$1:C$1001, MATCH(C57, customers!A$1:A$1001, 0)), "Not Found")=0,"",IFERROR(INDEX(customers!C$1:C$1001, MATCH(C57, customers!A$1:A$1001, 0)), "Not Found"))</f>
        <v/>
      </c>
      <c r="H57" s="2" t="str">
        <f>IFERROR(INDEX(customers!G$1:G$1001, MATCH(C57, customers!A$1:A$1001, 0)), "Not Found")</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L57*E57</f>
        <v>47.55</v>
      </c>
      <c r="N57" t="str">
        <f>IF(I57="Rob","Robusta",IF(I57="Exc","Excelsa",IF(I57="Ara","Arabica",IF(I57="Lib","Laberica",""))))</f>
        <v>Laberica</v>
      </c>
      <c r="O57" t="str">
        <f t="shared" si="0"/>
        <v>Light</v>
      </c>
      <c r="P57" t="str">
        <f>INDEX(customers!$I$1:$I$1001, MATCH(Orders[[#This Row],[Customer ID]], customers!$A$1:$A$1001, 0))</f>
        <v>No</v>
      </c>
    </row>
    <row r="58" spans="1:16" x14ac:dyDescent="0.25">
      <c r="A58" s="2" t="s">
        <v>805</v>
      </c>
      <c r="B58" s="3">
        <v>43857</v>
      </c>
      <c r="C58" s="2" t="s">
        <v>806</v>
      </c>
      <c r="D58" t="s">
        <v>6153</v>
      </c>
      <c r="E58" s="2">
        <v>3</v>
      </c>
      <c r="F58" s="2" t="str">
        <f>IFERROR(INDEX(customers!B$1:B$1001, MATCH(C58, customers!A$1:A$1001, 0)), "Not Found")</f>
        <v>Theda Grizard</v>
      </c>
      <c r="G58" s="2" t="str">
        <f>IF(IFERROR(INDEX(customers!C$1:C$1001, MATCH(C58, customers!A$1:A$1001, 0)), "Not Found")=0,"",IFERROR(INDEX(customers!C$1:C$1001, MATCH(C58, customers!A$1:A$1001, 0)), "Not Found"))</f>
        <v>tgrizard1k@odnoklassniki.ru</v>
      </c>
      <c r="H58" s="2" t="str">
        <f>IFERROR(INDEX(customers!G$1:G$1001, MATCH(C58, customers!A$1:A$1001, 0)), "Not Found")</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L58*E58</f>
        <v>10.935</v>
      </c>
      <c r="N58" t="str">
        <f>IF(I58="Rob","Robusta",IF(I58="Exc","Excelsa",IF(I58="Ara","Arabica",IF(I58="Lib","Laberica",""))))</f>
        <v>Excelsa</v>
      </c>
      <c r="O58" t="str">
        <f t="shared" si="0"/>
        <v>Dark</v>
      </c>
      <c r="P58" t="str">
        <f>INDEX(customers!$I$1:$I$1001, MATCH(Orders[[#This Row],[Customer ID]], customers!$A$1:$A$1001, 0))</f>
        <v>Yes</v>
      </c>
    </row>
    <row r="59" spans="1:16" x14ac:dyDescent="0.25">
      <c r="A59" s="2" t="s">
        <v>811</v>
      </c>
      <c r="B59" s="3">
        <v>44759</v>
      </c>
      <c r="C59" s="2" t="s">
        <v>812</v>
      </c>
      <c r="D59" t="s">
        <v>6171</v>
      </c>
      <c r="E59" s="2">
        <v>4</v>
      </c>
      <c r="F59" s="2" t="str">
        <f>IFERROR(INDEX(customers!B$1:B$1001, MATCH(C59, customers!A$1:A$1001, 0)), "Not Found")</f>
        <v>Rozele Relton</v>
      </c>
      <c r="G59" s="2" t="str">
        <f>IF(IFERROR(INDEX(customers!C$1:C$1001, MATCH(C59, customers!A$1:A$1001, 0)), "Not Found")=0,"",IFERROR(INDEX(customers!C$1:C$1001, MATCH(C59, customers!A$1:A$1001, 0)), "Not Found"))</f>
        <v>rrelton1l@stanford.edu</v>
      </c>
      <c r="H59" s="2" t="str">
        <f>IFERROR(INDEX(customers!G$1:G$1001, MATCH(C59, customers!A$1:A$1001, 0)), "Not Found")</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L59*E59</f>
        <v>59.4</v>
      </c>
      <c r="N59" t="str">
        <f>IF(I59="Rob","Robusta",IF(I59="Exc","Excelsa",IF(I59="Ara","Arabica",IF(I59="Lib","Laberica",""))))</f>
        <v>Excelsa</v>
      </c>
      <c r="O59" t="str">
        <f t="shared" si="0"/>
        <v>Light</v>
      </c>
      <c r="P59" t="str">
        <f>INDEX(customers!$I$1:$I$1001, MATCH(Orders[[#This Row],[Customer ID]], customers!$A$1:$A$1001, 0))</f>
        <v>No</v>
      </c>
    </row>
    <row r="60" spans="1:16" x14ac:dyDescent="0.25">
      <c r="A60" s="2" t="s">
        <v>817</v>
      </c>
      <c r="B60" s="3">
        <v>44624</v>
      </c>
      <c r="C60" s="2" t="s">
        <v>818</v>
      </c>
      <c r="D60" t="s">
        <v>6165</v>
      </c>
      <c r="E60" s="2">
        <v>3</v>
      </c>
      <c r="F60" s="2" t="str">
        <f>IFERROR(INDEX(customers!B$1:B$1001, MATCH(C60, customers!A$1:A$1001, 0)), "Not Found")</f>
        <v>Willa Rolling</v>
      </c>
      <c r="G60" s="2" t="str">
        <f>IF(IFERROR(INDEX(customers!C$1:C$1001, MATCH(C60, customers!A$1:A$1001, 0)), "Not Found")=0,"",IFERROR(INDEX(customers!C$1:C$1001, MATCH(C60, customers!A$1:A$1001, 0)), "Not Found"))</f>
        <v/>
      </c>
      <c r="H60" s="2" t="str">
        <f>IFERROR(INDEX(customers!G$1:G$1001, MATCH(C60, customers!A$1:A$1001, 0)), "Not Found")</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L60*E60</f>
        <v>89.35499999999999</v>
      </c>
      <c r="N60" t="str">
        <f>IF(I60="Rob","Robusta",IF(I60="Exc","Excelsa",IF(I60="Ara","Arabica",IF(I60="Lib","Laberica",""))))</f>
        <v>Laberica</v>
      </c>
      <c r="O60" t="str">
        <f t="shared" si="0"/>
        <v>Dark</v>
      </c>
      <c r="P60" t="str">
        <f>INDEX(customers!$I$1:$I$1001, MATCH(Orders[[#This Row],[Customer ID]], customers!$A$1:$A$1001, 0))</f>
        <v>Yes</v>
      </c>
    </row>
    <row r="61" spans="1:16" x14ac:dyDescent="0.25">
      <c r="A61" s="2" t="s">
        <v>822</v>
      </c>
      <c r="B61" s="3">
        <v>44537</v>
      </c>
      <c r="C61" s="2" t="s">
        <v>823</v>
      </c>
      <c r="D61" t="s">
        <v>6160</v>
      </c>
      <c r="E61" s="2">
        <v>3</v>
      </c>
      <c r="F61" s="2" t="str">
        <f>IFERROR(INDEX(customers!B$1:B$1001, MATCH(C61, customers!A$1:A$1001, 0)), "Not Found")</f>
        <v>Stanislaus Gilroy</v>
      </c>
      <c r="G61" s="2" t="str">
        <f>IF(IFERROR(INDEX(customers!C$1:C$1001, MATCH(C61, customers!A$1:A$1001, 0)), "Not Found")=0,"",IFERROR(INDEX(customers!C$1:C$1001, MATCH(C61, customers!A$1:A$1001, 0)), "Not Found"))</f>
        <v>sgilroy1n@eepurl.com</v>
      </c>
      <c r="H61" s="2" t="str">
        <f>IFERROR(INDEX(customers!G$1:G$1001, MATCH(C61, customers!A$1:A$1001, 0)), "Not Found")</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L61*E61</f>
        <v>26.19</v>
      </c>
      <c r="N61" t="str">
        <f>IF(I61="Rob","Robusta",IF(I61="Exc","Excelsa",IF(I61="Ara","Arabica",IF(I61="Lib","Laberica",""))))</f>
        <v>Laberica</v>
      </c>
      <c r="O61" t="str">
        <f t="shared" si="0"/>
        <v>Medium</v>
      </c>
      <c r="P61" t="str">
        <f>INDEX(customers!$I$1:$I$1001, MATCH(Orders[[#This Row],[Customer ID]], customers!$A$1:$A$1001, 0))</f>
        <v>Yes</v>
      </c>
    </row>
    <row r="62" spans="1:16" x14ac:dyDescent="0.25">
      <c r="A62" s="2" t="s">
        <v>827</v>
      </c>
      <c r="B62" s="3">
        <v>44252</v>
      </c>
      <c r="C62" s="2" t="s">
        <v>828</v>
      </c>
      <c r="D62" t="s">
        <v>6168</v>
      </c>
      <c r="E62" s="2">
        <v>5</v>
      </c>
      <c r="F62" s="2" t="str">
        <f>IFERROR(INDEX(customers!B$1:B$1001, MATCH(C62, customers!A$1:A$1001, 0)), "Not Found")</f>
        <v>Correy Cottingham</v>
      </c>
      <c r="G62" s="2" t="str">
        <f>IF(IFERROR(INDEX(customers!C$1:C$1001, MATCH(C62, customers!A$1:A$1001, 0)), "Not Found")=0,"",IFERROR(INDEX(customers!C$1:C$1001, MATCH(C62, customers!A$1:A$1001, 0)), "Not Found"))</f>
        <v>ccottingham1o@wikipedia.org</v>
      </c>
      <c r="H62" s="2" t="str">
        <f>IFERROR(INDEX(customers!G$1:G$1001, MATCH(C62, customers!A$1:A$1001, 0)), "Not Found")</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L62*E62</f>
        <v>114.42499999999998</v>
      </c>
      <c r="N62" t="str">
        <f>IF(I62="Rob","Robusta",IF(I62="Exc","Excelsa",IF(I62="Ara","Arabica",IF(I62="Lib","Laberica",""))))</f>
        <v>Arabica</v>
      </c>
      <c r="O62" t="str">
        <f t="shared" si="0"/>
        <v>Dark</v>
      </c>
      <c r="P62" t="str">
        <f>INDEX(customers!$I$1:$I$1001, MATCH(Orders[[#This Row],[Customer ID]], customers!$A$1:$A$1001, 0))</f>
        <v>No</v>
      </c>
    </row>
    <row r="63" spans="1:16" x14ac:dyDescent="0.25">
      <c r="A63" s="2" t="s">
        <v>833</v>
      </c>
      <c r="B63" s="3">
        <v>43521</v>
      </c>
      <c r="C63" s="2" t="s">
        <v>834</v>
      </c>
      <c r="D63" t="s">
        <v>6172</v>
      </c>
      <c r="E63" s="2">
        <v>5</v>
      </c>
      <c r="F63" s="2" t="str">
        <f>IFERROR(INDEX(customers!B$1:B$1001, MATCH(C63, customers!A$1:A$1001, 0)), "Not Found")</f>
        <v>Pammi Endacott</v>
      </c>
      <c r="G63" s="2" t="str">
        <f>IF(IFERROR(INDEX(customers!C$1:C$1001, MATCH(C63, customers!A$1:A$1001, 0)), "Not Found")=0,"",IFERROR(INDEX(customers!C$1:C$1001, MATCH(C63, customers!A$1:A$1001, 0)), "Not Found"))</f>
        <v/>
      </c>
      <c r="H63" s="2" t="str">
        <f>IFERROR(INDEX(customers!G$1:G$1001, MATCH(C63, customers!A$1:A$1001, 0)), "Not Found")</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L63*E63</f>
        <v>26.849999999999994</v>
      </c>
      <c r="N63" t="str">
        <f>IF(I63="Rob","Robusta",IF(I63="Exc","Excelsa",IF(I63="Ara","Arabica",IF(I63="Lib","Laberica",""))))</f>
        <v>Robusta</v>
      </c>
      <c r="O63" t="str">
        <f t="shared" si="0"/>
        <v>Dark</v>
      </c>
      <c r="P63" t="str">
        <f>INDEX(customers!$I$1:$I$1001, MATCH(Orders[[#This Row],[Customer ID]], customers!$A$1:$A$1001, 0))</f>
        <v>Yes</v>
      </c>
    </row>
    <row r="64" spans="1:16" x14ac:dyDescent="0.25">
      <c r="A64" s="2" t="s">
        <v>838</v>
      </c>
      <c r="B64" s="3">
        <v>43505</v>
      </c>
      <c r="C64" s="2" t="s">
        <v>839</v>
      </c>
      <c r="D64" t="s">
        <v>6145</v>
      </c>
      <c r="E64" s="2">
        <v>5</v>
      </c>
      <c r="F64" s="2" t="str">
        <f>IFERROR(INDEX(customers!B$1:B$1001, MATCH(C64, customers!A$1:A$1001, 0)), "Not Found")</f>
        <v>Nona Linklater</v>
      </c>
      <c r="G64" s="2" t="str">
        <f>IF(IFERROR(INDEX(customers!C$1:C$1001, MATCH(C64, customers!A$1:A$1001, 0)), "Not Found")=0,"",IFERROR(INDEX(customers!C$1:C$1001, MATCH(C64, customers!A$1:A$1001, 0)), "Not Found"))</f>
        <v/>
      </c>
      <c r="H64" s="2" t="str">
        <f>IFERROR(INDEX(customers!G$1:G$1001, MATCH(C64, customers!A$1:A$1001, 0)), "Not Found")</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L64*E64</f>
        <v>23.774999999999999</v>
      </c>
      <c r="N64" t="str">
        <f>IF(I64="Rob","Robusta",IF(I64="Exc","Excelsa",IF(I64="Ara","Arabica",IF(I64="Lib","Laberica",""))))</f>
        <v>Laberica</v>
      </c>
      <c r="O64" t="str">
        <f t="shared" si="0"/>
        <v>Light</v>
      </c>
      <c r="P64" t="str">
        <f>INDEX(customers!$I$1:$I$1001, MATCH(Orders[[#This Row],[Customer ID]], customers!$A$1:$A$1001, 0))</f>
        <v>Yes</v>
      </c>
    </row>
    <row r="65" spans="1:16" x14ac:dyDescent="0.25">
      <c r="A65" s="2" t="s">
        <v>843</v>
      </c>
      <c r="B65" s="3">
        <v>43868</v>
      </c>
      <c r="C65" s="2" t="s">
        <v>844</v>
      </c>
      <c r="D65" t="s">
        <v>6157</v>
      </c>
      <c r="E65" s="2">
        <v>1</v>
      </c>
      <c r="F65" s="2" t="str">
        <f>IFERROR(INDEX(customers!B$1:B$1001, MATCH(C65, customers!A$1:A$1001, 0)), "Not Found")</f>
        <v>Annadiane Dykes</v>
      </c>
      <c r="G65" s="2" t="str">
        <f>IF(IFERROR(INDEX(customers!C$1:C$1001, MATCH(C65, customers!A$1:A$1001, 0)), "Not Found")=0,"",IFERROR(INDEX(customers!C$1:C$1001, MATCH(C65, customers!A$1:A$1001, 0)), "Not Found"))</f>
        <v>adykes1r@eventbrite.com</v>
      </c>
      <c r="H65" s="2" t="str">
        <f>IFERROR(INDEX(customers!G$1:G$1001, MATCH(C65, customers!A$1:A$1001, 0)), "Not Found")</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L65*E65</f>
        <v>6.75</v>
      </c>
      <c r="N65" t="str">
        <f>IF(I65="Rob","Robusta",IF(I65="Exc","Excelsa",IF(I65="Ara","Arabica",IF(I65="Lib","Laberica",""))))</f>
        <v>Arabica</v>
      </c>
      <c r="O65" t="str">
        <f t="shared" si="0"/>
        <v>Medium</v>
      </c>
      <c r="P65" t="str">
        <f>INDEX(customers!$I$1:$I$1001, MATCH(Orders[[#This Row],[Customer ID]], customers!$A$1:$A$1001, 0))</f>
        <v>No</v>
      </c>
    </row>
    <row r="66" spans="1:16" x14ac:dyDescent="0.25">
      <c r="A66" s="2" t="s">
        <v>849</v>
      </c>
      <c r="B66" s="3">
        <v>43913</v>
      </c>
      <c r="C66" s="2" t="s">
        <v>850</v>
      </c>
      <c r="D66" t="s">
        <v>6146</v>
      </c>
      <c r="E66" s="2">
        <v>6</v>
      </c>
      <c r="F66" s="2" t="str">
        <f>IFERROR(INDEX(customers!B$1:B$1001, MATCH(C66, customers!A$1:A$1001, 0)), "Not Found")</f>
        <v>Felecia Dodgson</v>
      </c>
      <c r="G66" s="2" t="str">
        <f>IF(IFERROR(INDEX(customers!C$1:C$1001, MATCH(C66, customers!A$1:A$1001, 0)), "Not Found")=0,"",IFERROR(INDEX(customers!C$1:C$1001, MATCH(C66, customers!A$1:A$1001, 0)), "Not Found"))</f>
        <v/>
      </c>
      <c r="H66" s="2" t="str">
        <f>IFERROR(INDEX(customers!G$1:G$1001, MATCH(C66, customers!A$1:A$1001, 0)), "Not Found")</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L66*E66</f>
        <v>35.82</v>
      </c>
      <c r="N66" t="str">
        <f>IF(I66="Rob","Robusta",IF(I66="Exc","Excelsa",IF(I66="Ara","Arabica",IF(I66="Lib","Laberica",""))))</f>
        <v>Robusta</v>
      </c>
      <c r="O66" t="str">
        <f t="shared" si="0"/>
        <v>Medium</v>
      </c>
      <c r="P66" t="str">
        <f>INDEX(customers!$I$1:$I$1001, MATCH(Orders[[#This Row],[Customer ID]], customers!$A$1:$A$1001, 0))</f>
        <v>Yes</v>
      </c>
    </row>
    <row r="67" spans="1:16" x14ac:dyDescent="0.25">
      <c r="A67" s="2" t="s">
        <v>854</v>
      </c>
      <c r="B67" s="3">
        <v>44626</v>
      </c>
      <c r="C67" s="2" t="s">
        <v>855</v>
      </c>
      <c r="D67" t="s">
        <v>6149</v>
      </c>
      <c r="E67" s="2">
        <v>4</v>
      </c>
      <c r="F67" s="2" t="str">
        <f>IFERROR(INDEX(customers!B$1:B$1001, MATCH(C67, customers!A$1:A$1001, 0)), "Not Found")</f>
        <v>Angelia Cockrem</v>
      </c>
      <c r="G67" s="2" t="str">
        <f>IF(IFERROR(INDEX(customers!C$1:C$1001, MATCH(C67, customers!A$1:A$1001, 0)), "Not Found")=0,"",IFERROR(INDEX(customers!C$1:C$1001, MATCH(C67, customers!A$1:A$1001, 0)), "Not Found"))</f>
        <v>acockrem1t@engadget.com</v>
      </c>
      <c r="H67" s="2" t="str">
        <f>IFERROR(INDEX(customers!G$1:G$1001, MATCH(C67, customers!A$1:A$1001, 0)), "Not Found")</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L67*E67</f>
        <v>82.339999999999989</v>
      </c>
      <c r="N67" t="str">
        <f>IF(I67="Rob","Robusta",IF(I67="Exc","Excelsa",IF(I67="Ara","Arabica",IF(I67="Lib","Laberica",""))))</f>
        <v>Robusta</v>
      </c>
      <c r="O67" t="str">
        <f t="shared" ref="O67:O130" si="1">IF(J67="M","Medium",IF(J67="L","Light",IF(J67="D","Dark","")))</f>
        <v>Dark</v>
      </c>
      <c r="P67" t="str">
        <f>INDEX(customers!$I$1:$I$1001, MATCH(Orders[[#This Row],[Customer ID]], customers!$A$1:$A$1001, 0))</f>
        <v>Yes</v>
      </c>
    </row>
    <row r="68" spans="1:16" x14ac:dyDescent="0.25">
      <c r="A68" s="2" t="s">
        <v>860</v>
      </c>
      <c r="B68" s="3">
        <v>44666</v>
      </c>
      <c r="C68" s="2" t="s">
        <v>861</v>
      </c>
      <c r="D68" t="s">
        <v>6173</v>
      </c>
      <c r="E68" s="2">
        <v>1</v>
      </c>
      <c r="F68" s="2" t="str">
        <f>IFERROR(INDEX(customers!B$1:B$1001, MATCH(C68, customers!A$1:A$1001, 0)), "Not Found")</f>
        <v>Belvia Umpleby</v>
      </c>
      <c r="G68" s="2" t="str">
        <f>IF(IFERROR(INDEX(customers!C$1:C$1001, MATCH(C68, customers!A$1:A$1001, 0)), "Not Found")=0,"",IFERROR(INDEX(customers!C$1:C$1001, MATCH(C68, customers!A$1:A$1001, 0)), "Not Found"))</f>
        <v>bumpleby1u@soundcloud.com</v>
      </c>
      <c r="H68" s="2" t="str">
        <f>IFERROR(INDEX(customers!G$1:G$1001, MATCH(C68, customers!A$1:A$1001, 0)), "Not Found")</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L68*E68</f>
        <v>7.169999999999999</v>
      </c>
      <c r="N68" t="str">
        <f>IF(I68="Rob","Robusta",IF(I68="Exc","Excelsa",IF(I68="Ara","Arabica",IF(I68="Lib","Laberica",""))))</f>
        <v>Robusta</v>
      </c>
      <c r="O68" t="str">
        <f t="shared" si="1"/>
        <v>Light</v>
      </c>
      <c r="P68" t="str">
        <f>INDEX(customers!$I$1:$I$1001, MATCH(Orders[[#This Row],[Customer ID]], customers!$A$1:$A$1001, 0))</f>
        <v>Yes</v>
      </c>
    </row>
    <row r="69" spans="1:16" x14ac:dyDescent="0.25">
      <c r="A69" s="2" t="s">
        <v>866</v>
      </c>
      <c r="B69" s="3">
        <v>44519</v>
      </c>
      <c r="C69" s="2" t="s">
        <v>867</v>
      </c>
      <c r="D69" t="s">
        <v>6145</v>
      </c>
      <c r="E69" s="2">
        <v>2</v>
      </c>
      <c r="F69" s="2" t="str">
        <f>IFERROR(INDEX(customers!B$1:B$1001, MATCH(C69, customers!A$1:A$1001, 0)), "Not Found")</f>
        <v>Nat Saleway</v>
      </c>
      <c r="G69" s="2" t="str">
        <f>IF(IFERROR(INDEX(customers!C$1:C$1001, MATCH(C69, customers!A$1:A$1001, 0)), "Not Found")=0,"",IFERROR(INDEX(customers!C$1:C$1001, MATCH(C69, customers!A$1:A$1001, 0)), "Not Found"))</f>
        <v>nsaleway1v@dedecms.com</v>
      </c>
      <c r="H69" s="2" t="str">
        <f>IFERROR(INDEX(customers!G$1:G$1001, MATCH(C69, customers!A$1:A$1001, 0)), "Not Found")</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L69*E69</f>
        <v>9.51</v>
      </c>
      <c r="N69" t="str">
        <f>IF(I69="Rob","Robusta",IF(I69="Exc","Excelsa",IF(I69="Ara","Arabica",IF(I69="Lib","Laberica",""))))</f>
        <v>Laberica</v>
      </c>
      <c r="O69" t="str">
        <f t="shared" si="1"/>
        <v>Light</v>
      </c>
      <c r="P69" t="str">
        <f>INDEX(customers!$I$1:$I$1001, MATCH(Orders[[#This Row],[Customer ID]], customers!$A$1:$A$1001, 0))</f>
        <v>No</v>
      </c>
    </row>
    <row r="70" spans="1:16" x14ac:dyDescent="0.25">
      <c r="A70" s="2" t="s">
        <v>872</v>
      </c>
      <c r="B70" s="3">
        <v>43754</v>
      </c>
      <c r="C70" s="2" t="s">
        <v>873</v>
      </c>
      <c r="D70" t="s">
        <v>6174</v>
      </c>
      <c r="E70" s="2">
        <v>1</v>
      </c>
      <c r="F70" s="2" t="str">
        <f>IFERROR(INDEX(customers!B$1:B$1001, MATCH(C70, customers!A$1:A$1001, 0)), "Not Found")</f>
        <v>Hayward Goulter</v>
      </c>
      <c r="G70" s="2" t="str">
        <f>IF(IFERROR(INDEX(customers!C$1:C$1001, MATCH(C70, customers!A$1:A$1001, 0)), "Not Found")=0,"",IFERROR(INDEX(customers!C$1:C$1001, MATCH(C70, customers!A$1:A$1001, 0)), "Not Found"))</f>
        <v>hgoulter1w@abc.net.au</v>
      </c>
      <c r="H70" s="2" t="str">
        <f>IFERROR(INDEX(customers!G$1:G$1001, MATCH(C70, customers!A$1:A$1001, 0)), "Not Found")</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L70*E70</f>
        <v>2.9849999999999999</v>
      </c>
      <c r="N70" t="str">
        <f>IF(I70="Rob","Robusta",IF(I70="Exc","Excelsa",IF(I70="Ara","Arabica",IF(I70="Lib","Laberica",""))))</f>
        <v>Robusta</v>
      </c>
      <c r="O70" t="str">
        <f t="shared" si="1"/>
        <v>Medium</v>
      </c>
      <c r="P70" t="str">
        <f>INDEX(customers!$I$1:$I$1001, MATCH(Orders[[#This Row],[Customer ID]], customers!$A$1:$A$1001, 0))</f>
        <v>No</v>
      </c>
    </row>
    <row r="71" spans="1:16" x14ac:dyDescent="0.25">
      <c r="A71" s="2" t="s">
        <v>878</v>
      </c>
      <c r="B71" s="3">
        <v>43795</v>
      </c>
      <c r="C71" s="2" t="s">
        <v>879</v>
      </c>
      <c r="D71" t="s">
        <v>6138</v>
      </c>
      <c r="E71" s="2">
        <v>6</v>
      </c>
      <c r="F71" s="2" t="str">
        <f>IFERROR(INDEX(customers!B$1:B$1001, MATCH(C71, customers!A$1:A$1001, 0)), "Not Found")</f>
        <v>Gay Rizzello</v>
      </c>
      <c r="G71" s="2" t="str">
        <f>IF(IFERROR(INDEX(customers!C$1:C$1001, MATCH(C71, customers!A$1:A$1001, 0)), "Not Found")=0,"",IFERROR(INDEX(customers!C$1:C$1001, MATCH(C71, customers!A$1:A$1001, 0)), "Not Found"))</f>
        <v>grizzello1x@symantec.com</v>
      </c>
      <c r="H71" s="2" t="str">
        <f>IFERROR(INDEX(customers!G$1:G$1001, MATCH(C71, customers!A$1:A$1001, 0)), "Not Found")</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L71*E71</f>
        <v>59.699999999999996</v>
      </c>
      <c r="N71" t="str">
        <f>IF(I71="Rob","Robusta",IF(I71="Exc","Excelsa",IF(I71="Ara","Arabica",IF(I71="Lib","Laberica",""))))</f>
        <v>Robusta</v>
      </c>
      <c r="O71" t="str">
        <f t="shared" si="1"/>
        <v>Medium</v>
      </c>
      <c r="P71" t="str">
        <f>INDEX(customers!$I$1:$I$1001, MATCH(Orders[[#This Row],[Customer ID]], customers!$A$1:$A$1001, 0))</f>
        <v>Yes</v>
      </c>
    </row>
    <row r="72" spans="1:16" x14ac:dyDescent="0.25">
      <c r="A72" s="2" t="s">
        <v>885</v>
      </c>
      <c r="B72" s="3">
        <v>43646</v>
      </c>
      <c r="C72" s="2" t="s">
        <v>886</v>
      </c>
      <c r="D72" t="s">
        <v>6148</v>
      </c>
      <c r="E72" s="2">
        <v>4</v>
      </c>
      <c r="F72" s="2" t="str">
        <f>IFERROR(INDEX(customers!B$1:B$1001, MATCH(C72, customers!A$1:A$1001, 0)), "Not Found")</f>
        <v>Shannon List</v>
      </c>
      <c r="G72" s="2" t="str">
        <f>IF(IFERROR(INDEX(customers!C$1:C$1001, MATCH(C72, customers!A$1:A$1001, 0)), "Not Found")=0,"",IFERROR(INDEX(customers!C$1:C$1001, MATCH(C72, customers!A$1:A$1001, 0)), "Not Found"))</f>
        <v>slist1y@mapquest.com</v>
      </c>
      <c r="H72" s="2" t="str">
        <f>IFERROR(INDEX(customers!G$1:G$1001, MATCH(C72, customers!A$1:A$1001, 0)), "Not Found")</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L72*E72</f>
        <v>136.61999999999998</v>
      </c>
      <c r="N72" t="str">
        <f>IF(I72="Rob","Robusta",IF(I72="Exc","Excelsa",IF(I72="Ara","Arabica",IF(I72="Lib","Laberica",""))))</f>
        <v>Excelsa</v>
      </c>
      <c r="O72" t="str">
        <f t="shared" si="1"/>
        <v>Light</v>
      </c>
      <c r="P72" t="str">
        <f>INDEX(customers!$I$1:$I$1001, MATCH(Orders[[#This Row],[Customer ID]], customers!$A$1:$A$1001, 0))</f>
        <v>No</v>
      </c>
    </row>
    <row r="73" spans="1:16" x14ac:dyDescent="0.25">
      <c r="A73" s="2" t="s">
        <v>891</v>
      </c>
      <c r="B73" s="3">
        <v>44200</v>
      </c>
      <c r="C73" s="2" t="s">
        <v>892</v>
      </c>
      <c r="D73" t="s">
        <v>6145</v>
      </c>
      <c r="E73" s="2">
        <v>2</v>
      </c>
      <c r="F73" s="2" t="str">
        <f>IFERROR(INDEX(customers!B$1:B$1001, MATCH(C73, customers!A$1:A$1001, 0)), "Not Found")</f>
        <v>Shirlene Edmondson</v>
      </c>
      <c r="G73" s="2" t="str">
        <f>IF(IFERROR(INDEX(customers!C$1:C$1001, MATCH(C73, customers!A$1:A$1001, 0)), "Not Found")=0,"",IFERROR(INDEX(customers!C$1:C$1001, MATCH(C73, customers!A$1:A$1001, 0)), "Not Found"))</f>
        <v>sedmondson1z@theguardian.com</v>
      </c>
      <c r="H73" s="2" t="str">
        <f>IFERROR(INDEX(customers!G$1:G$1001, MATCH(C73, customers!A$1:A$1001, 0)), "Not Found")</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L73*E73</f>
        <v>9.51</v>
      </c>
      <c r="N73" t="str">
        <f>IF(I73="Rob","Robusta",IF(I73="Exc","Excelsa",IF(I73="Ara","Arabica",IF(I73="Lib","Laberica",""))))</f>
        <v>Laberica</v>
      </c>
      <c r="O73" t="str">
        <f t="shared" si="1"/>
        <v>Light</v>
      </c>
      <c r="P73" t="str">
        <f>INDEX(customers!$I$1:$I$1001, MATCH(Orders[[#This Row],[Customer ID]], customers!$A$1:$A$1001, 0))</f>
        <v>No</v>
      </c>
    </row>
    <row r="74" spans="1:16" x14ac:dyDescent="0.25">
      <c r="A74" s="2" t="s">
        <v>897</v>
      </c>
      <c r="B74" s="3">
        <v>44131</v>
      </c>
      <c r="C74" s="2" t="s">
        <v>898</v>
      </c>
      <c r="D74" t="s">
        <v>6175</v>
      </c>
      <c r="E74" s="2">
        <v>3</v>
      </c>
      <c r="F74" s="2" t="str">
        <f>IFERROR(INDEX(customers!B$1:B$1001, MATCH(C74, customers!A$1:A$1001, 0)), "Not Found")</f>
        <v>Aurlie McCarl</v>
      </c>
      <c r="G74" s="2" t="str">
        <f>IF(IFERROR(INDEX(customers!C$1:C$1001, MATCH(C74, customers!A$1:A$1001, 0)), "Not Found")=0,"",IFERROR(INDEX(customers!C$1:C$1001, MATCH(C74, customers!A$1:A$1001, 0)), "Not Found"))</f>
        <v/>
      </c>
      <c r="H74" s="2" t="str">
        <f>IFERROR(INDEX(customers!G$1:G$1001, MATCH(C74, customers!A$1:A$1001, 0)), "Not Found")</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L74*E74</f>
        <v>77.624999999999986</v>
      </c>
      <c r="N74" t="str">
        <f>IF(I74="Rob","Robusta",IF(I74="Exc","Excelsa",IF(I74="Ara","Arabica",IF(I74="Lib","Laberica",""))))</f>
        <v>Arabica</v>
      </c>
      <c r="O74" t="str">
        <f t="shared" si="1"/>
        <v>Medium</v>
      </c>
      <c r="P74" t="str">
        <f>INDEX(customers!$I$1:$I$1001, MATCH(Orders[[#This Row],[Customer ID]], customers!$A$1:$A$1001, 0))</f>
        <v>No</v>
      </c>
    </row>
    <row r="75" spans="1:16" x14ac:dyDescent="0.25">
      <c r="A75" s="2" t="s">
        <v>902</v>
      </c>
      <c r="B75" s="3">
        <v>44362</v>
      </c>
      <c r="C75" s="2" t="s">
        <v>903</v>
      </c>
      <c r="D75" t="s">
        <v>6159</v>
      </c>
      <c r="E75" s="2">
        <v>5</v>
      </c>
      <c r="F75" s="2" t="str">
        <f>IFERROR(INDEX(customers!B$1:B$1001, MATCH(C75, customers!A$1:A$1001, 0)), "Not Found")</f>
        <v>Alikee Carryer</v>
      </c>
      <c r="G75" s="2" t="str">
        <f>IF(IFERROR(INDEX(customers!C$1:C$1001, MATCH(C75, customers!A$1:A$1001, 0)), "Not Found")=0,"",IFERROR(INDEX(customers!C$1:C$1001, MATCH(C75, customers!A$1:A$1001, 0)), "Not Found"))</f>
        <v/>
      </c>
      <c r="H75" s="2" t="str">
        <f>IFERROR(INDEX(customers!G$1:G$1001, MATCH(C75, customers!A$1:A$1001, 0)), "Not Found")</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L75*E75</f>
        <v>21.825000000000003</v>
      </c>
      <c r="N75" t="str">
        <f>IF(I75="Rob","Robusta",IF(I75="Exc","Excelsa",IF(I75="Ara","Arabica",IF(I75="Lib","Laberica",""))))</f>
        <v>Laberica</v>
      </c>
      <c r="O75" t="str">
        <f t="shared" si="1"/>
        <v>Medium</v>
      </c>
      <c r="P75" t="str">
        <f>INDEX(customers!$I$1:$I$1001, MATCH(Orders[[#This Row],[Customer ID]], customers!$A$1:$A$1001, 0))</f>
        <v>Yes</v>
      </c>
    </row>
    <row r="76" spans="1:16" x14ac:dyDescent="0.25">
      <c r="A76" s="2" t="s">
        <v>907</v>
      </c>
      <c r="B76" s="3">
        <v>44396</v>
      </c>
      <c r="C76" s="2" t="s">
        <v>908</v>
      </c>
      <c r="D76" t="s">
        <v>6176</v>
      </c>
      <c r="E76" s="2">
        <v>2</v>
      </c>
      <c r="F76" s="2" t="str">
        <f>IFERROR(INDEX(customers!B$1:B$1001, MATCH(C76, customers!A$1:A$1001, 0)), "Not Found")</f>
        <v>Jennifer Rangall</v>
      </c>
      <c r="G76" s="2" t="str">
        <f>IF(IFERROR(INDEX(customers!C$1:C$1001, MATCH(C76, customers!A$1:A$1001, 0)), "Not Found")=0,"",IFERROR(INDEX(customers!C$1:C$1001, MATCH(C76, customers!A$1:A$1001, 0)), "Not Found"))</f>
        <v>jrangall22@newsvine.com</v>
      </c>
      <c r="H76" s="2" t="str">
        <f>IFERROR(INDEX(customers!G$1:G$1001, MATCH(C76, customers!A$1:A$1001, 0)), "Not Found")</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L76*E76</f>
        <v>17.82</v>
      </c>
      <c r="N76" t="str">
        <f>IF(I76="Rob","Robusta",IF(I76="Exc","Excelsa",IF(I76="Ara","Arabica",IF(I76="Lib","Laberica",""))))</f>
        <v>Excelsa</v>
      </c>
      <c r="O76" t="str">
        <f t="shared" si="1"/>
        <v>Light</v>
      </c>
      <c r="P76" t="str">
        <f>INDEX(customers!$I$1:$I$1001, MATCH(Orders[[#This Row],[Customer ID]], customers!$A$1:$A$1001, 0))</f>
        <v>Yes</v>
      </c>
    </row>
    <row r="77" spans="1:16" x14ac:dyDescent="0.25">
      <c r="A77" s="2" t="s">
        <v>913</v>
      </c>
      <c r="B77" s="3">
        <v>44400</v>
      </c>
      <c r="C77" s="2" t="s">
        <v>914</v>
      </c>
      <c r="D77" t="s">
        <v>6177</v>
      </c>
      <c r="E77" s="2">
        <v>6</v>
      </c>
      <c r="F77" s="2" t="str">
        <f>IFERROR(INDEX(customers!B$1:B$1001, MATCH(C77, customers!A$1:A$1001, 0)), "Not Found")</f>
        <v>Kipper Boorn</v>
      </c>
      <c r="G77" s="2" t="str">
        <f>IF(IFERROR(INDEX(customers!C$1:C$1001, MATCH(C77, customers!A$1:A$1001, 0)), "Not Found")=0,"",IFERROR(INDEX(customers!C$1:C$1001, MATCH(C77, customers!A$1:A$1001, 0)), "Not Found"))</f>
        <v>kboorn23@ezinearticles.com</v>
      </c>
      <c r="H77" s="2" t="str">
        <f>IFERROR(INDEX(customers!G$1:G$1001, MATCH(C77, customers!A$1:A$1001, 0)), "Not Found")</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L77*E77</f>
        <v>53.699999999999996</v>
      </c>
      <c r="N77" t="str">
        <f>IF(I77="Rob","Robusta",IF(I77="Exc","Excelsa",IF(I77="Ara","Arabica",IF(I77="Lib","Laberica",""))))</f>
        <v>Robusta</v>
      </c>
      <c r="O77" t="str">
        <f t="shared" si="1"/>
        <v>Dark</v>
      </c>
      <c r="P77" t="str">
        <f>INDEX(customers!$I$1:$I$1001, MATCH(Orders[[#This Row],[Customer ID]], customers!$A$1:$A$1001, 0))</f>
        <v>Yes</v>
      </c>
    </row>
    <row r="78" spans="1:16" x14ac:dyDescent="0.25">
      <c r="A78" s="2" t="s">
        <v>919</v>
      </c>
      <c r="B78" s="3">
        <v>43855</v>
      </c>
      <c r="C78" s="2" t="s">
        <v>920</v>
      </c>
      <c r="D78" t="s">
        <v>6178</v>
      </c>
      <c r="E78" s="2">
        <v>1</v>
      </c>
      <c r="F78" s="2" t="str">
        <f>IFERROR(INDEX(customers!B$1:B$1001, MATCH(C78, customers!A$1:A$1001, 0)), "Not Found")</f>
        <v>Melania Beadle</v>
      </c>
      <c r="G78" s="2" t="str">
        <f>IF(IFERROR(INDEX(customers!C$1:C$1001, MATCH(C78, customers!A$1:A$1001, 0)), "Not Found")=0,"",IFERROR(INDEX(customers!C$1:C$1001, MATCH(C78, customers!A$1:A$1001, 0)), "Not Found"))</f>
        <v/>
      </c>
      <c r="H78" s="2" t="str">
        <f>IFERROR(INDEX(customers!G$1:G$1001, MATCH(C78, customers!A$1:A$1001, 0)), "Not Found")</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L78*E78</f>
        <v>3.5849999999999995</v>
      </c>
      <c r="N78" t="str">
        <f>IF(I78="Rob","Robusta",IF(I78="Exc","Excelsa",IF(I78="Ara","Arabica",IF(I78="Lib","Laberica",""))))</f>
        <v>Robusta</v>
      </c>
      <c r="O78" t="str">
        <f t="shared" si="1"/>
        <v>Light</v>
      </c>
      <c r="P78" t="str">
        <f>INDEX(customers!$I$1:$I$1001, MATCH(Orders[[#This Row],[Customer ID]], customers!$A$1:$A$1001, 0))</f>
        <v>Yes</v>
      </c>
    </row>
    <row r="79" spans="1:16" x14ac:dyDescent="0.25">
      <c r="A79" s="2" t="s">
        <v>924</v>
      </c>
      <c r="B79" s="3">
        <v>43594</v>
      </c>
      <c r="C79" s="2" t="s">
        <v>925</v>
      </c>
      <c r="D79" t="s">
        <v>6153</v>
      </c>
      <c r="E79" s="2">
        <v>2</v>
      </c>
      <c r="F79" s="2" t="str">
        <f>IFERROR(INDEX(customers!B$1:B$1001, MATCH(C79, customers!A$1:A$1001, 0)), "Not Found")</f>
        <v>Colene Elgey</v>
      </c>
      <c r="G79" s="2" t="str">
        <f>IF(IFERROR(INDEX(customers!C$1:C$1001, MATCH(C79, customers!A$1:A$1001, 0)), "Not Found")=0,"",IFERROR(INDEX(customers!C$1:C$1001, MATCH(C79, customers!A$1:A$1001, 0)), "Not Found"))</f>
        <v>celgey25@webs.com</v>
      </c>
      <c r="H79" s="2" t="str">
        <f>IFERROR(INDEX(customers!G$1:G$1001, MATCH(C79, customers!A$1:A$1001, 0)), "Not Found")</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L79*E79</f>
        <v>7.29</v>
      </c>
      <c r="N79" t="str">
        <f>IF(I79="Rob","Robusta",IF(I79="Exc","Excelsa",IF(I79="Ara","Arabica",IF(I79="Lib","Laberica",""))))</f>
        <v>Excelsa</v>
      </c>
      <c r="O79" t="str">
        <f t="shared" si="1"/>
        <v>Dark</v>
      </c>
      <c r="P79" t="str">
        <f>INDEX(customers!$I$1:$I$1001, MATCH(Orders[[#This Row],[Customer ID]], customers!$A$1:$A$1001, 0))</f>
        <v>No</v>
      </c>
    </row>
    <row r="80" spans="1:16" x14ac:dyDescent="0.25">
      <c r="A80" s="2" t="s">
        <v>930</v>
      </c>
      <c r="B80" s="3">
        <v>43920</v>
      </c>
      <c r="C80" s="2" t="s">
        <v>931</v>
      </c>
      <c r="D80" t="s">
        <v>6157</v>
      </c>
      <c r="E80" s="2">
        <v>6</v>
      </c>
      <c r="F80" s="2" t="str">
        <f>IFERROR(INDEX(customers!B$1:B$1001, MATCH(C80, customers!A$1:A$1001, 0)), "Not Found")</f>
        <v>Lothaire Mizzi</v>
      </c>
      <c r="G80" s="2" t="str">
        <f>IF(IFERROR(INDEX(customers!C$1:C$1001, MATCH(C80, customers!A$1:A$1001, 0)), "Not Found")=0,"",IFERROR(INDEX(customers!C$1:C$1001, MATCH(C80, customers!A$1:A$1001, 0)), "Not Found"))</f>
        <v>lmizzi26@rakuten.co.jp</v>
      </c>
      <c r="H80" s="2" t="str">
        <f>IFERROR(INDEX(customers!G$1:G$1001, MATCH(C80, customers!A$1:A$1001, 0)), "Not Found")</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L80*E80</f>
        <v>40.5</v>
      </c>
      <c r="N80" t="str">
        <f>IF(I80="Rob","Robusta",IF(I80="Exc","Excelsa",IF(I80="Ara","Arabica",IF(I80="Lib","Laberica",""))))</f>
        <v>Arabica</v>
      </c>
      <c r="O80" t="str">
        <f t="shared" si="1"/>
        <v>Medium</v>
      </c>
      <c r="P80" t="str">
        <f>INDEX(customers!$I$1:$I$1001, MATCH(Orders[[#This Row],[Customer ID]], customers!$A$1:$A$1001, 0))</f>
        <v>Yes</v>
      </c>
    </row>
    <row r="81" spans="1:16" x14ac:dyDescent="0.25">
      <c r="A81" s="2" t="s">
        <v>936</v>
      </c>
      <c r="B81" s="3">
        <v>44633</v>
      </c>
      <c r="C81" s="2" t="s">
        <v>937</v>
      </c>
      <c r="D81" t="s">
        <v>6179</v>
      </c>
      <c r="E81" s="2">
        <v>4</v>
      </c>
      <c r="F81" s="2" t="str">
        <f>IFERROR(INDEX(customers!B$1:B$1001, MATCH(C81, customers!A$1:A$1001, 0)), "Not Found")</f>
        <v>Cletis Giacomazzo</v>
      </c>
      <c r="G81" s="2" t="str">
        <f>IF(IFERROR(INDEX(customers!C$1:C$1001, MATCH(C81, customers!A$1:A$1001, 0)), "Not Found")=0,"",IFERROR(INDEX(customers!C$1:C$1001, MATCH(C81, customers!A$1:A$1001, 0)), "Not Found"))</f>
        <v>cgiacomazzo27@jigsy.com</v>
      </c>
      <c r="H81" s="2" t="str">
        <f>IFERROR(INDEX(customers!G$1:G$1001, MATCH(C81, customers!A$1:A$1001, 0)), "Not Found")</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L81*E81</f>
        <v>47.8</v>
      </c>
      <c r="N81" t="str">
        <f>IF(I81="Rob","Robusta",IF(I81="Exc","Excelsa",IF(I81="Ara","Arabica",IF(I81="Lib","Laberica",""))))</f>
        <v>Robusta</v>
      </c>
      <c r="O81" t="str">
        <f t="shared" si="1"/>
        <v>Light</v>
      </c>
      <c r="P81" t="str">
        <f>INDEX(customers!$I$1:$I$1001, MATCH(Orders[[#This Row],[Customer ID]], customers!$A$1:$A$1001, 0))</f>
        <v>No</v>
      </c>
    </row>
    <row r="82" spans="1:16" x14ac:dyDescent="0.25">
      <c r="A82" s="2" t="s">
        <v>942</v>
      </c>
      <c r="B82" s="3">
        <v>43572</v>
      </c>
      <c r="C82" s="2" t="s">
        <v>943</v>
      </c>
      <c r="D82" t="s">
        <v>6180</v>
      </c>
      <c r="E82" s="2">
        <v>5</v>
      </c>
      <c r="F82" s="2" t="str">
        <f>IFERROR(INDEX(customers!B$1:B$1001, MATCH(C82, customers!A$1:A$1001, 0)), "Not Found")</f>
        <v>Ami Arnow</v>
      </c>
      <c r="G82" s="2" t="str">
        <f>IF(IFERROR(INDEX(customers!C$1:C$1001, MATCH(C82, customers!A$1:A$1001, 0)), "Not Found")=0,"",IFERROR(INDEX(customers!C$1:C$1001, MATCH(C82, customers!A$1:A$1001, 0)), "Not Found"))</f>
        <v>aarnow28@arizona.edu</v>
      </c>
      <c r="H82" s="2" t="str">
        <f>IFERROR(INDEX(customers!G$1:G$1001, MATCH(C82, customers!A$1:A$1001, 0)), "Not Found")</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L82*E82</f>
        <v>38.849999999999994</v>
      </c>
      <c r="N82" t="str">
        <f>IF(I82="Rob","Robusta",IF(I82="Exc","Excelsa",IF(I82="Ara","Arabica",IF(I82="Lib","Laberica",""))))</f>
        <v>Arabica</v>
      </c>
      <c r="O82" t="str">
        <f t="shared" si="1"/>
        <v>Light</v>
      </c>
      <c r="P82" t="str">
        <f>INDEX(customers!$I$1:$I$1001, MATCH(Orders[[#This Row],[Customer ID]], customers!$A$1:$A$1001, 0))</f>
        <v>Yes</v>
      </c>
    </row>
    <row r="83" spans="1:16" x14ac:dyDescent="0.25">
      <c r="A83" s="2" t="s">
        <v>948</v>
      </c>
      <c r="B83" s="3">
        <v>43763</v>
      </c>
      <c r="C83" s="2" t="s">
        <v>949</v>
      </c>
      <c r="D83" t="s">
        <v>6164</v>
      </c>
      <c r="E83" s="2">
        <v>3</v>
      </c>
      <c r="F83" s="2" t="str">
        <f>IFERROR(INDEX(customers!B$1:B$1001, MATCH(C83, customers!A$1:A$1001, 0)), "Not Found")</f>
        <v>Sheppard Yann</v>
      </c>
      <c r="G83" s="2" t="str">
        <f>IF(IFERROR(INDEX(customers!C$1:C$1001, MATCH(C83, customers!A$1:A$1001, 0)), "Not Found")=0,"",IFERROR(INDEX(customers!C$1:C$1001, MATCH(C83, customers!A$1:A$1001, 0)), "Not Found"))</f>
        <v>syann29@senate.gov</v>
      </c>
      <c r="H83" s="2" t="str">
        <f>IFERROR(INDEX(customers!G$1:G$1001, MATCH(C83, customers!A$1:A$1001, 0)), "Not Found")</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L83*E83</f>
        <v>109.36499999999999</v>
      </c>
      <c r="N83" t="str">
        <f>IF(I83="Rob","Robusta",IF(I83="Exc","Excelsa",IF(I83="Ara","Arabica",IF(I83="Lib","Laberica",""))))</f>
        <v>Laberica</v>
      </c>
      <c r="O83" t="str">
        <f t="shared" si="1"/>
        <v>Light</v>
      </c>
      <c r="P83" t="str">
        <f>INDEX(customers!$I$1:$I$1001, MATCH(Orders[[#This Row],[Customer ID]], customers!$A$1:$A$1001, 0))</f>
        <v>Yes</v>
      </c>
    </row>
    <row r="84" spans="1:16" x14ac:dyDescent="0.25">
      <c r="A84" s="2" t="s">
        <v>954</v>
      </c>
      <c r="B84" s="3">
        <v>43721</v>
      </c>
      <c r="C84" s="2" t="s">
        <v>955</v>
      </c>
      <c r="D84" t="s">
        <v>6181</v>
      </c>
      <c r="E84" s="2">
        <v>3</v>
      </c>
      <c r="F84" s="2" t="str">
        <f>IFERROR(INDEX(customers!B$1:B$1001, MATCH(C84, customers!A$1:A$1001, 0)), "Not Found")</f>
        <v>Bunny Naulls</v>
      </c>
      <c r="G84" s="2" t="str">
        <f>IF(IFERROR(INDEX(customers!C$1:C$1001, MATCH(C84, customers!A$1:A$1001, 0)), "Not Found")=0,"",IFERROR(INDEX(customers!C$1:C$1001, MATCH(C84, customers!A$1:A$1001, 0)), "Not Found"))</f>
        <v>bnaulls2a@tiny.cc</v>
      </c>
      <c r="H84" s="2" t="str">
        <f>IFERROR(INDEX(customers!G$1:G$1001, MATCH(C84, customers!A$1:A$1001, 0)), "Not Found")</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L84*E84</f>
        <v>100.39499999999998</v>
      </c>
      <c r="N84" t="str">
        <f>IF(I84="Rob","Robusta",IF(I84="Exc","Excelsa",IF(I84="Ara","Arabica",IF(I84="Lib","Laberica",""))))</f>
        <v>Laberica</v>
      </c>
      <c r="O84" t="str">
        <f t="shared" si="1"/>
        <v>Medium</v>
      </c>
      <c r="P84" t="str">
        <f>INDEX(customers!$I$1:$I$1001, MATCH(Orders[[#This Row],[Customer ID]], customers!$A$1:$A$1001, 0))</f>
        <v>Yes</v>
      </c>
    </row>
    <row r="85" spans="1:16" x14ac:dyDescent="0.25">
      <c r="A85" s="2" t="s">
        <v>960</v>
      </c>
      <c r="B85" s="3">
        <v>43933</v>
      </c>
      <c r="C85" s="2" t="s">
        <v>961</v>
      </c>
      <c r="D85" t="s">
        <v>6149</v>
      </c>
      <c r="E85" s="2">
        <v>4</v>
      </c>
      <c r="F85" s="2" t="str">
        <f>IFERROR(INDEX(customers!B$1:B$1001, MATCH(C85, customers!A$1:A$1001, 0)), "Not Found")</f>
        <v>Hally Lorait</v>
      </c>
      <c r="G85" s="2" t="str">
        <f>IF(IFERROR(INDEX(customers!C$1:C$1001, MATCH(C85, customers!A$1:A$1001, 0)), "Not Found")=0,"",IFERROR(INDEX(customers!C$1:C$1001, MATCH(C85, customers!A$1:A$1001, 0)), "Not Found"))</f>
        <v/>
      </c>
      <c r="H85" s="2" t="str">
        <f>IFERROR(INDEX(customers!G$1:G$1001, MATCH(C85, customers!A$1:A$1001, 0)), "Not Found")</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L85*E85</f>
        <v>82.339999999999989</v>
      </c>
      <c r="N85" t="str">
        <f>IF(I85="Rob","Robusta",IF(I85="Exc","Excelsa",IF(I85="Ara","Arabica",IF(I85="Lib","Laberica",""))))</f>
        <v>Robusta</v>
      </c>
      <c r="O85" t="str">
        <f t="shared" si="1"/>
        <v>Dark</v>
      </c>
      <c r="P85" t="str">
        <f>INDEX(customers!$I$1:$I$1001, MATCH(Orders[[#This Row],[Customer ID]], customers!$A$1:$A$1001, 0))</f>
        <v>Yes</v>
      </c>
    </row>
    <row r="86" spans="1:16" x14ac:dyDescent="0.25">
      <c r="A86" s="2" t="s">
        <v>965</v>
      </c>
      <c r="B86" s="3">
        <v>43783</v>
      </c>
      <c r="C86" s="2" t="s">
        <v>966</v>
      </c>
      <c r="D86" t="s">
        <v>6161</v>
      </c>
      <c r="E86" s="2">
        <v>1</v>
      </c>
      <c r="F86" s="2" t="str">
        <f>IFERROR(INDEX(customers!B$1:B$1001, MATCH(C86, customers!A$1:A$1001, 0)), "Not Found")</f>
        <v>Zaccaria Sherewood</v>
      </c>
      <c r="G86" s="2" t="str">
        <f>IF(IFERROR(INDEX(customers!C$1:C$1001, MATCH(C86, customers!A$1:A$1001, 0)), "Not Found")=0,"",IFERROR(INDEX(customers!C$1:C$1001, MATCH(C86, customers!A$1:A$1001, 0)), "Not Found"))</f>
        <v>zsherewood2c@apache.org</v>
      </c>
      <c r="H86" s="2" t="str">
        <f>IFERROR(INDEX(customers!G$1:G$1001, MATCH(C86, customers!A$1:A$1001, 0)), "Not Found")</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L86*E86</f>
        <v>9.51</v>
      </c>
      <c r="N86" t="str">
        <f>IF(I86="Rob","Robusta",IF(I86="Exc","Excelsa",IF(I86="Ara","Arabica",IF(I86="Lib","Laberica",""))))</f>
        <v>Laberica</v>
      </c>
      <c r="O86" t="str">
        <f t="shared" si="1"/>
        <v>Light</v>
      </c>
      <c r="P86" t="str">
        <f>INDEX(customers!$I$1:$I$1001, MATCH(Orders[[#This Row],[Customer ID]], customers!$A$1:$A$1001, 0))</f>
        <v>No</v>
      </c>
    </row>
    <row r="87" spans="1:16" x14ac:dyDescent="0.25">
      <c r="A87" s="2" t="s">
        <v>971</v>
      </c>
      <c r="B87" s="3">
        <v>43664</v>
      </c>
      <c r="C87" s="2" t="s">
        <v>972</v>
      </c>
      <c r="D87" t="s">
        <v>6182</v>
      </c>
      <c r="E87" s="2">
        <v>3</v>
      </c>
      <c r="F87" s="2" t="str">
        <f>IFERROR(INDEX(customers!B$1:B$1001, MATCH(C87, customers!A$1:A$1001, 0)), "Not Found")</f>
        <v>Jeffrey Dufaire</v>
      </c>
      <c r="G87" s="2" t="str">
        <f>IF(IFERROR(INDEX(customers!C$1:C$1001, MATCH(C87, customers!A$1:A$1001, 0)), "Not Found")=0,"",IFERROR(INDEX(customers!C$1:C$1001, MATCH(C87, customers!A$1:A$1001, 0)), "Not Found"))</f>
        <v>jdufaire2d@fc2.com</v>
      </c>
      <c r="H87" s="2" t="str">
        <f>IFERROR(INDEX(customers!G$1:G$1001, MATCH(C87, customers!A$1:A$1001, 0)), "Not Found")</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L87*E87</f>
        <v>89.35499999999999</v>
      </c>
      <c r="N87" t="str">
        <f>IF(I87="Rob","Robusta",IF(I87="Exc","Excelsa",IF(I87="Ara","Arabica",IF(I87="Lib","Laberica",""))))</f>
        <v>Arabica</v>
      </c>
      <c r="O87" t="str">
        <f t="shared" si="1"/>
        <v>Light</v>
      </c>
      <c r="P87" t="str">
        <f>INDEX(customers!$I$1:$I$1001, MATCH(Orders[[#This Row],[Customer ID]], customers!$A$1:$A$1001, 0))</f>
        <v>No</v>
      </c>
    </row>
    <row r="88" spans="1:16" x14ac:dyDescent="0.25">
      <c r="A88" s="2" t="s">
        <v>971</v>
      </c>
      <c r="B88" s="3">
        <v>43664</v>
      </c>
      <c r="C88" s="2" t="s">
        <v>972</v>
      </c>
      <c r="D88" t="s">
        <v>6154</v>
      </c>
      <c r="E88" s="2">
        <v>4</v>
      </c>
      <c r="F88" s="2" t="str">
        <f>IFERROR(INDEX(customers!B$1:B$1001, MATCH(C88, customers!A$1:A$1001, 0)), "Not Found")</f>
        <v>Jeffrey Dufaire</v>
      </c>
      <c r="G88" s="2" t="str">
        <f>IF(IFERROR(INDEX(customers!C$1:C$1001, MATCH(C88, customers!A$1:A$1001, 0)), "Not Found")=0,"",IFERROR(INDEX(customers!C$1:C$1001, MATCH(C88, customers!A$1:A$1001, 0)), "Not Found"))</f>
        <v>jdufaire2d@fc2.com</v>
      </c>
      <c r="H88" s="2" t="str">
        <f>IFERROR(INDEX(customers!G$1:G$1001, MATCH(C88, customers!A$1:A$1001, 0)), "Not Found")</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L88*E88</f>
        <v>11.94</v>
      </c>
      <c r="N88" t="str">
        <f>IF(I88="Rob","Robusta",IF(I88="Exc","Excelsa",IF(I88="Ara","Arabica",IF(I88="Lib","Laberica",""))))</f>
        <v>Arabica</v>
      </c>
      <c r="O88" t="str">
        <f t="shared" si="1"/>
        <v>Dark</v>
      </c>
      <c r="P88" t="str">
        <f>INDEX(customers!$I$1:$I$1001, MATCH(Orders[[#This Row],[Customer ID]], customers!$A$1:$A$1001, 0))</f>
        <v>No</v>
      </c>
    </row>
    <row r="89" spans="1:16" x14ac:dyDescent="0.25">
      <c r="A89" s="2" t="s">
        <v>980</v>
      </c>
      <c r="B89" s="3">
        <v>44289</v>
      </c>
      <c r="C89" s="2" t="s">
        <v>981</v>
      </c>
      <c r="D89" t="s">
        <v>6155</v>
      </c>
      <c r="E89" s="2">
        <v>3</v>
      </c>
      <c r="F89" s="2" t="str">
        <f>IFERROR(INDEX(customers!B$1:B$1001, MATCH(C89, customers!A$1:A$1001, 0)), "Not Found")</f>
        <v>Beitris Keaveney</v>
      </c>
      <c r="G89" s="2" t="str">
        <f>IF(IFERROR(INDEX(customers!C$1:C$1001, MATCH(C89, customers!A$1:A$1001, 0)), "Not Found")=0,"",IFERROR(INDEX(customers!C$1:C$1001, MATCH(C89, customers!A$1:A$1001, 0)), "Not Found"))</f>
        <v>bkeaveney2f@netlog.com</v>
      </c>
      <c r="H89" s="2" t="str">
        <f>IFERROR(INDEX(customers!G$1:G$1001, MATCH(C89, customers!A$1:A$1001, 0)), "Not Found")</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L89*E89</f>
        <v>33.75</v>
      </c>
      <c r="N89" t="str">
        <f>IF(I89="Rob","Robusta",IF(I89="Exc","Excelsa",IF(I89="Ara","Arabica",IF(I89="Lib","Laberica",""))))</f>
        <v>Arabica</v>
      </c>
      <c r="O89" t="str">
        <f t="shared" si="1"/>
        <v>Medium</v>
      </c>
      <c r="P89" t="str">
        <f>INDEX(customers!$I$1:$I$1001, MATCH(Orders[[#This Row],[Customer ID]], customers!$A$1:$A$1001, 0))</f>
        <v>No</v>
      </c>
    </row>
    <row r="90" spans="1:16" x14ac:dyDescent="0.25">
      <c r="A90" s="2" t="s">
        <v>985</v>
      </c>
      <c r="B90" s="3">
        <v>44284</v>
      </c>
      <c r="C90" s="2" t="s">
        <v>986</v>
      </c>
      <c r="D90" t="s">
        <v>6179</v>
      </c>
      <c r="E90" s="2">
        <v>3</v>
      </c>
      <c r="F90" s="2" t="str">
        <f>IFERROR(INDEX(customers!B$1:B$1001, MATCH(C90, customers!A$1:A$1001, 0)), "Not Found")</f>
        <v>Elna Grise</v>
      </c>
      <c r="G90" s="2" t="str">
        <f>IF(IFERROR(INDEX(customers!C$1:C$1001, MATCH(C90, customers!A$1:A$1001, 0)), "Not Found")=0,"",IFERROR(INDEX(customers!C$1:C$1001, MATCH(C90, customers!A$1:A$1001, 0)), "Not Found"))</f>
        <v>egrise2g@cargocollective.com</v>
      </c>
      <c r="H90" s="2" t="str">
        <f>IFERROR(INDEX(customers!G$1:G$1001, MATCH(C90, customers!A$1:A$1001, 0)), "Not Found")</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L90*E90</f>
        <v>35.849999999999994</v>
      </c>
      <c r="N90" t="str">
        <f>IF(I90="Rob","Robusta",IF(I90="Exc","Excelsa",IF(I90="Ara","Arabica",IF(I90="Lib","Laberica",""))))</f>
        <v>Robusta</v>
      </c>
      <c r="O90" t="str">
        <f t="shared" si="1"/>
        <v>Light</v>
      </c>
      <c r="P90" t="str">
        <f>INDEX(customers!$I$1:$I$1001, MATCH(Orders[[#This Row],[Customer ID]], customers!$A$1:$A$1001, 0))</f>
        <v>No</v>
      </c>
    </row>
    <row r="91" spans="1:16" x14ac:dyDescent="0.25">
      <c r="A91" s="2" t="s">
        <v>990</v>
      </c>
      <c r="B91" s="3">
        <v>44545</v>
      </c>
      <c r="C91" s="2" t="s">
        <v>991</v>
      </c>
      <c r="D91" t="s">
        <v>6140</v>
      </c>
      <c r="E91" s="2">
        <v>6</v>
      </c>
      <c r="F91" s="2" t="str">
        <f>IFERROR(INDEX(customers!B$1:B$1001, MATCH(C91, customers!A$1:A$1001, 0)), "Not Found")</f>
        <v>Torie Gottelier</v>
      </c>
      <c r="G91" s="2" t="str">
        <f>IF(IFERROR(INDEX(customers!C$1:C$1001, MATCH(C91, customers!A$1:A$1001, 0)), "Not Found")=0,"",IFERROR(INDEX(customers!C$1:C$1001, MATCH(C91, customers!A$1:A$1001, 0)), "Not Found"))</f>
        <v>tgottelier2h@vistaprint.com</v>
      </c>
      <c r="H91" s="2" t="str">
        <f>IFERROR(INDEX(customers!G$1:G$1001, MATCH(C91, customers!A$1:A$1001, 0)), "Not Found")</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L91*E91</f>
        <v>77.699999999999989</v>
      </c>
      <c r="N91" t="str">
        <f>IF(I91="Rob","Robusta",IF(I91="Exc","Excelsa",IF(I91="Ara","Arabica",IF(I91="Lib","Laberica",""))))</f>
        <v>Arabica</v>
      </c>
      <c r="O91" t="str">
        <f t="shared" si="1"/>
        <v>Light</v>
      </c>
      <c r="P91" t="str">
        <f>INDEX(customers!$I$1:$I$1001, MATCH(Orders[[#This Row],[Customer ID]], customers!$A$1:$A$1001, 0))</f>
        <v>No</v>
      </c>
    </row>
    <row r="92" spans="1:16" x14ac:dyDescent="0.25">
      <c r="A92" s="2" t="s">
        <v>996</v>
      </c>
      <c r="B92" s="3">
        <v>43971</v>
      </c>
      <c r="C92" s="2" t="s">
        <v>997</v>
      </c>
      <c r="D92" t="s">
        <v>6140</v>
      </c>
      <c r="E92" s="2">
        <v>4</v>
      </c>
      <c r="F92" s="2" t="str">
        <f>IFERROR(INDEX(customers!B$1:B$1001, MATCH(C92, customers!A$1:A$1001, 0)), "Not Found")</f>
        <v>Loydie Langlais</v>
      </c>
      <c r="G92" s="2" t="str">
        <f>IF(IFERROR(INDEX(customers!C$1:C$1001, MATCH(C92, customers!A$1:A$1001, 0)), "Not Found")=0,"",IFERROR(INDEX(customers!C$1:C$1001, MATCH(C92, customers!A$1:A$1001, 0)), "Not Found"))</f>
        <v/>
      </c>
      <c r="H92" s="2" t="str">
        <f>IFERROR(INDEX(customers!G$1:G$1001, MATCH(C92, customers!A$1:A$1001, 0)), "Not Found")</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L92*E92</f>
        <v>51.8</v>
      </c>
      <c r="N92" t="str">
        <f>IF(I92="Rob","Robusta",IF(I92="Exc","Excelsa",IF(I92="Ara","Arabica",IF(I92="Lib","Laberica",""))))</f>
        <v>Arabica</v>
      </c>
      <c r="O92" t="str">
        <f t="shared" si="1"/>
        <v>Light</v>
      </c>
      <c r="P92" t="str">
        <f>INDEX(customers!$I$1:$I$1001, MATCH(Orders[[#This Row],[Customer ID]], customers!$A$1:$A$1001, 0))</f>
        <v>Yes</v>
      </c>
    </row>
    <row r="93" spans="1:16" x14ac:dyDescent="0.25">
      <c r="A93" s="2" t="s">
        <v>1001</v>
      </c>
      <c r="B93" s="3">
        <v>44137</v>
      </c>
      <c r="C93" s="2" t="s">
        <v>1002</v>
      </c>
      <c r="D93" t="s">
        <v>6175</v>
      </c>
      <c r="E93" s="2">
        <v>4</v>
      </c>
      <c r="F93" s="2" t="str">
        <f>IFERROR(INDEX(customers!B$1:B$1001, MATCH(C93, customers!A$1:A$1001, 0)), "Not Found")</f>
        <v>Adham Greenhead</v>
      </c>
      <c r="G93" s="2" t="str">
        <f>IF(IFERROR(INDEX(customers!C$1:C$1001, MATCH(C93, customers!A$1:A$1001, 0)), "Not Found")=0,"",IFERROR(INDEX(customers!C$1:C$1001, MATCH(C93, customers!A$1:A$1001, 0)), "Not Found"))</f>
        <v>agreenhead2j@dailymail.co.uk</v>
      </c>
      <c r="H93" s="2" t="str">
        <f>IFERROR(INDEX(customers!G$1:G$1001, MATCH(C93, customers!A$1:A$1001, 0)), "Not Found")</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L93*E93</f>
        <v>103.49999999999999</v>
      </c>
      <c r="N93" t="str">
        <f>IF(I93="Rob","Robusta",IF(I93="Exc","Excelsa",IF(I93="Ara","Arabica",IF(I93="Lib","Laberica",""))))</f>
        <v>Arabica</v>
      </c>
      <c r="O93" t="str">
        <f t="shared" si="1"/>
        <v>Medium</v>
      </c>
      <c r="P93" t="str">
        <f>INDEX(customers!$I$1:$I$1001, MATCH(Orders[[#This Row],[Customer ID]], customers!$A$1:$A$1001, 0))</f>
        <v>No</v>
      </c>
    </row>
    <row r="94" spans="1:16" x14ac:dyDescent="0.25">
      <c r="A94" s="2" t="s">
        <v>1007</v>
      </c>
      <c r="B94" s="3">
        <v>44037</v>
      </c>
      <c r="C94" s="2" t="s">
        <v>1008</v>
      </c>
      <c r="D94" t="s">
        <v>6171</v>
      </c>
      <c r="E94" s="2">
        <v>3</v>
      </c>
      <c r="F94" s="2" t="str">
        <f>IFERROR(INDEX(customers!B$1:B$1001, MATCH(C94, customers!A$1:A$1001, 0)), "Not Found")</f>
        <v>Hamish MacSherry</v>
      </c>
      <c r="G94" s="2" t="str">
        <f>IF(IFERROR(INDEX(customers!C$1:C$1001, MATCH(C94, customers!A$1:A$1001, 0)), "Not Found")=0,"",IFERROR(INDEX(customers!C$1:C$1001, MATCH(C94, customers!A$1:A$1001, 0)), "Not Found"))</f>
        <v/>
      </c>
      <c r="H94" s="2" t="str">
        <f>IFERROR(INDEX(customers!G$1:G$1001, MATCH(C94, customers!A$1:A$1001, 0)), "Not Found")</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L94*E94</f>
        <v>44.55</v>
      </c>
      <c r="N94" t="str">
        <f>IF(I94="Rob","Robusta",IF(I94="Exc","Excelsa",IF(I94="Ara","Arabica",IF(I94="Lib","Laberica",""))))</f>
        <v>Excelsa</v>
      </c>
      <c r="O94" t="str">
        <f t="shared" si="1"/>
        <v>Light</v>
      </c>
      <c r="P94" t="str">
        <f>INDEX(customers!$I$1:$I$1001, MATCH(Orders[[#This Row],[Customer ID]], customers!$A$1:$A$1001, 0))</f>
        <v>Yes</v>
      </c>
    </row>
    <row r="95" spans="1:16" x14ac:dyDescent="0.25">
      <c r="A95" s="2" t="s">
        <v>1012</v>
      </c>
      <c r="B95" s="3">
        <v>43538</v>
      </c>
      <c r="C95" s="2" t="s">
        <v>1013</v>
      </c>
      <c r="D95" t="s">
        <v>6176</v>
      </c>
      <c r="E95" s="2">
        <v>4</v>
      </c>
      <c r="F95" s="2" t="str">
        <f>IFERROR(INDEX(customers!B$1:B$1001, MATCH(C95, customers!A$1:A$1001, 0)), "Not Found")</f>
        <v>Else Langcaster</v>
      </c>
      <c r="G95" s="2" t="str">
        <f>IF(IFERROR(INDEX(customers!C$1:C$1001, MATCH(C95, customers!A$1:A$1001, 0)), "Not Found")=0,"",IFERROR(INDEX(customers!C$1:C$1001, MATCH(C95, customers!A$1:A$1001, 0)), "Not Found"))</f>
        <v>elangcaster2l@spotify.com</v>
      </c>
      <c r="H95" s="2" t="str">
        <f>IFERROR(INDEX(customers!G$1:G$1001, MATCH(C95, customers!A$1:A$1001, 0)), "Not Found")</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L95*E95</f>
        <v>35.64</v>
      </c>
      <c r="N95" t="str">
        <f>IF(I95="Rob","Robusta",IF(I95="Exc","Excelsa",IF(I95="Ara","Arabica",IF(I95="Lib","Laberica",""))))</f>
        <v>Excelsa</v>
      </c>
      <c r="O95" t="str">
        <f t="shared" si="1"/>
        <v>Light</v>
      </c>
      <c r="P95" t="str">
        <f>INDEX(customers!$I$1:$I$1001, MATCH(Orders[[#This Row],[Customer ID]], customers!$A$1:$A$1001, 0))</f>
        <v>Yes</v>
      </c>
    </row>
    <row r="96" spans="1:16" x14ac:dyDescent="0.25">
      <c r="A96" s="2" t="s">
        <v>1018</v>
      </c>
      <c r="B96" s="3">
        <v>44014</v>
      </c>
      <c r="C96" s="2" t="s">
        <v>1019</v>
      </c>
      <c r="D96" t="s">
        <v>6154</v>
      </c>
      <c r="E96" s="2">
        <v>6</v>
      </c>
      <c r="F96" s="2" t="str">
        <f>IFERROR(INDEX(customers!B$1:B$1001, MATCH(C96, customers!A$1:A$1001, 0)), "Not Found")</f>
        <v>Rudy Farquharson</v>
      </c>
      <c r="G96" s="2" t="str">
        <f>IF(IFERROR(INDEX(customers!C$1:C$1001, MATCH(C96, customers!A$1:A$1001, 0)), "Not Found")=0,"",IFERROR(INDEX(customers!C$1:C$1001, MATCH(C96, customers!A$1:A$1001, 0)), "Not Found"))</f>
        <v/>
      </c>
      <c r="H96" s="2" t="str">
        <f>IFERROR(INDEX(customers!G$1:G$1001, MATCH(C96, customers!A$1:A$1001, 0)), "Not Found")</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L96*E96</f>
        <v>17.91</v>
      </c>
      <c r="N96" t="str">
        <f>IF(I96="Rob","Robusta",IF(I96="Exc","Excelsa",IF(I96="Ara","Arabica",IF(I96="Lib","Laberica",""))))</f>
        <v>Arabica</v>
      </c>
      <c r="O96" t="str">
        <f t="shared" si="1"/>
        <v>Dark</v>
      </c>
      <c r="P96" t="str">
        <f>INDEX(customers!$I$1:$I$1001, MATCH(Orders[[#This Row],[Customer ID]], customers!$A$1:$A$1001, 0))</f>
        <v>Yes</v>
      </c>
    </row>
    <row r="97" spans="1:16" x14ac:dyDescent="0.25">
      <c r="A97" s="2" t="s">
        <v>1022</v>
      </c>
      <c r="B97" s="3">
        <v>43816</v>
      </c>
      <c r="C97" s="2" t="s">
        <v>1023</v>
      </c>
      <c r="D97" t="s">
        <v>6175</v>
      </c>
      <c r="E97" s="2">
        <v>6</v>
      </c>
      <c r="F97" s="2" t="str">
        <f>IFERROR(INDEX(customers!B$1:B$1001, MATCH(C97, customers!A$1:A$1001, 0)), "Not Found")</f>
        <v>Norene Magauran</v>
      </c>
      <c r="G97" s="2" t="str">
        <f>IF(IFERROR(INDEX(customers!C$1:C$1001, MATCH(C97, customers!A$1:A$1001, 0)), "Not Found")=0,"",IFERROR(INDEX(customers!C$1:C$1001, MATCH(C97, customers!A$1:A$1001, 0)), "Not Found"))</f>
        <v>nmagauran2n@51.la</v>
      </c>
      <c r="H97" s="2" t="str">
        <f>IFERROR(INDEX(customers!G$1:G$1001, MATCH(C97, customers!A$1:A$1001, 0)), "Not Found")</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L97*E97</f>
        <v>155.24999999999997</v>
      </c>
      <c r="N97" t="str">
        <f>IF(I97="Rob","Robusta",IF(I97="Exc","Excelsa",IF(I97="Ara","Arabica",IF(I97="Lib","Laberica",""))))</f>
        <v>Arabica</v>
      </c>
      <c r="O97" t="str">
        <f t="shared" si="1"/>
        <v>Medium</v>
      </c>
      <c r="P97" t="str">
        <f>INDEX(customers!$I$1:$I$1001, MATCH(Orders[[#This Row],[Customer ID]], customers!$A$1:$A$1001, 0))</f>
        <v>No</v>
      </c>
    </row>
    <row r="98" spans="1:16" x14ac:dyDescent="0.25">
      <c r="A98" s="2" t="s">
        <v>1027</v>
      </c>
      <c r="B98" s="3">
        <v>44171</v>
      </c>
      <c r="C98" s="2" t="s">
        <v>1028</v>
      </c>
      <c r="D98" t="s">
        <v>6154</v>
      </c>
      <c r="E98" s="2">
        <v>2</v>
      </c>
      <c r="F98" s="2" t="str">
        <f>IFERROR(INDEX(customers!B$1:B$1001, MATCH(C98, customers!A$1:A$1001, 0)), "Not Found")</f>
        <v>Vicki Kirdsch</v>
      </c>
      <c r="G98" s="2" t="str">
        <f>IF(IFERROR(INDEX(customers!C$1:C$1001, MATCH(C98, customers!A$1:A$1001, 0)), "Not Found")=0,"",IFERROR(INDEX(customers!C$1:C$1001, MATCH(C98, customers!A$1:A$1001, 0)), "Not Found"))</f>
        <v>vkirdsch2o@google.fr</v>
      </c>
      <c r="H98" s="2" t="str">
        <f>IFERROR(INDEX(customers!G$1:G$1001, MATCH(C98, customers!A$1:A$1001, 0)), "Not Found")</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L98*E98</f>
        <v>5.97</v>
      </c>
      <c r="N98" t="str">
        <f>IF(I98="Rob","Robusta",IF(I98="Exc","Excelsa",IF(I98="Ara","Arabica",IF(I98="Lib","Laberica",""))))</f>
        <v>Arabica</v>
      </c>
      <c r="O98" t="str">
        <f t="shared" si="1"/>
        <v>Dark</v>
      </c>
      <c r="P98" t="str">
        <f>INDEX(customers!$I$1:$I$1001, MATCH(Orders[[#This Row],[Customer ID]], customers!$A$1:$A$1001, 0))</f>
        <v>No</v>
      </c>
    </row>
    <row r="99" spans="1:16" x14ac:dyDescent="0.25">
      <c r="A99" s="2" t="s">
        <v>1032</v>
      </c>
      <c r="B99" s="3">
        <v>44259</v>
      </c>
      <c r="C99" s="2" t="s">
        <v>1033</v>
      </c>
      <c r="D99" t="s">
        <v>6157</v>
      </c>
      <c r="E99" s="2">
        <v>2</v>
      </c>
      <c r="F99" s="2" t="str">
        <f>IFERROR(INDEX(customers!B$1:B$1001, MATCH(C99, customers!A$1:A$1001, 0)), "Not Found")</f>
        <v>Ilysa Whapple</v>
      </c>
      <c r="G99" s="2" t="str">
        <f>IF(IFERROR(INDEX(customers!C$1:C$1001, MATCH(C99, customers!A$1:A$1001, 0)), "Not Found")=0,"",IFERROR(INDEX(customers!C$1:C$1001, MATCH(C99, customers!A$1:A$1001, 0)), "Not Found"))</f>
        <v>iwhapple2p@com.com</v>
      </c>
      <c r="H99" s="2" t="str">
        <f>IFERROR(INDEX(customers!G$1:G$1001, MATCH(C99, customers!A$1:A$1001, 0)), "Not Found")</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L99*E99</f>
        <v>13.5</v>
      </c>
      <c r="N99" t="str">
        <f>IF(I99="Rob","Robusta",IF(I99="Exc","Excelsa",IF(I99="Ara","Arabica",IF(I99="Lib","Laberica",""))))</f>
        <v>Arabica</v>
      </c>
      <c r="O99" t="str">
        <f t="shared" si="1"/>
        <v>Medium</v>
      </c>
      <c r="P99" t="str">
        <f>INDEX(customers!$I$1:$I$1001, MATCH(Orders[[#This Row],[Customer ID]], customers!$A$1:$A$1001, 0))</f>
        <v>No</v>
      </c>
    </row>
    <row r="100" spans="1:16" x14ac:dyDescent="0.25">
      <c r="A100" s="2" t="s">
        <v>1038</v>
      </c>
      <c r="B100" s="3">
        <v>44394</v>
      </c>
      <c r="C100" s="2" t="s">
        <v>1039</v>
      </c>
      <c r="D100" t="s">
        <v>6154</v>
      </c>
      <c r="E100" s="2">
        <v>1</v>
      </c>
      <c r="F100" s="2" t="str">
        <f>IFERROR(INDEX(customers!B$1:B$1001, MATCH(C100, customers!A$1:A$1001, 0)), "Not Found")</f>
        <v>Ruy Cancellieri</v>
      </c>
      <c r="G100" s="2" t="str">
        <f>IF(IFERROR(INDEX(customers!C$1:C$1001, MATCH(C100, customers!A$1:A$1001, 0)), "Not Found")=0,"",IFERROR(INDEX(customers!C$1:C$1001, MATCH(C100, customers!A$1:A$1001, 0)), "Not Found"))</f>
        <v/>
      </c>
      <c r="H100" s="2" t="str">
        <f>IFERROR(INDEX(customers!G$1:G$1001, MATCH(C100, customers!A$1:A$1001, 0)), "Not Found")</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L100*E100</f>
        <v>2.9849999999999999</v>
      </c>
      <c r="N100" t="str">
        <f>IF(I100="Rob","Robusta",IF(I100="Exc","Excelsa",IF(I100="Ara","Arabica",IF(I100="Lib","Laberica",""))))</f>
        <v>Arabica</v>
      </c>
      <c r="O100" t="str">
        <f t="shared" si="1"/>
        <v>Dark</v>
      </c>
      <c r="P100" t="str">
        <f>INDEX(customers!$I$1:$I$1001, MATCH(Orders[[#This Row],[Customer ID]], customers!$A$1:$A$1001, 0))</f>
        <v>No</v>
      </c>
    </row>
    <row r="101" spans="1:16" x14ac:dyDescent="0.25">
      <c r="A101" s="2" t="s">
        <v>1043</v>
      </c>
      <c r="B101" s="3">
        <v>44139</v>
      </c>
      <c r="C101" s="2" t="s">
        <v>1044</v>
      </c>
      <c r="D101" t="s">
        <v>6159</v>
      </c>
      <c r="E101" s="2">
        <v>3</v>
      </c>
      <c r="F101" s="2" t="str">
        <f>IFERROR(INDEX(customers!B$1:B$1001, MATCH(C101, customers!A$1:A$1001, 0)), "Not Found")</f>
        <v>Aube Follett</v>
      </c>
      <c r="G101" s="2" t="str">
        <f>IF(IFERROR(INDEX(customers!C$1:C$1001, MATCH(C101, customers!A$1:A$1001, 0)), "Not Found")=0,"",IFERROR(INDEX(customers!C$1:C$1001, MATCH(C101, customers!A$1:A$1001, 0)), "Not Found"))</f>
        <v/>
      </c>
      <c r="H101" s="2" t="str">
        <f>IFERROR(INDEX(customers!G$1:G$1001, MATCH(C101, customers!A$1:A$1001, 0)), "Not Found")</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L101*E101</f>
        <v>13.095000000000001</v>
      </c>
      <c r="N101" t="str">
        <f>IF(I101="Rob","Robusta",IF(I101="Exc","Excelsa",IF(I101="Ara","Arabica",IF(I101="Lib","Laberica",""))))</f>
        <v>Laberica</v>
      </c>
      <c r="O101" t="str">
        <f t="shared" si="1"/>
        <v>Medium</v>
      </c>
      <c r="P101" t="str">
        <f>INDEX(customers!$I$1:$I$1001, MATCH(Orders[[#This Row],[Customer ID]], customers!$A$1:$A$1001, 0))</f>
        <v>Yes</v>
      </c>
    </row>
    <row r="102" spans="1:16" x14ac:dyDescent="0.25">
      <c r="A102" s="2" t="s">
        <v>1048</v>
      </c>
      <c r="B102" s="3">
        <v>44291</v>
      </c>
      <c r="C102" s="2" t="s">
        <v>1049</v>
      </c>
      <c r="D102" t="s">
        <v>6167</v>
      </c>
      <c r="E102" s="2">
        <v>2</v>
      </c>
      <c r="F102" s="2" t="str">
        <f>IFERROR(INDEX(customers!B$1:B$1001, MATCH(C102, customers!A$1:A$1001, 0)), "Not Found")</f>
        <v>Rudiger Di Bartolomeo</v>
      </c>
      <c r="G102" s="2" t="str">
        <f>IF(IFERROR(INDEX(customers!C$1:C$1001, MATCH(C102, customers!A$1:A$1001, 0)), "Not Found")=0,"",IFERROR(INDEX(customers!C$1:C$1001, MATCH(C102, customers!A$1:A$1001, 0)), "Not Found"))</f>
        <v/>
      </c>
      <c r="H102" s="2" t="str">
        <f>IFERROR(INDEX(customers!G$1:G$1001, MATCH(C102, customers!A$1:A$1001, 0)), "Not Found")</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L102*E102</f>
        <v>7.77</v>
      </c>
      <c r="N102" t="str">
        <f>IF(I102="Rob","Robusta",IF(I102="Exc","Excelsa",IF(I102="Ara","Arabica",IF(I102="Lib","Laberica",""))))</f>
        <v>Arabica</v>
      </c>
      <c r="O102" t="str">
        <f t="shared" si="1"/>
        <v>Light</v>
      </c>
      <c r="P102" t="str">
        <f>INDEX(customers!$I$1:$I$1001, MATCH(Orders[[#This Row],[Customer ID]], customers!$A$1:$A$1001, 0))</f>
        <v>Yes</v>
      </c>
    </row>
    <row r="103" spans="1:16" x14ac:dyDescent="0.25">
      <c r="A103" s="2" t="s">
        <v>1053</v>
      </c>
      <c r="B103" s="3">
        <v>43891</v>
      </c>
      <c r="C103" s="2" t="s">
        <v>1054</v>
      </c>
      <c r="D103" t="s">
        <v>6165</v>
      </c>
      <c r="E103" s="2">
        <v>5</v>
      </c>
      <c r="F103" s="2" t="str">
        <f>IFERROR(INDEX(customers!B$1:B$1001, MATCH(C103, customers!A$1:A$1001, 0)), "Not Found")</f>
        <v>Nickey Youles</v>
      </c>
      <c r="G103" s="2" t="str">
        <f>IF(IFERROR(INDEX(customers!C$1:C$1001, MATCH(C103, customers!A$1:A$1001, 0)), "Not Found")=0,"",IFERROR(INDEX(customers!C$1:C$1001, MATCH(C103, customers!A$1:A$1001, 0)), "Not Found"))</f>
        <v>nyoules2t@reference.com</v>
      </c>
      <c r="H103" s="2" t="str">
        <f>IFERROR(INDEX(customers!G$1:G$1001, MATCH(C103, customers!A$1:A$1001, 0)), "Not Found")</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L103*E103</f>
        <v>148.92499999999998</v>
      </c>
      <c r="N103" t="str">
        <f>IF(I103="Rob","Robusta",IF(I103="Exc","Excelsa",IF(I103="Ara","Arabica",IF(I103="Lib","Laberica",""))))</f>
        <v>Laberica</v>
      </c>
      <c r="O103" t="str">
        <f t="shared" si="1"/>
        <v>Dark</v>
      </c>
      <c r="P103" t="str">
        <f>INDEX(customers!$I$1:$I$1001, MATCH(Orders[[#This Row],[Customer ID]], customers!$A$1:$A$1001, 0))</f>
        <v>Yes</v>
      </c>
    </row>
    <row r="104" spans="1:16" x14ac:dyDescent="0.25">
      <c r="A104" s="2" t="s">
        <v>1059</v>
      </c>
      <c r="B104" s="3">
        <v>44488</v>
      </c>
      <c r="C104" s="2" t="s">
        <v>1060</v>
      </c>
      <c r="D104" t="s">
        <v>6143</v>
      </c>
      <c r="E104" s="2">
        <v>3</v>
      </c>
      <c r="F104" s="2" t="str">
        <f>IFERROR(INDEX(customers!B$1:B$1001, MATCH(C104, customers!A$1:A$1001, 0)), "Not Found")</f>
        <v>Dyanna Aizikovitz</v>
      </c>
      <c r="G104" s="2" t="str">
        <f>IF(IFERROR(INDEX(customers!C$1:C$1001, MATCH(C104, customers!A$1:A$1001, 0)), "Not Found")=0,"",IFERROR(INDEX(customers!C$1:C$1001, MATCH(C104, customers!A$1:A$1001, 0)), "Not Found"))</f>
        <v>daizikovitz2u@answers.com</v>
      </c>
      <c r="H104" s="2" t="str">
        <f>IFERROR(INDEX(customers!G$1:G$1001, MATCH(C104, customers!A$1:A$1001, 0)), "Not Found")</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L104*E104</f>
        <v>38.849999999999994</v>
      </c>
      <c r="N104" t="str">
        <f>IF(I104="Rob","Robusta",IF(I104="Exc","Excelsa",IF(I104="Ara","Arabica",IF(I104="Lib","Laberica",""))))</f>
        <v>Laberica</v>
      </c>
      <c r="O104" t="str">
        <f t="shared" si="1"/>
        <v>Dark</v>
      </c>
      <c r="P104" t="str">
        <f>INDEX(customers!$I$1:$I$1001, MATCH(Orders[[#This Row],[Customer ID]], customers!$A$1:$A$1001, 0))</f>
        <v>Yes</v>
      </c>
    </row>
    <row r="105" spans="1:16" x14ac:dyDescent="0.25">
      <c r="A105" s="2" t="s">
        <v>1065</v>
      </c>
      <c r="B105" s="3">
        <v>44750</v>
      </c>
      <c r="C105" s="2" t="s">
        <v>1066</v>
      </c>
      <c r="D105" t="s">
        <v>6174</v>
      </c>
      <c r="E105" s="2">
        <v>4</v>
      </c>
      <c r="F105" s="2" t="str">
        <f>IFERROR(INDEX(customers!B$1:B$1001, MATCH(C105, customers!A$1:A$1001, 0)), "Not Found")</f>
        <v>Bram Revel</v>
      </c>
      <c r="G105" s="2" t="str">
        <f>IF(IFERROR(INDEX(customers!C$1:C$1001, MATCH(C105, customers!A$1:A$1001, 0)), "Not Found")=0,"",IFERROR(INDEX(customers!C$1:C$1001, MATCH(C105, customers!A$1:A$1001, 0)), "Not Found"))</f>
        <v>brevel2v@fastcompany.com</v>
      </c>
      <c r="H105" s="2" t="str">
        <f>IFERROR(INDEX(customers!G$1:G$1001, MATCH(C105, customers!A$1:A$1001, 0)), "Not Found")</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L105*E105</f>
        <v>11.94</v>
      </c>
      <c r="N105" t="str">
        <f>IF(I105="Rob","Robusta",IF(I105="Exc","Excelsa",IF(I105="Ara","Arabica",IF(I105="Lib","Laberica",""))))</f>
        <v>Robusta</v>
      </c>
      <c r="O105" t="str">
        <f t="shared" si="1"/>
        <v>Medium</v>
      </c>
      <c r="P105" t="str">
        <f>INDEX(customers!$I$1:$I$1001, MATCH(Orders[[#This Row],[Customer ID]], customers!$A$1:$A$1001, 0))</f>
        <v>No</v>
      </c>
    </row>
    <row r="106" spans="1:16" x14ac:dyDescent="0.25">
      <c r="A106" s="2" t="s">
        <v>1071</v>
      </c>
      <c r="B106" s="3">
        <v>43694</v>
      </c>
      <c r="C106" s="2" t="s">
        <v>1072</v>
      </c>
      <c r="D106" t="s">
        <v>6162</v>
      </c>
      <c r="E106" s="2">
        <v>6</v>
      </c>
      <c r="F106" s="2" t="str">
        <f>IFERROR(INDEX(customers!B$1:B$1001, MATCH(C106, customers!A$1:A$1001, 0)), "Not Found")</f>
        <v>Emiline Priddis</v>
      </c>
      <c r="G106" s="2" t="str">
        <f>IF(IFERROR(INDEX(customers!C$1:C$1001, MATCH(C106, customers!A$1:A$1001, 0)), "Not Found")=0,"",IFERROR(INDEX(customers!C$1:C$1001, MATCH(C106, customers!A$1:A$1001, 0)), "Not Found"))</f>
        <v>epriddis2w@nationalgeographic.com</v>
      </c>
      <c r="H106" s="2" t="str">
        <f>IFERROR(INDEX(customers!G$1:G$1001, MATCH(C106, customers!A$1:A$1001, 0)), "Not Found")</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L106*E106</f>
        <v>87.300000000000011</v>
      </c>
      <c r="N106" t="str">
        <f>IF(I106="Rob","Robusta",IF(I106="Exc","Excelsa",IF(I106="Ara","Arabica",IF(I106="Lib","Laberica",""))))</f>
        <v>Laberica</v>
      </c>
      <c r="O106" t="str">
        <f t="shared" si="1"/>
        <v>Medium</v>
      </c>
      <c r="P106" t="str">
        <f>INDEX(customers!$I$1:$I$1001, MATCH(Orders[[#This Row],[Customer ID]], customers!$A$1:$A$1001, 0))</f>
        <v>No</v>
      </c>
    </row>
    <row r="107" spans="1:16" x14ac:dyDescent="0.25">
      <c r="A107" s="2" t="s">
        <v>1077</v>
      </c>
      <c r="B107" s="3">
        <v>43982</v>
      </c>
      <c r="C107" s="2" t="s">
        <v>1078</v>
      </c>
      <c r="D107" t="s">
        <v>6157</v>
      </c>
      <c r="E107" s="2">
        <v>6</v>
      </c>
      <c r="F107" s="2" t="str">
        <f>IFERROR(INDEX(customers!B$1:B$1001, MATCH(C107, customers!A$1:A$1001, 0)), "Not Found")</f>
        <v>Queenie Veel</v>
      </c>
      <c r="G107" s="2" t="str">
        <f>IF(IFERROR(INDEX(customers!C$1:C$1001, MATCH(C107, customers!A$1:A$1001, 0)), "Not Found")=0,"",IFERROR(INDEX(customers!C$1:C$1001, MATCH(C107, customers!A$1:A$1001, 0)), "Not Found"))</f>
        <v>qveel2x@jugem.jp</v>
      </c>
      <c r="H107" s="2" t="str">
        <f>IFERROR(INDEX(customers!G$1:G$1001, MATCH(C107, customers!A$1:A$1001, 0)), "Not Found")</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L107*E107</f>
        <v>40.5</v>
      </c>
      <c r="N107" t="str">
        <f>IF(I107="Rob","Robusta",IF(I107="Exc","Excelsa",IF(I107="Ara","Arabica",IF(I107="Lib","Laberica",""))))</f>
        <v>Arabica</v>
      </c>
      <c r="O107" t="str">
        <f t="shared" si="1"/>
        <v>Medium</v>
      </c>
      <c r="P107" t="str">
        <f>INDEX(customers!$I$1:$I$1001, MATCH(Orders[[#This Row],[Customer ID]], customers!$A$1:$A$1001, 0))</f>
        <v>Yes</v>
      </c>
    </row>
    <row r="108" spans="1:16" x14ac:dyDescent="0.25">
      <c r="A108" s="2" t="s">
        <v>1083</v>
      </c>
      <c r="B108" s="3">
        <v>43956</v>
      </c>
      <c r="C108" s="2" t="s">
        <v>1084</v>
      </c>
      <c r="D108" t="s">
        <v>6183</v>
      </c>
      <c r="E108" s="2">
        <v>2</v>
      </c>
      <c r="F108" s="2" t="str">
        <f>IFERROR(INDEX(customers!B$1:B$1001, MATCH(C108, customers!A$1:A$1001, 0)), "Not Found")</f>
        <v>Lind Conyers</v>
      </c>
      <c r="G108" s="2" t="str">
        <f>IF(IFERROR(INDEX(customers!C$1:C$1001, MATCH(C108, customers!A$1:A$1001, 0)), "Not Found")=0,"",IFERROR(INDEX(customers!C$1:C$1001, MATCH(C108, customers!A$1:A$1001, 0)), "Not Found"))</f>
        <v>lconyers2y@twitter.com</v>
      </c>
      <c r="H108" s="2" t="str">
        <f>IFERROR(INDEX(customers!G$1:G$1001, MATCH(C108, customers!A$1:A$1001, 0)), "Not Found")</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L108*E108</f>
        <v>24.3</v>
      </c>
      <c r="N108" t="str">
        <f>IF(I108="Rob","Robusta",IF(I108="Exc","Excelsa",IF(I108="Ara","Arabica",IF(I108="Lib","Laberica",""))))</f>
        <v>Excelsa</v>
      </c>
      <c r="O108" t="str">
        <f t="shared" si="1"/>
        <v>Dark</v>
      </c>
      <c r="P108" t="str">
        <f>INDEX(customers!$I$1:$I$1001, MATCH(Orders[[#This Row],[Customer ID]], customers!$A$1:$A$1001, 0))</f>
        <v>No</v>
      </c>
    </row>
    <row r="109" spans="1:16" x14ac:dyDescent="0.25">
      <c r="A109" s="2" t="s">
        <v>1089</v>
      </c>
      <c r="B109" s="3">
        <v>43569</v>
      </c>
      <c r="C109" s="2" t="s">
        <v>1090</v>
      </c>
      <c r="D109" t="s">
        <v>6146</v>
      </c>
      <c r="E109" s="2">
        <v>3</v>
      </c>
      <c r="F109" s="2" t="str">
        <f>IFERROR(INDEX(customers!B$1:B$1001, MATCH(C109, customers!A$1:A$1001, 0)), "Not Found")</f>
        <v>Pen Wye</v>
      </c>
      <c r="G109" s="2" t="str">
        <f>IF(IFERROR(INDEX(customers!C$1:C$1001, MATCH(C109, customers!A$1:A$1001, 0)), "Not Found")=0,"",IFERROR(INDEX(customers!C$1:C$1001, MATCH(C109, customers!A$1:A$1001, 0)), "Not Found"))</f>
        <v>pwye2z@dagondesign.com</v>
      </c>
      <c r="H109" s="2" t="str">
        <f>IFERROR(INDEX(customers!G$1:G$1001, MATCH(C109, customers!A$1:A$1001, 0)), "Not Found")</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L109*E109</f>
        <v>17.91</v>
      </c>
      <c r="N109" t="str">
        <f>IF(I109="Rob","Robusta",IF(I109="Exc","Excelsa",IF(I109="Ara","Arabica",IF(I109="Lib","Laberica",""))))</f>
        <v>Robusta</v>
      </c>
      <c r="O109" t="str">
        <f t="shared" si="1"/>
        <v>Medium</v>
      </c>
      <c r="P109" t="str">
        <f>INDEX(customers!$I$1:$I$1001, MATCH(Orders[[#This Row],[Customer ID]], customers!$A$1:$A$1001, 0))</f>
        <v>Yes</v>
      </c>
    </row>
    <row r="110" spans="1:16" x14ac:dyDescent="0.25">
      <c r="A110" s="2" t="s">
        <v>1095</v>
      </c>
      <c r="B110" s="3">
        <v>44041</v>
      </c>
      <c r="C110" s="2" t="s">
        <v>1096</v>
      </c>
      <c r="D110" t="s">
        <v>6157</v>
      </c>
      <c r="E110" s="2">
        <v>4</v>
      </c>
      <c r="F110" s="2" t="str">
        <f>IFERROR(INDEX(customers!B$1:B$1001, MATCH(C110, customers!A$1:A$1001, 0)), "Not Found")</f>
        <v>Isahella Hagland</v>
      </c>
      <c r="G110" s="2" t="str">
        <f>IF(IFERROR(INDEX(customers!C$1:C$1001, MATCH(C110, customers!A$1:A$1001, 0)), "Not Found")=0,"",IFERROR(INDEX(customers!C$1:C$1001, MATCH(C110, customers!A$1:A$1001, 0)), "Not Found"))</f>
        <v/>
      </c>
      <c r="H110" s="2" t="str">
        <f>IFERROR(INDEX(customers!G$1:G$1001, MATCH(C110, customers!A$1:A$1001, 0)), "Not Found")</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L110*E110</f>
        <v>27</v>
      </c>
      <c r="N110" t="str">
        <f>IF(I110="Rob","Robusta",IF(I110="Exc","Excelsa",IF(I110="Ara","Arabica",IF(I110="Lib","Laberica",""))))</f>
        <v>Arabica</v>
      </c>
      <c r="O110" t="str">
        <f t="shared" si="1"/>
        <v>Medium</v>
      </c>
      <c r="P110" t="str">
        <f>INDEX(customers!$I$1:$I$1001, MATCH(Orders[[#This Row],[Customer ID]], customers!$A$1:$A$1001, 0))</f>
        <v>No</v>
      </c>
    </row>
    <row r="111" spans="1:16" x14ac:dyDescent="0.25">
      <c r="A111" s="2" t="s">
        <v>1100</v>
      </c>
      <c r="B111" s="3">
        <v>43811</v>
      </c>
      <c r="C111" s="2" t="s">
        <v>1101</v>
      </c>
      <c r="D111" t="s">
        <v>6169</v>
      </c>
      <c r="E111" s="2">
        <v>1</v>
      </c>
      <c r="F111" s="2" t="str">
        <f>IFERROR(INDEX(customers!B$1:B$1001, MATCH(C111, customers!A$1:A$1001, 0)), "Not Found")</f>
        <v>Terry Sheryn</v>
      </c>
      <c r="G111" s="2" t="str">
        <f>IF(IFERROR(INDEX(customers!C$1:C$1001, MATCH(C111, customers!A$1:A$1001, 0)), "Not Found")=0,"",IFERROR(INDEX(customers!C$1:C$1001, MATCH(C111, customers!A$1:A$1001, 0)), "Not Found"))</f>
        <v>tsheryn31@mtv.com</v>
      </c>
      <c r="H111" s="2" t="str">
        <f>IFERROR(INDEX(customers!G$1:G$1001, MATCH(C111, customers!A$1:A$1001, 0)), "Not Found")</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L111*E111</f>
        <v>7.77</v>
      </c>
      <c r="N111" t="str">
        <f>IF(I111="Rob","Robusta",IF(I111="Exc","Excelsa",IF(I111="Ara","Arabica",IF(I111="Lib","Laberica",""))))</f>
        <v>Laberica</v>
      </c>
      <c r="O111" t="str">
        <f t="shared" si="1"/>
        <v>Dark</v>
      </c>
      <c r="P111" t="str">
        <f>INDEX(customers!$I$1:$I$1001, MATCH(Orders[[#This Row],[Customer ID]], customers!$A$1:$A$1001, 0))</f>
        <v>Yes</v>
      </c>
    </row>
    <row r="112" spans="1:16" x14ac:dyDescent="0.25">
      <c r="A112" s="2" t="s">
        <v>1106</v>
      </c>
      <c r="B112" s="3">
        <v>44727</v>
      </c>
      <c r="C112" s="2" t="s">
        <v>1107</v>
      </c>
      <c r="D112" t="s">
        <v>6184</v>
      </c>
      <c r="E112" s="2">
        <v>3</v>
      </c>
      <c r="F112" s="2" t="str">
        <f>IFERROR(INDEX(customers!B$1:B$1001, MATCH(C112, customers!A$1:A$1001, 0)), "Not Found")</f>
        <v>Marie-jeanne Redgrave</v>
      </c>
      <c r="G112" s="2" t="str">
        <f>IF(IFERROR(INDEX(customers!C$1:C$1001, MATCH(C112, customers!A$1:A$1001, 0)), "Not Found")=0,"",IFERROR(INDEX(customers!C$1:C$1001, MATCH(C112, customers!A$1:A$1001, 0)), "Not Found"))</f>
        <v>mredgrave32@cargocollective.com</v>
      </c>
      <c r="H112" s="2" t="str">
        <f>IFERROR(INDEX(customers!G$1:G$1001, MATCH(C112, customers!A$1:A$1001, 0)), "Not Found")</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L112*E112</f>
        <v>13.365</v>
      </c>
      <c r="N112" t="str">
        <f>IF(I112="Rob","Robusta",IF(I112="Exc","Excelsa",IF(I112="Ara","Arabica",IF(I112="Lib","Laberica",""))))</f>
        <v>Excelsa</v>
      </c>
      <c r="O112" t="str">
        <f t="shared" si="1"/>
        <v>Light</v>
      </c>
      <c r="P112" t="str">
        <f>INDEX(customers!$I$1:$I$1001, MATCH(Orders[[#This Row],[Customer ID]], customers!$A$1:$A$1001, 0))</f>
        <v>Yes</v>
      </c>
    </row>
    <row r="113" spans="1:16" x14ac:dyDescent="0.25">
      <c r="A113" s="2" t="s">
        <v>1112</v>
      </c>
      <c r="B113" s="3">
        <v>43642</v>
      </c>
      <c r="C113" s="2" t="s">
        <v>1113</v>
      </c>
      <c r="D113" t="s">
        <v>6172</v>
      </c>
      <c r="E113" s="2">
        <v>5</v>
      </c>
      <c r="F113" s="2" t="str">
        <f>IFERROR(INDEX(customers!B$1:B$1001, MATCH(C113, customers!A$1:A$1001, 0)), "Not Found")</f>
        <v>Betty Fominov</v>
      </c>
      <c r="G113" s="2" t="str">
        <f>IF(IFERROR(INDEX(customers!C$1:C$1001, MATCH(C113, customers!A$1:A$1001, 0)), "Not Found")=0,"",IFERROR(INDEX(customers!C$1:C$1001, MATCH(C113, customers!A$1:A$1001, 0)), "Not Found"))</f>
        <v>bfominov33@yale.edu</v>
      </c>
      <c r="H113" s="2" t="str">
        <f>IFERROR(INDEX(customers!G$1:G$1001, MATCH(C113, customers!A$1:A$1001, 0)), "Not Found")</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L113*E113</f>
        <v>26.849999999999994</v>
      </c>
      <c r="N113" t="str">
        <f>IF(I113="Rob","Robusta",IF(I113="Exc","Excelsa",IF(I113="Ara","Arabica",IF(I113="Lib","Laberica",""))))</f>
        <v>Robusta</v>
      </c>
      <c r="O113" t="str">
        <f t="shared" si="1"/>
        <v>Dark</v>
      </c>
      <c r="P113" t="str">
        <f>INDEX(customers!$I$1:$I$1001, MATCH(Orders[[#This Row],[Customer ID]], customers!$A$1:$A$1001, 0))</f>
        <v>No</v>
      </c>
    </row>
    <row r="114" spans="1:16" x14ac:dyDescent="0.25">
      <c r="A114" s="2" t="s">
        <v>1117</v>
      </c>
      <c r="B114" s="3">
        <v>44481</v>
      </c>
      <c r="C114" s="2" t="s">
        <v>1118</v>
      </c>
      <c r="D114" t="s">
        <v>6155</v>
      </c>
      <c r="E114" s="2">
        <v>1</v>
      </c>
      <c r="F114" s="2" t="str">
        <f>IFERROR(INDEX(customers!B$1:B$1001, MATCH(C114, customers!A$1:A$1001, 0)), "Not Found")</f>
        <v>Shawnee Critchlow</v>
      </c>
      <c r="G114" s="2" t="str">
        <f>IF(IFERROR(INDEX(customers!C$1:C$1001, MATCH(C114, customers!A$1:A$1001, 0)), "Not Found")=0,"",IFERROR(INDEX(customers!C$1:C$1001, MATCH(C114, customers!A$1:A$1001, 0)), "Not Found"))</f>
        <v>scritchlow34@un.org</v>
      </c>
      <c r="H114" s="2" t="str">
        <f>IFERROR(INDEX(customers!G$1:G$1001, MATCH(C114, customers!A$1:A$1001, 0)), "Not Found")</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L114*E114</f>
        <v>11.25</v>
      </c>
      <c r="N114" t="str">
        <f>IF(I114="Rob","Robusta",IF(I114="Exc","Excelsa",IF(I114="Ara","Arabica",IF(I114="Lib","Laberica",""))))</f>
        <v>Arabica</v>
      </c>
      <c r="O114" t="str">
        <f t="shared" si="1"/>
        <v>Medium</v>
      </c>
      <c r="P114" t="str">
        <f>INDEX(customers!$I$1:$I$1001, MATCH(Orders[[#This Row],[Customer ID]], customers!$A$1:$A$1001, 0))</f>
        <v>No</v>
      </c>
    </row>
    <row r="115" spans="1:16" x14ac:dyDescent="0.25">
      <c r="A115" s="2" t="s">
        <v>1123</v>
      </c>
      <c r="B115" s="3">
        <v>43556</v>
      </c>
      <c r="C115" s="2" t="s">
        <v>1124</v>
      </c>
      <c r="D115" t="s">
        <v>6162</v>
      </c>
      <c r="E115" s="2">
        <v>1</v>
      </c>
      <c r="F115" s="2" t="str">
        <f>IFERROR(INDEX(customers!B$1:B$1001, MATCH(C115, customers!A$1:A$1001, 0)), "Not Found")</f>
        <v>Merrel Steptow</v>
      </c>
      <c r="G115" s="2" t="str">
        <f>IF(IFERROR(INDEX(customers!C$1:C$1001, MATCH(C115, customers!A$1:A$1001, 0)), "Not Found")=0,"",IFERROR(INDEX(customers!C$1:C$1001, MATCH(C115, customers!A$1:A$1001, 0)), "Not Found"))</f>
        <v>msteptow35@earthlink.net</v>
      </c>
      <c r="H115" s="2" t="str">
        <f>IFERROR(INDEX(customers!G$1:G$1001, MATCH(C115, customers!A$1:A$1001, 0)), "Not Found")</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L115*E115</f>
        <v>14.55</v>
      </c>
      <c r="N115" t="str">
        <f>IF(I115="Rob","Robusta",IF(I115="Exc","Excelsa",IF(I115="Ara","Arabica",IF(I115="Lib","Laberica",""))))</f>
        <v>Laberica</v>
      </c>
      <c r="O115" t="str">
        <f t="shared" si="1"/>
        <v>Medium</v>
      </c>
      <c r="P115" t="str">
        <f>INDEX(customers!$I$1:$I$1001, MATCH(Orders[[#This Row],[Customer ID]], customers!$A$1:$A$1001, 0))</f>
        <v>No</v>
      </c>
    </row>
    <row r="116" spans="1:16" x14ac:dyDescent="0.25">
      <c r="A116" s="2" t="s">
        <v>1129</v>
      </c>
      <c r="B116" s="3">
        <v>44265</v>
      </c>
      <c r="C116" s="2" t="s">
        <v>1130</v>
      </c>
      <c r="D116" t="s">
        <v>6178</v>
      </c>
      <c r="E116" s="2">
        <v>4</v>
      </c>
      <c r="F116" s="2" t="str">
        <f>IFERROR(INDEX(customers!B$1:B$1001, MATCH(C116, customers!A$1:A$1001, 0)), "Not Found")</f>
        <v>Carmina Hubbuck</v>
      </c>
      <c r="G116" s="2" t="str">
        <f>IF(IFERROR(INDEX(customers!C$1:C$1001, MATCH(C116, customers!A$1:A$1001, 0)), "Not Found")=0,"",IFERROR(INDEX(customers!C$1:C$1001, MATCH(C116, customers!A$1:A$1001, 0)), "Not Found"))</f>
        <v/>
      </c>
      <c r="H116" s="2" t="str">
        <f>IFERROR(INDEX(customers!G$1:G$1001, MATCH(C116, customers!A$1:A$1001, 0)), "Not Found")</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L116*E116</f>
        <v>14.339999999999998</v>
      </c>
      <c r="N116" t="str">
        <f>IF(I116="Rob","Robusta",IF(I116="Exc","Excelsa",IF(I116="Ara","Arabica",IF(I116="Lib","Laberica",""))))</f>
        <v>Robusta</v>
      </c>
      <c r="O116" t="str">
        <f t="shared" si="1"/>
        <v>Light</v>
      </c>
      <c r="P116" t="str">
        <f>INDEX(customers!$I$1:$I$1001, MATCH(Orders[[#This Row],[Customer ID]], customers!$A$1:$A$1001, 0))</f>
        <v>No</v>
      </c>
    </row>
    <row r="117" spans="1:16" x14ac:dyDescent="0.25">
      <c r="A117" s="2" t="s">
        <v>1134</v>
      </c>
      <c r="B117" s="3">
        <v>43693</v>
      </c>
      <c r="C117" s="2" t="s">
        <v>1135</v>
      </c>
      <c r="D117" t="s">
        <v>6170</v>
      </c>
      <c r="E117" s="2">
        <v>1</v>
      </c>
      <c r="F117" s="2" t="str">
        <f>IFERROR(INDEX(customers!B$1:B$1001, MATCH(C117, customers!A$1:A$1001, 0)), "Not Found")</f>
        <v>Ingeberg Mulliner</v>
      </c>
      <c r="G117" s="2" t="str">
        <f>IF(IFERROR(INDEX(customers!C$1:C$1001, MATCH(C117, customers!A$1:A$1001, 0)), "Not Found")=0,"",IFERROR(INDEX(customers!C$1:C$1001, MATCH(C117, customers!A$1:A$1001, 0)), "Not Found"))</f>
        <v>imulliner37@pinterest.com</v>
      </c>
      <c r="H117" s="2" t="str">
        <f>IFERROR(INDEX(customers!G$1:G$1001, MATCH(C117, customers!A$1:A$1001, 0)), "Not Found")</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L117*E117</f>
        <v>15.85</v>
      </c>
      <c r="N117" t="str">
        <f>IF(I117="Rob","Robusta",IF(I117="Exc","Excelsa",IF(I117="Ara","Arabica",IF(I117="Lib","Laberica",""))))</f>
        <v>Laberica</v>
      </c>
      <c r="O117" t="str">
        <f t="shared" si="1"/>
        <v>Light</v>
      </c>
      <c r="P117" t="str">
        <f>INDEX(customers!$I$1:$I$1001, MATCH(Orders[[#This Row],[Customer ID]], customers!$A$1:$A$1001, 0))</f>
        <v>No</v>
      </c>
    </row>
    <row r="118" spans="1:16" x14ac:dyDescent="0.25">
      <c r="A118" s="2" t="s">
        <v>1140</v>
      </c>
      <c r="B118" s="3">
        <v>44054</v>
      </c>
      <c r="C118" s="2" t="s">
        <v>1141</v>
      </c>
      <c r="D118" t="s">
        <v>6145</v>
      </c>
      <c r="E118" s="2">
        <v>4</v>
      </c>
      <c r="F118" s="2" t="str">
        <f>IFERROR(INDEX(customers!B$1:B$1001, MATCH(C118, customers!A$1:A$1001, 0)), "Not Found")</f>
        <v>Geneva Standley</v>
      </c>
      <c r="G118" s="2" t="str">
        <f>IF(IFERROR(INDEX(customers!C$1:C$1001, MATCH(C118, customers!A$1:A$1001, 0)), "Not Found")=0,"",IFERROR(INDEX(customers!C$1:C$1001, MATCH(C118, customers!A$1:A$1001, 0)), "Not Found"))</f>
        <v>gstandley38@dion.ne.jp</v>
      </c>
      <c r="H118" s="2" t="str">
        <f>IFERROR(INDEX(customers!G$1:G$1001, MATCH(C118, customers!A$1:A$1001, 0)), "Not Found")</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L118*E118</f>
        <v>19.02</v>
      </c>
      <c r="N118" t="str">
        <f>IF(I118="Rob","Robusta",IF(I118="Exc","Excelsa",IF(I118="Ara","Arabica",IF(I118="Lib","Laberica",""))))</f>
        <v>Laberica</v>
      </c>
      <c r="O118" t="str">
        <f t="shared" si="1"/>
        <v>Light</v>
      </c>
      <c r="P118" t="str">
        <f>INDEX(customers!$I$1:$I$1001, MATCH(Orders[[#This Row],[Customer ID]], customers!$A$1:$A$1001, 0))</f>
        <v>Yes</v>
      </c>
    </row>
    <row r="119" spans="1:16" x14ac:dyDescent="0.25">
      <c r="A119" s="2" t="s">
        <v>1146</v>
      </c>
      <c r="B119" s="3">
        <v>44656</v>
      </c>
      <c r="C119" s="2" t="s">
        <v>1147</v>
      </c>
      <c r="D119" t="s">
        <v>6161</v>
      </c>
      <c r="E119" s="2">
        <v>4</v>
      </c>
      <c r="F119" s="2" t="str">
        <f>IFERROR(INDEX(customers!B$1:B$1001, MATCH(C119, customers!A$1:A$1001, 0)), "Not Found")</f>
        <v>Brook Drage</v>
      </c>
      <c r="G119" s="2" t="str">
        <f>IF(IFERROR(INDEX(customers!C$1:C$1001, MATCH(C119, customers!A$1:A$1001, 0)), "Not Found")=0,"",IFERROR(INDEX(customers!C$1:C$1001, MATCH(C119, customers!A$1:A$1001, 0)), "Not Found"))</f>
        <v>bdrage39@youku.com</v>
      </c>
      <c r="H119" s="2" t="str">
        <f>IFERROR(INDEX(customers!G$1:G$1001, MATCH(C119, customers!A$1:A$1001, 0)), "Not Found")</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L119*E119</f>
        <v>38.04</v>
      </c>
      <c r="N119" t="str">
        <f>IF(I119="Rob","Robusta",IF(I119="Exc","Excelsa",IF(I119="Ara","Arabica",IF(I119="Lib","Laberica",""))))</f>
        <v>Laberica</v>
      </c>
      <c r="O119" t="str">
        <f t="shared" si="1"/>
        <v>Light</v>
      </c>
      <c r="P119" t="str">
        <f>INDEX(customers!$I$1:$I$1001, MATCH(Orders[[#This Row],[Customer ID]], customers!$A$1:$A$1001, 0))</f>
        <v>No</v>
      </c>
    </row>
    <row r="120" spans="1:16" x14ac:dyDescent="0.25">
      <c r="A120" s="2" t="s">
        <v>1152</v>
      </c>
      <c r="B120" s="3">
        <v>43760</v>
      </c>
      <c r="C120" s="2" t="s">
        <v>1153</v>
      </c>
      <c r="D120" t="s">
        <v>6144</v>
      </c>
      <c r="E120" s="2">
        <v>3</v>
      </c>
      <c r="F120" s="2" t="str">
        <f>IFERROR(INDEX(customers!B$1:B$1001, MATCH(C120, customers!A$1:A$1001, 0)), "Not Found")</f>
        <v>Muffin Yallop</v>
      </c>
      <c r="G120" s="2" t="str">
        <f>IF(IFERROR(INDEX(customers!C$1:C$1001, MATCH(C120, customers!A$1:A$1001, 0)), "Not Found")=0,"",IFERROR(INDEX(customers!C$1:C$1001, MATCH(C120, customers!A$1:A$1001, 0)), "Not Found"))</f>
        <v>myallop3a@fema.gov</v>
      </c>
      <c r="H120" s="2" t="str">
        <f>IFERROR(INDEX(customers!G$1:G$1001, MATCH(C120, customers!A$1:A$1001, 0)), "Not Found")</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L120*E120</f>
        <v>21.87</v>
      </c>
      <c r="N120" t="str">
        <f>IF(I120="Rob","Robusta",IF(I120="Exc","Excelsa",IF(I120="Ara","Arabica",IF(I120="Lib","Laberica",""))))</f>
        <v>Excelsa</v>
      </c>
      <c r="O120" t="str">
        <f t="shared" si="1"/>
        <v>Dark</v>
      </c>
      <c r="P120" t="str">
        <f>INDEX(customers!$I$1:$I$1001, MATCH(Orders[[#This Row],[Customer ID]], customers!$A$1:$A$1001, 0))</f>
        <v>Yes</v>
      </c>
    </row>
    <row r="121" spans="1:16" x14ac:dyDescent="0.25">
      <c r="A121" s="2" t="s">
        <v>1158</v>
      </c>
      <c r="B121" s="3">
        <v>44471</v>
      </c>
      <c r="C121" s="2" t="s">
        <v>1159</v>
      </c>
      <c r="D121" t="s">
        <v>6156</v>
      </c>
      <c r="E121" s="2">
        <v>1</v>
      </c>
      <c r="F121" s="2" t="str">
        <f>IFERROR(INDEX(customers!B$1:B$1001, MATCH(C121, customers!A$1:A$1001, 0)), "Not Found")</f>
        <v>Cordi Switsur</v>
      </c>
      <c r="G121" s="2" t="str">
        <f>IF(IFERROR(INDEX(customers!C$1:C$1001, MATCH(C121, customers!A$1:A$1001, 0)), "Not Found")=0,"",IFERROR(INDEX(customers!C$1:C$1001, MATCH(C121, customers!A$1:A$1001, 0)), "Not Found"))</f>
        <v>cswitsur3b@chronoengine.com</v>
      </c>
      <c r="H121" s="2" t="str">
        <f>IFERROR(INDEX(customers!G$1:G$1001, MATCH(C121, customers!A$1:A$1001, 0)), "Not Found")</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L121*E121</f>
        <v>4.125</v>
      </c>
      <c r="N121" t="str">
        <f>IF(I121="Rob","Robusta",IF(I121="Exc","Excelsa",IF(I121="Ara","Arabica",IF(I121="Lib","Laberica",""))))</f>
        <v>Excelsa</v>
      </c>
      <c r="O121" t="str">
        <f t="shared" si="1"/>
        <v>Medium</v>
      </c>
      <c r="P121" t="str">
        <f>INDEX(customers!$I$1:$I$1001, MATCH(Orders[[#This Row],[Customer ID]], customers!$A$1:$A$1001, 0))</f>
        <v>No</v>
      </c>
    </row>
    <row r="122" spans="1:16" x14ac:dyDescent="0.25">
      <c r="A122" s="2" t="s">
        <v>1158</v>
      </c>
      <c r="B122" s="3">
        <v>44471</v>
      </c>
      <c r="C122" s="2" t="s">
        <v>1159</v>
      </c>
      <c r="D122" t="s">
        <v>6167</v>
      </c>
      <c r="E122" s="2">
        <v>1</v>
      </c>
      <c r="F122" s="2" t="str">
        <f>IFERROR(INDEX(customers!B$1:B$1001, MATCH(C122, customers!A$1:A$1001, 0)), "Not Found")</f>
        <v>Cordi Switsur</v>
      </c>
      <c r="G122" s="2" t="str">
        <f>IF(IFERROR(INDEX(customers!C$1:C$1001, MATCH(C122, customers!A$1:A$1001, 0)), "Not Found")=0,"",IFERROR(INDEX(customers!C$1:C$1001, MATCH(C122, customers!A$1:A$1001, 0)), "Not Found"))</f>
        <v>cswitsur3b@chronoengine.com</v>
      </c>
      <c r="H122" s="2" t="str">
        <f>IFERROR(INDEX(customers!G$1:G$1001, MATCH(C122, customers!A$1:A$1001, 0)), "Not Found")</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L122*E122</f>
        <v>3.8849999999999998</v>
      </c>
      <c r="N122" t="str">
        <f>IF(I122="Rob","Robusta",IF(I122="Exc","Excelsa",IF(I122="Ara","Arabica",IF(I122="Lib","Laberica",""))))</f>
        <v>Arabica</v>
      </c>
      <c r="O122" t="str">
        <f t="shared" si="1"/>
        <v>Light</v>
      </c>
      <c r="P122" t="str">
        <f>INDEX(customers!$I$1:$I$1001, MATCH(Orders[[#This Row],[Customer ID]], customers!$A$1:$A$1001, 0))</f>
        <v>No</v>
      </c>
    </row>
    <row r="123" spans="1:16" x14ac:dyDescent="0.25">
      <c r="A123" s="2" t="s">
        <v>1158</v>
      </c>
      <c r="B123" s="3">
        <v>44471</v>
      </c>
      <c r="C123" s="2" t="s">
        <v>1159</v>
      </c>
      <c r="D123" t="s">
        <v>6141</v>
      </c>
      <c r="E123" s="2">
        <v>5</v>
      </c>
      <c r="F123" s="2" t="str">
        <f>IFERROR(INDEX(customers!B$1:B$1001, MATCH(C123, customers!A$1:A$1001, 0)), "Not Found")</f>
        <v>Cordi Switsur</v>
      </c>
      <c r="G123" s="2" t="str">
        <f>IF(IFERROR(INDEX(customers!C$1:C$1001, MATCH(C123, customers!A$1:A$1001, 0)), "Not Found")=0,"",IFERROR(INDEX(customers!C$1:C$1001, MATCH(C123, customers!A$1:A$1001, 0)), "Not Found"))</f>
        <v>cswitsur3b@chronoengine.com</v>
      </c>
      <c r="H123" s="2" t="str">
        <f>IFERROR(INDEX(customers!G$1:G$1001, MATCH(C123, customers!A$1:A$1001, 0)), "Not Found")</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L123*E123</f>
        <v>68.75</v>
      </c>
      <c r="N123" t="str">
        <f>IF(I123="Rob","Robusta",IF(I123="Exc","Excelsa",IF(I123="Ara","Arabica",IF(I123="Lib","Laberica",""))))</f>
        <v>Excelsa</v>
      </c>
      <c r="O123" t="str">
        <f t="shared" si="1"/>
        <v>Medium</v>
      </c>
      <c r="P123" t="str">
        <f>INDEX(customers!$I$1:$I$1001, MATCH(Orders[[#This Row],[Customer ID]], customers!$A$1:$A$1001, 0))</f>
        <v>No</v>
      </c>
    </row>
    <row r="124" spans="1:16" x14ac:dyDescent="0.25">
      <c r="A124" s="2" t="s">
        <v>1174</v>
      </c>
      <c r="B124" s="3">
        <v>44268</v>
      </c>
      <c r="C124" s="2" t="s">
        <v>1175</v>
      </c>
      <c r="D124" t="s">
        <v>6158</v>
      </c>
      <c r="E124" s="2">
        <v>4</v>
      </c>
      <c r="F124" s="2" t="str">
        <f>IFERROR(INDEX(customers!B$1:B$1001, MATCH(C124, customers!A$1:A$1001, 0)), "Not Found")</f>
        <v>Mahala Ludwell</v>
      </c>
      <c r="G124" s="2" t="str">
        <f>IF(IFERROR(INDEX(customers!C$1:C$1001, MATCH(C124, customers!A$1:A$1001, 0)), "Not Found")=0,"",IFERROR(INDEX(customers!C$1:C$1001, MATCH(C124, customers!A$1:A$1001, 0)), "Not Found"))</f>
        <v>mludwell3e@blogger.com</v>
      </c>
      <c r="H124" s="2" t="str">
        <f>IFERROR(INDEX(customers!G$1:G$1001, MATCH(C124, customers!A$1:A$1001, 0)), "Not Found")</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L124*E124</f>
        <v>23.88</v>
      </c>
      <c r="N124" t="str">
        <f>IF(I124="Rob","Robusta",IF(I124="Exc","Excelsa",IF(I124="Ara","Arabica",IF(I124="Lib","Laberica",""))))</f>
        <v>Arabica</v>
      </c>
      <c r="O124" t="str">
        <f t="shared" si="1"/>
        <v>Dark</v>
      </c>
      <c r="P124" t="str">
        <f>INDEX(customers!$I$1:$I$1001, MATCH(Orders[[#This Row],[Customer ID]], customers!$A$1:$A$1001, 0))</f>
        <v>Yes</v>
      </c>
    </row>
    <row r="125" spans="1:16" x14ac:dyDescent="0.25">
      <c r="A125" s="2" t="s">
        <v>1180</v>
      </c>
      <c r="B125" s="3">
        <v>44724</v>
      </c>
      <c r="C125" s="2" t="s">
        <v>1181</v>
      </c>
      <c r="D125" t="s">
        <v>6164</v>
      </c>
      <c r="E125" s="2">
        <v>4</v>
      </c>
      <c r="F125" s="2" t="str">
        <f>IFERROR(INDEX(customers!B$1:B$1001, MATCH(C125, customers!A$1:A$1001, 0)), "Not Found")</f>
        <v>Doll Beauchamp</v>
      </c>
      <c r="G125" s="2" t="str">
        <f>IF(IFERROR(INDEX(customers!C$1:C$1001, MATCH(C125, customers!A$1:A$1001, 0)), "Not Found")=0,"",IFERROR(INDEX(customers!C$1:C$1001, MATCH(C125, customers!A$1:A$1001, 0)), "Not Found"))</f>
        <v>dbeauchamp3f@usda.gov</v>
      </c>
      <c r="H125" s="2" t="str">
        <f>IFERROR(INDEX(customers!G$1:G$1001, MATCH(C125, customers!A$1:A$1001, 0)), "Not Found")</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L125*E125</f>
        <v>145.82</v>
      </c>
      <c r="N125" t="str">
        <f>IF(I125="Rob","Robusta",IF(I125="Exc","Excelsa",IF(I125="Ara","Arabica",IF(I125="Lib","Laberica",""))))</f>
        <v>Laberica</v>
      </c>
      <c r="O125" t="str">
        <f t="shared" si="1"/>
        <v>Light</v>
      </c>
      <c r="P125" t="str">
        <f>INDEX(customers!$I$1:$I$1001, MATCH(Orders[[#This Row],[Customer ID]], customers!$A$1:$A$1001, 0))</f>
        <v>No</v>
      </c>
    </row>
    <row r="126" spans="1:16" x14ac:dyDescent="0.25">
      <c r="A126" s="2" t="s">
        <v>1186</v>
      </c>
      <c r="B126" s="3">
        <v>43582</v>
      </c>
      <c r="C126" s="2" t="s">
        <v>1187</v>
      </c>
      <c r="D126" t="s">
        <v>6159</v>
      </c>
      <c r="E126" s="2">
        <v>5</v>
      </c>
      <c r="F126" s="2" t="str">
        <f>IFERROR(INDEX(customers!B$1:B$1001, MATCH(C126, customers!A$1:A$1001, 0)), "Not Found")</f>
        <v>Stanford Rodliff</v>
      </c>
      <c r="G126" s="2" t="str">
        <f>IF(IFERROR(INDEX(customers!C$1:C$1001, MATCH(C126, customers!A$1:A$1001, 0)), "Not Found")=0,"",IFERROR(INDEX(customers!C$1:C$1001, MATCH(C126, customers!A$1:A$1001, 0)), "Not Found"))</f>
        <v>srodliff3g@ted.com</v>
      </c>
      <c r="H126" s="2" t="str">
        <f>IFERROR(INDEX(customers!G$1:G$1001, MATCH(C126, customers!A$1:A$1001, 0)), "Not Found")</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L126*E126</f>
        <v>21.825000000000003</v>
      </c>
      <c r="N126" t="str">
        <f>IF(I126="Rob","Robusta",IF(I126="Exc","Excelsa",IF(I126="Ara","Arabica",IF(I126="Lib","Laberica",""))))</f>
        <v>Laberica</v>
      </c>
      <c r="O126" t="str">
        <f t="shared" si="1"/>
        <v>Medium</v>
      </c>
      <c r="P126" t="str">
        <f>INDEX(customers!$I$1:$I$1001, MATCH(Orders[[#This Row],[Customer ID]], customers!$A$1:$A$1001, 0))</f>
        <v>Yes</v>
      </c>
    </row>
    <row r="127" spans="1:16" x14ac:dyDescent="0.25">
      <c r="A127" s="2" t="s">
        <v>1192</v>
      </c>
      <c r="B127" s="3">
        <v>43608</v>
      </c>
      <c r="C127" s="2" t="s">
        <v>1193</v>
      </c>
      <c r="D127" t="s">
        <v>6160</v>
      </c>
      <c r="E127" s="2">
        <v>3</v>
      </c>
      <c r="F127" s="2" t="str">
        <f>IFERROR(INDEX(customers!B$1:B$1001, MATCH(C127, customers!A$1:A$1001, 0)), "Not Found")</f>
        <v>Stevana Woodham</v>
      </c>
      <c r="G127" s="2" t="str">
        <f>IF(IFERROR(INDEX(customers!C$1:C$1001, MATCH(C127, customers!A$1:A$1001, 0)), "Not Found")=0,"",IFERROR(INDEX(customers!C$1:C$1001, MATCH(C127, customers!A$1:A$1001, 0)), "Not Found"))</f>
        <v>swoodham3h@businesswire.com</v>
      </c>
      <c r="H127" s="2" t="str">
        <f>IFERROR(INDEX(customers!G$1:G$1001, MATCH(C127, customers!A$1:A$1001, 0)), "Not Found")</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L127*E127</f>
        <v>26.19</v>
      </c>
      <c r="N127" t="str">
        <f>IF(I127="Rob","Robusta",IF(I127="Exc","Excelsa",IF(I127="Ara","Arabica",IF(I127="Lib","Laberica",""))))</f>
        <v>Laberica</v>
      </c>
      <c r="O127" t="str">
        <f t="shared" si="1"/>
        <v>Medium</v>
      </c>
      <c r="P127" t="str">
        <f>INDEX(customers!$I$1:$I$1001, MATCH(Orders[[#This Row],[Customer ID]], customers!$A$1:$A$1001, 0))</f>
        <v>Yes</v>
      </c>
    </row>
    <row r="128" spans="1:16" x14ac:dyDescent="0.25">
      <c r="A128" s="2" t="s">
        <v>1198</v>
      </c>
      <c r="B128" s="3">
        <v>44026</v>
      </c>
      <c r="C128" s="2" t="s">
        <v>1199</v>
      </c>
      <c r="D128" t="s">
        <v>6155</v>
      </c>
      <c r="E128" s="2">
        <v>1</v>
      </c>
      <c r="F128" s="2" t="str">
        <f>IFERROR(INDEX(customers!B$1:B$1001, MATCH(C128, customers!A$1:A$1001, 0)), "Not Found")</f>
        <v>Hewet Synnot</v>
      </c>
      <c r="G128" s="2" t="str">
        <f>IF(IFERROR(INDEX(customers!C$1:C$1001, MATCH(C128, customers!A$1:A$1001, 0)), "Not Found")=0,"",IFERROR(INDEX(customers!C$1:C$1001, MATCH(C128, customers!A$1:A$1001, 0)), "Not Found"))</f>
        <v>hsynnot3i@about.com</v>
      </c>
      <c r="H128" s="2" t="str">
        <f>IFERROR(INDEX(customers!G$1:G$1001, MATCH(C128, customers!A$1:A$1001, 0)), "Not Found")</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L128*E128</f>
        <v>11.25</v>
      </c>
      <c r="N128" t="str">
        <f>IF(I128="Rob","Robusta",IF(I128="Exc","Excelsa",IF(I128="Ara","Arabica",IF(I128="Lib","Laberica",""))))</f>
        <v>Arabica</v>
      </c>
      <c r="O128" t="str">
        <f t="shared" si="1"/>
        <v>Medium</v>
      </c>
      <c r="P128" t="str">
        <f>INDEX(customers!$I$1:$I$1001, MATCH(Orders[[#This Row],[Customer ID]], customers!$A$1:$A$1001, 0))</f>
        <v>No</v>
      </c>
    </row>
    <row r="129" spans="1:16" x14ac:dyDescent="0.25">
      <c r="A129" s="2" t="s">
        <v>1204</v>
      </c>
      <c r="B129" s="3">
        <v>44510</v>
      </c>
      <c r="C129" s="2" t="s">
        <v>1205</v>
      </c>
      <c r="D129" t="s">
        <v>6143</v>
      </c>
      <c r="E129" s="2">
        <v>6</v>
      </c>
      <c r="F129" s="2" t="str">
        <f>IFERROR(INDEX(customers!B$1:B$1001, MATCH(C129, customers!A$1:A$1001, 0)), "Not Found")</f>
        <v>Raleigh Lepere</v>
      </c>
      <c r="G129" s="2" t="str">
        <f>IF(IFERROR(INDEX(customers!C$1:C$1001, MATCH(C129, customers!A$1:A$1001, 0)), "Not Found")=0,"",IFERROR(INDEX(customers!C$1:C$1001, MATCH(C129, customers!A$1:A$1001, 0)), "Not Found"))</f>
        <v>rlepere3j@shop-pro.jp</v>
      </c>
      <c r="H129" s="2" t="str">
        <f>IFERROR(INDEX(customers!G$1:G$1001, MATCH(C129, customers!A$1:A$1001, 0)), "Not Found")</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L129*E129</f>
        <v>77.699999999999989</v>
      </c>
      <c r="N129" t="str">
        <f>IF(I129="Rob","Robusta",IF(I129="Exc","Excelsa",IF(I129="Ara","Arabica",IF(I129="Lib","Laberica",""))))</f>
        <v>Laberica</v>
      </c>
      <c r="O129" t="str">
        <f t="shared" si="1"/>
        <v>Dark</v>
      </c>
      <c r="P129" t="str">
        <f>INDEX(customers!$I$1:$I$1001, MATCH(Orders[[#This Row],[Customer ID]], customers!$A$1:$A$1001, 0))</f>
        <v>No</v>
      </c>
    </row>
    <row r="130" spans="1:16" x14ac:dyDescent="0.25">
      <c r="A130" s="2" t="s">
        <v>1210</v>
      </c>
      <c r="B130" s="3">
        <v>44439</v>
      </c>
      <c r="C130" s="2" t="s">
        <v>1211</v>
      </c>
      <c r="D130" t="s">
        <v>6157</v>
      </c>
      <c r="E130" s="2">
        <v>1</v>
      </c>
      <c r="F130" s="2" t="str">
        <f>IFERROR(INDEX(customers!B$1:B$1001, MATCH(C130, customers!A$1:A$1001, 0)), "Not Found")</f>
        <v>Timofei Woofinden</v>
      </c>
      <c r="G130" s="2" t="str">
        <f>IF(IFERROR(INDEX(customers!C$1:C$1001, MATCH(C130, customers!A$1:A$1001, 0)), "Not Found")=0,"",IFERROR(INDEX(customers!C$1:C$1001, MATCH(C130, customers!A$1:A$1001, 0)), "Not Found"))</f>
        <v>twoofinden3k@businesswire.com</v>
      </c>
      <c r="H130" s="2" t="str">
        <f>IFERROR(INDEX(customers!G$1:G$1001, MATCH(C130, customers!A$1:A$1001, 0)), "Not Found")</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L130*E130</f>
        <v>6.75</v>
      </c>
      <c r="N130" t="str">
        <f>IF(I130="Rob","Robusta",IF(I130="Exc","Excelsa",IF(I130="Ara","Arabica",IF(I130="Lib","Laberica",""))))</f>
        <v>Arabica</v>
      </c>
      <c r="O130" t="str">
        <f t="shared" si="1"/>
        <v>Medium</v>
      </c>
      <c r="P130" t="str">
        <f>INDEX(customers!$I$1:$I$1001, MATCH(Orders[[#This Row],[Customer ID]], customers!$A$1:$A$1001, 0))</f>
        <v>No</v>
      </c>
    </row>
    <row r="131" spans="1:16" x14ac:dyDescent="0.25">
      <c r="A131" s="2" t="s">
        <v>1216</v>
      </c>
      <c r="B131" s="3">
        <v>43652</v>
      </c>
      <c r="C131" s="2" t="s">
        <v>1217</v>
      </c>
      <c r="D131" t="s">
        <v>6183</v>
      </c>
      <c r="E131" s="2">
        <v>1</v>
      </c>
      <c r="F131" s="2" t="str">
        <f>IFERROR(INDEX(customers!B$1:B$1001, MATCH(C131, customers!A$1:A$1001, 0)), "Not Found")</f>
        <v>Evelina Dacca</v>
      </c>
      <c r="G131" s="2" t="str">
        <f>IF(IFERROR(INDEX(customers!C$1:C$1001, MATCH(C131, customers!A$1:A$1001, 0)), "Not Found")=0,"",IFERROR(INDEX(customers!C$1:C$1001, MATCH(C131, customers!A$1:A$1001, 0)), "Not Found"))</f>
        <v>edacca3l@google.pl</v>
      </c>
      <c r="H131" s="2" t="str">
        <f>IFERROR(INDEX(customers!G$1:G$1001, MATCH(C131, customers!A$1:A$1001, 0)), "Not Found")</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L131*E131</f>
        <v>12.15</v>
      </c>
      <c r="N131" t="str">
        <f>IF(I131="Rob","Robusta",IF(I131="Exc","Excelsa",IF(I131="Ara","Arabica",IF(I131="Lib","Laberica",""))))</f>
        <v>Excelsa</v>
      </c>
      <c r="O131" t="str">
        <f t="shared" ref="O131:O194" si="2">IF(J131="M","Medium",IF(J131="L","Light",IF(J131="D","Dark","")))</f>
        <v>Dark</v>
      </c>
      <c r="P131" t="str">
        <f>INDEX(customers!$I$1:$I$1001, MATCH(Orders[[#This Row],[Customer ID]], customers!$A$1:$A$1001, 0))</f>
        <v>Yes</v>
      </c>
    </row>
    <row r="132" spans="1:16" x14ac:dyDescent="0.25">
      <c r="A132" s="2" t="s">
        <v>1222</v>
      </c>
      <c r="B132" s="3">
        <v>44624</v>
      </c>
      <c r="C132" s="2" t="s">
        <v>1223</v>
      </c>
      <c r="D132" t="s">
        <v>6182</v>
      </c>
      <c r="E132" s="2">
        <v>5</v>
      </c>
      <c r="F132" s="2" t="str">
        <f>IFERROR(INDEX(customers!B$1:B$1001, MATCH(C132, customers!A$1:A$1001, 0)), "Not Found")</f>
        <v>Bidget Tremellier</v>
      </c>
      <c r="G132" s="2" t="str">
        <f>IF(IFERROR(INDEX(customers!C$1:C$1001, MATCH(C132, customers!A$1:A$1001, 0)), "Not Found")=0,"",IFERROR(INDEX(customers!C$1:C$1001, MATCH(C132, customers!A$1:A$1001, 0)), "Not Found"))</f>
        <v/>
      </c>
      <c r="H132" s="2" t="str">
        <f>IFERROR(INDEX(customers!G$1:G$1001, MATCH(C132, customers!A$1:A$1001, 0)), "Not Found")</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L132*E132</f>
        <v>148.92499999999998</v>
      </c>
      <c r="N132" t="str">
        <f>IF(I132="Rob","Robusta",IF(I132="Exc","Excelsa",IF(I132="Ara","Arabica",IF(I132="Lib","Laberica",""))))</f>
        <v>Arabica</v>
      </c>
      <c r="O132" t="str">
        <f t="shared" si="2"/>
        <v>Light</v>
      </c>
      <c r="P132" t="str">
        <f>INDEX(customers!$I$1:$I$1001, MATCH(Orders[[#This Row],[Customer ID]], customers!$A$1:$A$1001, 0))</f>
        <v>Yes</v>
      </c>
    </row>
    <row r="133" spans="1:16" x14ac:dyDescent="0.25">
      <c r="A133" s="2" t="s">
        <v>1227</v>
      </c>
      <c r="B133" s="3">
        <v>44196</v>
      </c>
      <c r="C133" s="2" t="s">
        <v>1228</v>
      </c>
      <c r="D133" t="s">
        <v>6144</v>
      </c>
      <c r="E133" s="2">
        <v>2</v>
      </c>
      <c r="F133" s="2" t="str">
        <f>IFERROR(INDEX(customers!B$1:B$1001, MATCH(C133, customers!A$1:A$1001, 0)), "Not Found")</f>
        <v>Bobinette Hindsberg</v>
      </c>
      <c r="G133" s="2" t="str">
        <f>IF(IFERROR(INDEX(customers!C$1:C$1001, MATCH(C133, customers!A$1:A$1001, 0)), "Not Found")=0,"",IFERROR(INDEX(customers!C$1:C$1001, MATCH(C133, customers!A$1:A$1001, 0)), "Not Found"))</f>
        <v>bhindsberg3n@blogs.com</v>
      </c>
      <c r="H133" s="2" t="str">
        <f>IFERROR(INDEX(customers!G$1:G$1001, MATCH(C133, customers!A$1:A$1001, 0)), "Not Found")</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L133*E133</f>
        <v>14.58</v>
      </c>
      <c r="N133" t="str">
        <f>IF(I133="Rob","Robusta",IF(I133="Exc","Excelsa",IF(I133="Ara","Arabica",IF(I133="Lib","Laberica",""))))</f>
        <v>Excelsa</v>
      </c>
      <c r="O133" t="str">
        <f t="shared" si="2"/>
        <v>Dark</v>
      </c>
      <c r="P133" t="str">
        <f>INDEX(customers!$I$1:$I$1001, MATCH(Orders[[#This Row],[Customer ID]], customers!$A$1:$A$1001, 0))</f>
        <v>Yes</v>
      </c>
    </row>
    <row r="134" spans="1:16" x14ac:dyDescent="0.25">
      <c r="A134" s="2" t="s">
        <v>1233</v>
      </c>
      <c r="B134" s="3">
        <v>44043</v>
      </c>
      <c r="C134" s="2" t="s">
        <v>1234</v>
      </c>
      <c r="D134" t="s">
        <v>6182</v>
      </c>
      <c r="E134" s="2">
        <v>5</v>
      </c>
      <c r="F134" s="2" t="str">
        <f>IFERROR(INDEX(customers!B$1:B$1001, MATCH(C134, customers!A$1:A$1001, 0)), "Not Found")</f>
        <v>Osbert Robins</v>
      </c>
      <c r="G134" s="2" t="str">
        <f>IF(IFERROR(INDEX(customers!C$1:C$1001, MATCH(C134, customers!A$1:A$1001, 0)), "Not Found")=0,"",IFERROR(INDEX(customers!C$1:C$1001, MATCH(C134, customers!A$1:A$1001, 0)), "Not Found"))</f>
        <v>orobins3o@salon.com</v>
      </c>
      <c r="H134" s="2" t="str">
        <f>IFERROR(INDEX(customers!G$1:G$1001, MATCH(C134, customers!A$1:A$1001, 0)), "Not Found")</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L134*E134</f>
        <v>148.92499999999998</v>
      </c>
      <c r="N134" t="str">
        <f>IF(I134="Rob","Robusta",IF(I134="Exc","Excelsa",IF(I134="Ara","Arabica",IF(I134="Lib","Laberica",""))))</f>
        <v>Arabica</v>
      </c>
      <c r="O134" t="str">
        <f t="shared" si="2"/>
        <v>Light</v>
      </c>
      <c r="P134" t="str">
        <f>INDEX(customers!$I$1:$I$1001, MATCH(Orders[[#This Row],[Customer ID]], customers!$A$1:$A$1001, 0))</f>
        <v>Yes</v>
      </c>
    </row>
    <row r="135" spans="1:16" x14ac:dyDescent="0.25">
      <c r="A135" s="2" t="s">
        <v>1239</v>
      </c>
      <c r="B135" s="3">
        <v>44340</v>
      </c>
      <c r="C135" s="2" t="s">
        <v>1240</v>
      </c>
      <c r="D135" t="s">
        <v>6143</v>
      </c>
      <c r="E135" s="2">
        <v>1</v>
      </c>
      <c r="F135" s="2" t="str">
        <f>IFERROR(INDEX(customers!B$1:B$1001, MATCH(C135, customers!A$1:A$1001, 0)), "Not Found")</f>
        <v>Othello Syseland</v>
      </c>
      <c r="G135" s="2" t="str">
        <f>IF(IFERROR(INDEX(customers!C$1:C$1001, MATCH(C135, customers!A$1:A$1001, 0)), "Not Found")=0,"",IFERROR(INDEX(customers!C$1:C$1001, MATCH(C135, customers!A$1:A$1001, 0)), "Not Found"))</f>
        <v>osyseland3p@independent.co.uk</v>
      </c>
      <c r="H135" s="2" t="str">
        <f>IFERROR(INDEX(customers!G$1:G$1001, MATCH(C135, customers!A$1:A$1001, 0)), "Not Found")</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L135*E135</f>
        <v>12.95</v>
      </c>
      <c r="N135" t="str">
        <f>IF(I135="Rob","Robusta",IF(I135="Exc","Excelsa",IF(I135="Ara","Arabica",IF(I135="Lib","Laberica",""))))</f>
        <v>Laberica</v>
      </c>
      <c r="O135" t="str">
        <f t="shared" si="2"/>
        <v>Dark</v>
      </c>
      <c r="P135" t="str">
        <f>INDEX(customers!$I$1:$I$1001, MATCH(Orders[[#This Row],[Customer ID]], customers!$A$1:$A$1001, 0))</f>
        <v>No</v>
      </c>
    </row>
    <row r="136" spans="1:16" x14ac:dyDescent="0.25">
      <c r="A136" s="2" t="s">
        <v>1245</v>
      </c>
      <c r="B136" s="3">
        <v>44758</v>
      </c>
      <c r="C136" s="2" t="s">
        <v>1246</v>
      </c>
      <c r="D136" t="s">
        <v>6166</v>
      </c>
      <c r="E136" s="2">
        <v>3</v>
      </c>
      <c r="F136" s="2" t="str">
        <f>IFERROR(INDEX(customers!B$1:B$1001, MATCH(C136, customers!A$1:A$1001, 0)), "Not Found")</f>
        <v>Ewell Hanby</v>
      </c>
      <c r="G136" s="2" t="str">
        <f>IF(IFERROR(INDEX(customers!C$1:C$1001, MATCH(C136, customers!A$1:A$1001, 0)), "Not Found")=0,"",IFERROR(INDEX(customers!C$1:C$1001, MATCH(C136, customers!A$1:A$1001, 0)), "Not Found"))</f>
        <v/>
      </c>
      <c r="H136" s="2" t="str">
        <f>IFERROR(INDEX(customers!G$1:G$1001, MATCH(C136, customers!A$1:A$1001, 0)), "Not Found")</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L136*E136</f>
        <v>94.874999999999986</v>
      </c>
      <c r="N136" t="str">
        <f>IF(I136="Rob","Robusta",IF(I136="Exc","Excelsa",IF(I136="Ara","Arabica",IF(I136="Lib","Laberica",""))))</f>
        <v>Excelsa</v>
      </c>
      <c r="O136" t="str">
        <f t="shared" si="2"/>
        <v>Medium</v>
      </c>
      <c r="P136" t="str">
        <f>INDEX(customers!$I$1:$I$1001, MATCH(Orders[[#This Row],[Customer ID]], customers!$A$1:$A$1001, 0))</f>
        <v>Yes</v>
      </c>
    </row>
    <row r="137" spans="1:16" x14ac:dyDescent="0.25">
      <c r="A137" s="2" t="s">
        <v>1249</v>
      </c>
      <c r="B137" s="3">
        <v>44232</v>
      </c>
      <c r="C137" s="2" t="s">
        <v>976</v>
      </c>
      <c r="D137" t="s">
        <v>6180</v>
      </c>
      <c r="E137" s="2">
        <v>5</v>
      </c>
      <c r="F137" s="2" t="str">
        <f>IFERROR(INDEX(customers!B$1:B$1001, MATCH(C137, customers!A$1:A$1001, 0)), "Not Found")</f>
        <v>Blancha McAmish</v>
      </c>
      <c r="G137" s="2" t="str">
        <f>IF(IFERROR(INDEX(customers!C$1:C$1001, MATCH(C137, customers!A$1:A$1001, 0)), "Not Found")=0,"",IFERROR(INDEX(customers!C$1:C$1001, MATCH(C137, customers!A$1:A$1001, 0)), "Not Found"))</f>
        <v>bmcamish2e@tripadvisor.com</v>
      </c>
      <c r="H137" s="2" t="str">
        <f>IFERROR(INDEX(customers!G$1:G$1001, MATCH(C137, customers!A$1:A$1001, 0)), "Not Found")</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L137*E137</f>
        <v>38.849999999999994</v>
      </c>
      <c r="N137" t="str">
        <f>IF(I137="Rob","Robusta",IF(I137="Exc","Excelsa",IF(I137="Ara","Arabica",IF(I137="Lib","Laberica",""))))</f>
        <v>Arabica</v>
      </c>
      <c r="O137" t="str">
        <f t="shared" si="2"/>
        <v>Light</v>
      </c>
      <c r="P137" t="str">
        <f>INDEX(customers!$I$1:$I$1001, MATCH(Orders[[#This Row],[Customer ID]], customers!$A$1:$A$1001, 0))</f>
        <v>Yes</v>
      </c>
    </row>
    <row r="138" spans="1:16" x14ac:dyDescent="0.25">
      <c r="A138" s="2" t="s">
        <v>1255</v>
      </c>
      <c r="B138" s="3">
        <v>44406</v>
      </c>
      <c r="C138" s="2" t="s">
        <v>1256</v>
      </c>
      <c r="D138" t="s">
        <v>6154</v>
      </c>
      <c r="E138" s="2">
        <v>4</v>
      </c>
      <c r="F138" s="2" t="str">
        <f>IFERROR(INDEX(customers!B$1:B$1001, MATCH(C138, customers!A$1:A$1001, 0)), "Not Found")</f>
        <v>Lowell Keenleyside</v>
      </c>
      <c r="G138" s="2" t="str">
        <f>IF(IFERROR(INDEX(customers!C$1:C$1001, MATCH(C138, customers!A$1:A$1001, 0)), "Not Found")=0,"",IFERROR(INDEX(customers!C$1:C$1001, MATCH(C138, customers!A$1:A$1001, 0)), "Not Found"))</f>
        <v>lkeenleyside3s@topsy.com</v>
      </c>
      <c r="H138" s="2" t="str">
        <f>IFERROR(INDEX(customers!G$1:G$1001, MATCH(C138, customers!A$1:A$1001, 0)), "Not Found")</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L138*E138</f>
        <v>11.94</v>
      </c>
      <c r="N138" t="str">
        <f>IF(I138="Rob","Robusta",IF(I138="Exc","Excelsa",IF(I138="Ara","Arabica",IF(I138="Lib","Laberica",""))))</f>
        <v>Arabica</v>
      </c>
      <c r="O138" t="str">
        <f t="shared" si="2"/>
        <v>Dark</v>
      </c>
      <c r="P138" t="str">
        <f>INDEX(customers!$I$1:$I$1001, MATCH(Orders[[#This Row],[Customer ID]], customers!$A$1:$A$1001, 0))</f>
        <v>No</v>
      </c>
    </row>
    <row r="139" spans="1:16" x14ac:dyDescent="0.25">
      <c r="A139" s="2" t="s">
        <v>1261</v>
      </c>
      <c r="B139" s="3">
        <v>44637</v>
      </c>
      <c r="C139" s="2" t="s">
        <v>1262</v>
      </c>
      <c r="D139" t="s">
        <v>6148</v>
      </c>
      <c r="E139" s="2">
        <v>3</v>
      </c>
      <c r="F139" s="2" t="str">
        <f>IFERROR(INDEX(customers!B$1:B$1001, MATCH(C139, customers!A$1:A$1001, 0)), "Not Found")</f>
        <v>Elonore Joliffe</v>
      </c>
      <c r="G139" s="2" t="str">
        <f>IF(IFERROR(INDEX(customers!C$1:C$1001, MATCH(C139, customers!A$1:A$1001, 0)), "Not Found")=0,"",IFERROR(INDEX(customers!C$1:C$1001, MATCH(C139, customers!A$1:A$1001, 0)), "Not Found"))</f>
        <v/>
      </c>
      <c r="H139" s="2" t="str">
        <f>IFERROR(INDEX(customers!G$1:G$1001, MATCH(C139, customers!A$1:A$1001, 0)), "Not Found")</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L139*E139</f>
        <v>102.46499999999997</v>
      </c>
      <c r="N139" t="str">
        <f>IF(I139="Rob","Robusta",IF(I139="Exc","Excelsa",IF(I139="Ara","Arabica",IF(I139="Lib","Laberica",""))))</f>
        <v>Excelsa</v>
      </c>
      <c r="O139" t="str">
        <f t="shared" si="2"/>
        <v>Light</v>
      </c>
      <c r="P139" t="str">
        <f>INDEX(customers!$I$1:$I$1001, MATCH(Orders[[#This Row],[Customer ID]], customers!$A$1:$A$1001, 0))</f>
        <v>No</v>
      </c>
    </row>
    <row r="140" spans="1:16" x14ac:dyDescent="0.25">
      <c r="A140" s="2" t="s">
        <v>1266</v>
      </c>
      <c r="B140" s="3">
        <v>44238</v>
      </c>
      <c r="C140" s="2" t="s">
        <v>1267</v>
      </c>
      <c r="D140" t="s">
        <v>6183</v>
      </c>
      <c r="E140" s="2">
        <v>4</v>
      </c>
      <c r="F140" s="2" t="str">
        <f>IFERROR(INDEX(customers!B$1:B$1001, MATCH(C140, customers!A$1:A$1001, 0)), "Not Found")</f>
        <v>Abraham Coleman</v>
      </c>
      <c r="G140" s="2" t="str">
        <f>IF(IFERROR(INDEX(customers!C$1:C$1001, MATCH(C140, customers!A$1:A$1001, 0)), "Not Found")=0,"",IFERROR(INDEX(customers!C$1:C$1001, MATCH(C140, customers!A$1:A$1001, 0)), "Not Found"))</f>
        <v/>
      </c>
      <c r="H140" s="2" t="str">
        <f>IFERROR(INDEX(customers!G$1:G$1001, MATCH(C140, customers!A$1:A$1001, 0)), "Not Found")</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L140*E140</f>
        <v>48.6</v>
      </c>
      <c r="N140" t="str">
        <f>IF(I140="Rob","Robusta",IF(I140="Exc","Excelsa",IF(I140="Ara","Arabica",IF(I140="Lib","Laberica",""))))</f>
        <v>Excelsa</v>
      </c>
      <c r="O140" t="str">
        <f t="shared" si="2"/>
        <v>Dark</v>
      </c>
      <c r="P140" t="str">
        <f>INDEX(customers!$I$1:$I$1001, MATCH(Orders[[#This Row],[Customer ID]], customers!$A$1:$A$1001, 0))</f>
        <v>No</v>
      </c>
    </row>
    <row r="141" spans="1:16" x14ac:dyDescent="0.25">
      <c r="A141" s="2" t="s">
        <v>1271</v>
      </c>
      <c r="B141" s="3">
        <v>43509</v>
      </c>
      <c r="C141" s="2" t="s">
        <v>1272</v>
      </c>
      <c r="D141" t="s">
        <v>6143</v>
      </c>
      <c r="E141" s="2">
        <v>6</v>
      </c>
      <c r="F141" s="2" t="str">
        <f>IFERROR(INDEX(customers!B$1:B$1001, MATCH(C141, customers!A$1:A$1001, 0)), "Not Found")</f>
        <v>Rivy Farington</v>
      </c>
      <c r="G141" s="2" t="str">
        <f>IF(IFERROR(INDEX(customers!C$1:C$1001, MATCH(C141, customers!A$1:A$1001, 0)), "Not Found")=0,"",IFERROR(INDEX(customers!C$1:C$1001, MATCH(C141, customers!A$1:A$1001, 0)), "Not Found"))</f>
        <v/>
      </c>
      <c r="H141" s="2" t="str">
        <f>IFERROR(INDEX(customers!G$1:G$1001, MATCH(C141, customers!A$1:A$1001, 0)), "Not Found")</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L141*E141</f>
        <v>77.699999999999989</v>
      </c>
      <c r="N141" t="str">
        <f>IF(I141="Rob","Robusta",IF(I141="Exc","Excelsa",IF(I141="Ara","Arabica",IF(I141="Lib","Laberica",""))))</f>
        <v>Laberica</v>
      </c>
      <c r="O141" t="str">
        <f t="shared" si="2"/>
        <v>Dark</v>
      </c>
      <c r="P141" t="str">
        <f>INDEX(customers!$I$1:$I$1001, MATCH(Orders[[#This Row],[Customer ID]], customers!$A$1:$A$1001, 0))</f>
        <v>Yes</v>
      </c>
    </row>
    <row r="142" spans="1:16" x14ac:dyDescent="0.25">
      <c r="A142" s="2" t="s">
        <v>1276</v>
      </c>
      <c r="B142" s="3">
        <v>44694</v>
      </c>
      <c r="C142" s="2" t="s">
        <v>1277</v>
      </c>
      <c r="D142" t="s">
        <v>6165</v>
      </c>
      <c r="E142" s="2">
        <v>1</v>
      </c>
      <c r="F142" s="2" t="str">
        <f>IFERROR(INDEX(customers!B$1:B$1001, MATCH(C142, customers!A$1:A$1001, 0)), "Not Found")</f>
        <v>Vallie Kundt</v>
      </c>
      <c r="G142" s="2" t="str">
        <f>IF(IFERROR(INDEX(customers!C$1:C$1001, MATCH(C142, customers!A$1:A$1001, 0)), "Not Found")=0,"",IFERROR(INDEX(customers!C$1:C$1001, MATCH(C142, customers!A$1:A$1001, 0)), "Not Found"))</f>
        <v>vkundt3w@bigcartel.com</v>
      </c>
      <c r="H142" s="2" t="str">
        <f>IFERROR(INDEX(customers!G$1:G$1001, MATCH(C142, customers!A$1:A$1001, 0)), "Not Found")</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L142*E142</f>
        <v>29.784999999999997</v>
      </c>
      <c r="N142" t="str">
        <f>IF(I142="Rob","Robusta",IF(I142="Exc","Excelsa",IF(I142="Ara","Arabica",IF(I142="Lib","Laberica",""))))</f>
        <v>Laberica</v>
      </c>
      <c r="O142" t="str">
        <f t="shared" si="2"/>
        <v>Dark</v>
      </c>
      <c r="P142" t="str">
        <f>INDEX(customers!$I$1:$I$1001, MATCH(Orders[[#This Row],[Customer ID]], customers!$A$1:$A$1001, 0))</f>
        <v>Yes</v>
      </c>
    </row>
    <row r="143" spans="1:16" x14ac:dyDescent="0.25">
      <c r="A143" s="2" t="s">
        <v>1283</v>
      </c>
      <c r="B143" s="3">
        <v>43970</v>
      </c>
      <c r="C143" s="2" t="s">
        <v>1284</v>
      </c>
      <c r="D143" t="s">
        <v>6167</v>
      </c>
      <c r="E143" s="2">
        <v>4</v>
      </c>
      <c r="F143" s="2" t="str">
        <f>IFERROR(INDEX(customers!B$1:B$1001, MATCH(C143, customers!A$1:A$1001, 0)), "Not Found")</f>
        <v>Boyd Bett</v>
      </c>
      <c r="G143" s="2" t="str">
        <f>IF(IFERROR(INDEX(customers!C$1:C$1001, MATCH(C143, customers!A$1:A$1001, 0)), "Not Found")=0,"",IFERROR(INDEX(customers!C$1:C$1001, MATCH(C143, customers!A$1:A$1001, 0)), "Not Found"))</f>
        <v>bbett3x@google.de</v>
      </c>
      <c r="H143" s="2" t="str">
        <f>IFERROR(INDEX(customers!G$1:G$1001, MATCH(C143, customers!A$1:A$1001, 0)), "Not Found")</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L143*E143</f>
        <v>15.54</v>
      </c>
      <c r="N143" t="str">
        <f>IF(I143="Rob","Robusta",IF(I143="Exc","Excelsa",IF(I143="Ara","Arabica",IF(I143="Lib","Laberica",""))))</f>
        <v>Arabica</v>
      </c>
      <c r="O143" t="str">
        <f t="shared" si="2"/>
        <v>Light</v>
      </c>
      <c r="P143" t="str">
        <f>INDEX(customers!$I$1:$I$1001, MATCH(Orders[[#This Row],[Customer ID]], customers!$A$1:$A$1001, 0))</f>
        <v>Yes</v>
      </c>
    </row>
    <row r="144" spans="1:16" x14ac:dyDescent="0.25">
      <c r="A144" s="2" t="s">
        <v>1289</v>
      </c>
      <c r="B144" s="3">
        <v>44678</v>
      </c>
      <c r="C144" s="2" t="s">
        <v>1290</v>
      </c>
      <c r="D144" t="s">
        <v>6148</v>
      </c>
      <c r="E144" s="2">
        <v>4</v>
      </c>
      <c r="F144" s="2" t="str">
        <f>IFERROR(INDEX(customers!B$1:B$1001, MATCH(C144, customers!A$1:A$1001, 0)), "Not Found")</f>
        <v>Julio Armytage</v>
      </c>
      <c r="G144" s="2" t="str">
        <f>IF(IFERROR(INDEX(customers!C$1:C$1001, MATCH(C144, customers!A$1:A$1001, 0)), "Not Found")=0,"",IFERROR(INDEX(customers!C$1:C$1001, MATCH(C144, customers!A$1:A$1001, 0)), "Not Found"))</f>
        <v/>
      </c>
      <c r="H144" s="2" t="str">
        <f>IFERROR(INDEX(customers!G$1:G$1001, MATCH(C144, customers!A$1:A$1001, 0)), "Not Found")</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L144*E144</f>
        <v>136.61999999999998</v>
      </c>
      <c r="N144" t="str">
        <f>IF(I144="Rob","Robusta",IF(I144="Exc","Excelsa",IF(I144="Ara","Arabica",IF(I144="Lib","Laberica",""))))</f>
        <v>Excelsa</v>
      </c>
      <c r="O144" t="str">
        <f t="shared" si="2"/>
        <v>Light</v>
      </c>
      <c r="P144" t="str">
        <f>INDEX(customers!$I$1:$I$1001, MATCH(Orders[[#This Row],[Customer ID]], customers!$A$1:$A$1001, 0))</f>
        <v>Yes</v>
      </c>
    </row>
    <row r="145" spans="1:16" x14ac:dyDescent="0.25">
      <c r="A145" s="2" t="s">
        <v>1293</v>
      </c>
      <c r="B145" s="3">
        <v>44083</v>
      </c>
      <c r="C145" s="2" t="s">
        <v>1294</v>
      </c>
      <c r="D145" t="s">
        <v>6160</v>
      </c>
      <c r="E145" s="2">
        <v>2</v>
      </c>
      <c r="F145" s="2" t="str">
        <f>IFERROR(INDEX(customers!B$1:B$1001, MATCH(C145, customers!A$1:A$1001, 0)), "Not Found")</f>
        <v>Deana Staite</v>
      </c>
      <c r="G145" s="2" t="str">
        <f>IF(IFERROR(INDEX(customers!C$1:C$1001, MATCH(C145, customers!A$1:A$1001, 0)), "Not Found")=0,"",IFERROR(INDEX(customers!C$1:C$1001, MATCH(C145, customers!A$1:A$1001, 0)), "Not Found"))</f>
        <v>dstaite3z@scientificamerican.com</v>
      </c>
      <c r="H145" s="2" t="str">
        <f>IFERROR(INDEX(customers!G$1:G$1001, MATCH(C145, customers!A$1:A$1001, 0)), "Not Found")</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L145*E145</f>
        <v>17.46</v>
      </c>
      <c r="N145" t="str">
        <f>IF(I145="Rob","Robusta",IF(I145="Exc","Excelsa",IF(I145="Ara","Arabica",IF(I145="Lib","Laberica",""))))</f>
        <v>Laberica</v>
      </c>
      <c r="O145" t="str">
        <f t="shared" si="2"/>
        <v>Medium</v>
      </c>
      <c r="P145" t="str">
        <f>INDEX(customers!$I$1:$I$1001, MATCH(Orders[[#This Row],[Customer ID]], customers!$A$1:$A$1001, 0))</f>
        <v>No</v>
      </c>
    </row>
    <row r="146" spans="1:16" x14ac:dyDescent="0.25">
      <c r="A146" s="2" t="s">
        <v>1299</v>
      </c>
      <c r="B146" s="3">
        <v>44265</v>
      </c>
      <c r="C146" s="2" t="s">
        <v>1300</v>
      </c>
      <c r="D146" t="s">
        <v>6148</v>
      </c>
      <c r="E146" s="2">
        <v>2</v>
      </c>
      <c r="F146" s="2" t="str">
        <f>IFERROR(INDEX(customers!B$1:B$1001, MATCH(C146, customers!A$1:A$1001, 0)), "Not Found")</f>
        <v>Winn Keyse</v>
      </c>
      <c r="G146" s="2" t="str">
        <f>IF(IFERROR(INDEX(customers!C$1:C$1001, MATCH(C146, customers!A$1:A$1001, 0)), "Not Found")=0,"",IFERROR(INDEX(customers!C$1:C$1001, MATCH(C146, customers!A$1:A$1001, 0)), "Not Found"))</f>
        <v>wkeyse40@apple.com</v>
      </c>
      <c r="H146" s="2" t="str">
        <f>IFERROR(INDEX(customers!G$1:G$1001, MATCH(C146, customers!A$1:A$1001, 0)), "Not Found")</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L146*E146</f>
        <v>68.309999999999988</v>
      </c>
      <c r="N146" t="str">
        <f>IF(I146="Rob","Robusta",IF(I146="Exc","Excelsa",IF(I146="Ara","Arabica",IF(I146="Lib","Laberica",""))))</f>
        <v>Excelsa</v>
      </c>
      <c r="O146" t="str">
        <f t="shared" si="2"/>
        <v>Light</v>
      </c>
      <c r="P146" t="str">
        <f>INDEX(customers!$I$1:$I$1001, MATCH(Orders[[#This Row],[Customer ID]], customers!$A$1:$A$1001, 0))</f>
        <v>Yes</v>
      </c>
    </row>
    <row r="147" spans="1:16" x14ac:dyDescent="0.25">
      <c r="A147" s="2" t="s">
        <v>1305</v>
      </c>
      <c r="B147" s="3">
        <v>43562</v>
      </c>
      <c r="C147" s="2" t="s">
        <v>1306</v>
      </c>
      <c r="D147" t="s">
        <v>6159</v>
      </c>
      <c r="E147" s="2">
        <v>4</v>
      </c>
      <c r="F147" s="2" t="str">
        <f>IFERROR(INDEX(customers!B$1:B$1001, MATCH(C147, customers!A$1:A$1001, 0)), "Not Found")</f>
        <v>Osmund Clausen-Thue</v>
      </c>
      <c r="G147" s="2" t="str">
        <f>IF(IFERROR(INDEX(customers!C$1:C$1001, MATCH(C147, customers!A$1:A$1001, 0)), "Not Found")=0,"",IFERROR(INDEX(customers!C$1:C$1001, MATCH(C147, customers!A$1:A$1001, 0)), "Not Found"))</f>
        <v>oclausenthue41@marriott.com</v>
      </c>
      <c r="H147" s="2" t="str">
        <f>IFERROR(INDEX(customers!G$1:G$1001, MATCH(C147, customers!A$1:A$1001, 0)), "Not Found")</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L147*E147</f>
        <v>17.46</v>
      </c>
      <c r="N147" t="str">
        <f>IF(I147="Rob","Robusta",IF(I147="Exc","Excelsa",IF(I147="Ara","Arabica",IF(I147="Lib","Laberica",""))))</f>
        <v>Laberica</v>
      </c>
      <c r="O147" t="str">
        <f t="shared" si="2"/>
        <v>Medium</v>
      </c>
      <c r="P147" t="str">
        <f>INDEX(customers!$I$1:$I$1001, MATCH(Orders[[#This Row],[Customer ID]], customers!$A$1:$A$1001, 0))</f>
        <v>No</v>
      </c>
    </row>
    <row r="148" spans="1:16" x14ac:dyDescent="0.25">
      <c r="A148" s="2" t="s">
        <v>1311</v>
      </c>
      <c r="B148" s="3">
        <v>44024</v>
      </c>
      <c r="C148" s="2" t="s">
        <v>1312</v>
      </c>
      <c r="D148" t="s">
        <v>6162</v>
      </c>
      <c r="E148" s="2">
        <v>3</v>
      </c>
      <c r="F148" s="2" t="str">
        <f>IFERROR(INDEX(customers!B$1:B$1001, MATCH(C148, customers!A$1:A$1001, 0)), "Not Found")</f>
        <v>Leonore Francisco</v>
      </c>
      <c r="G148" s="2" t="str">
        <f>IF(IFERROR(INDEX(customers!C$1:C$1001, MATCH(C148, customers!A$1:A$1001, 0)), "Not Found")=0,"",IFERROR(INDEX(customers!C$1:C$1001, MATCH(C148, customers!A$1:A$1001, 0)), "Not Found"))</f>
        <v>lfrancisco42@fema.gov</v>
      </c>
      <c r="H148" s="2" t="str">
        <f>IFERROR(INDEX(customers!G$1:G$1001, MATCH(C148, customers!A$1:A$1001, 0)), "Not Found")</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L148*E148</f>
        <v>43.650000000000006</v>
      </c>
      <c r="N148" t="str">
        <f>IF(I148="Rob","Robusta",IF(I148="Exc","Excelsa",IF(I148="Ara","Arabica",IF(I148="Lib","Laberica",""))))</f>
        <v>Laberica</v>
      </c>
      <c r="O148" t="str">
        <f t="shared" si="2"/>
        <v>Medium</v>
      </c>
      <c r="P148" t="str">
        <f>INDEX(customers!$I$1:$I$1001, MATCH(Orders[[#This Row],[Customer ID]], customers!$A$1:$A$1001, 0))</f>
        <v>No</v>
      </c>
    </row>
    <row r="149" spans="1:16" x14ac:dyDescent="0.25">
      <c r="A149" s="2" t="s">
        <v>1311</v>
      </c>
      <c r="B149" s="3">
        <v>44024</v>
      </c>
      <c r="C149" s="2" t="s">
        <v>1312</v>
      </c>
      <c r="D149" t="s">
        <v>6141</v>
      </c>
      <c r="E149" s="2">
        <v>2</v>
      </c>
      <c r="F149" s="2" t="str">
        <f>IFERROR(INDEX(customers!B$1:B$1001, MATCH(C149, customers!A$1:A$1001, 0)), "Not Found")</f>
        <v>Leonore Francisco</v>
      </c>
      <c r="G149" s="2" t="str">
        <f>IF(IFERROR(INDEX(customers!C$1:C$1001, MATCH(C149, customers!A$1:A$1001, 0)), "Not Found")=0,"",IFERROR(INDEX(customers!C$1:C$1001, MATCH(C149, customers!A$1:A$1001, 0)), "Not Found"))</f>
        <v>lfrancisco42@fema.gov</v>
      </c>
      <c r="H149" s="2" t="str">
        <f>IFERROR(INDEX(customers!G$1:G$1001, MATCH(C149, customers!A$1:A$1001, 0)), "Not Found")</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L149*E149</f>
        <v>27.5</v>
      </c>
      <c r="N149" t="str">
        <f>IF(I149="Rob","Robusta",IF(I149="Exc","Excelsa",IF(I149="Ara","Arabica",IF(I149="Lib","Laberica",""))))</f>
        <v>Excelsa</v>
      </c>
      <c r="O149" t="str">
        <f t="shared" si="2"/>
        <v>Medium</v>
      </c>
      <c r="P149" t="str">
        <f>INDEX(customers!$I$1:$I$1001, MATCH(Orders[[#This Row],[Customer ID]], customers!$A$1:$A$1001, 0))</f>
        <v>No</v>
      </c>
    </row>
    <row r="150" spans="1:16" x14ac:dyDescent="0.25">
      <c r="A150" s="2" t="s">
        <v>1322</v>
      </c>
      <c r="B150" s="3">
        <v>44551</v>
      </c>
      <c r="C150" s="2" t="s">
        <v>1323</v>
      </c>
      <c r="D150" t="s">
        <v>6153</v>
      </c>
      <c r="E150" s="2">
        <v>5</v>
      </c>
      <c r="F150" s="2" t="str">
        <f>IFERROR(INDEX(customers!B$1:B$1001, MATCH(C150, customers!A$1:A$1001, 0)), "Not Found")</f>
        <v>Giacobo Skingle</v>
      </c>
      <c r="G150" s="2" t="str">
        <f>IF(IFERROR(INDEX(customers!C$1:C$1001, MATCH(C150, customers!A$1:A$1001, 0)), "Not Found")=0,"",IFERROR(INDEX(customers!C$1:C$1001, MATCH(C150, customers!A$1:A$1001, 0)), "Not Found"))</f>
        <v>gskingle44@clickbank.net</v>
      </c>
      <c r="H150" s="2" t="str">
        <f>IFERROR(INDEX(customers!G$1:G$1001, MATCH(C150, customers!A$1:A$1001, 0)), "Not Found")</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L150*E150</f>
        <v>18.225000000000001</v>
      </c>
      <c r="N150" t="str">
        <f>IF(I150="Rob","Robusta",IF(I150="Exc","Excelsa",IF(I150="Ara","Arabica",IF(I150="Lib","Laberica",""))))</f>
        <v>Excelsa</v>
      </c>
      <c r="O150" t="str">
        <f t="shared" si="2"/>
        <v>Dark</v>
      </c>
      <c r="P150" t="str">
        <f>INDEX(customers!$I$1:$I$1001, MATCH(Orders[[#This Row],[Customer ID]], customers!$A$1:$A$1001, 0))</f>
        <v>Yes</v>
      </c>
    </row>
    <row r="151" spans="1:16" x14ac:dyDescent="0.25">
      <c r="A151" s="2" t="s">
        <v>1328</v>
      </c>
      <c r="B151" s="3">
        <v>44108</v>
      </c>
      <c r="C151" s="2" t="s">
        <v>1329</v>
      </c>
      <c r="D151" t="s">
        <v>6175</v>
      </c>
      <c r="E151" s="2">
        <v>2</v>
      </c>
      <c r="F151" s="2" t="str">
        <f>IFERROR(INDEX(customers!B$1:B$1001, MATCH(C151, customers!A$1:A$1001, 0)), "Not Found")</f>
        <v>Gerard Pirdy</v>
      </c>
      <c r="G151" s="2" t="str">
        <f>IF(IFERROR(INDEX(customers!C$1:C$1001, MATCH(C151, customers!A$1:A$1001, 0)), "Not Found")=0,"",IFERROR(INDEX(customers!C$1:C$1001, MATCH(C151, customers!A$1:A$1001, 0)), "Not Found"))</f>
        <v/>
      </c>
      <c r="H151" s="2" t="str">
        <f>IFERROR(INDEX(customers!G$1:G$1001, MATCH(C151, customers!A$1:A$1001, 0)), "Not Found")</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L151*E151</f>
        <v>51.749999999999993</v>
      </c>
      <c r="N151" t="str">
        <f>IF(I151="Rob","Robusta",IF(I151="Exc","Excelsa",IF(I151="Ara","Arabica",IF(I151="Lib","Laberica",""))))</f>
        <v>Arabica</v>
      </c>
      <c r="O151" t="str">
        <f t="shared" si="2"/>
        <v>Medium</v>
      </c>
      <c r="P151" t="str">
        <f>INDEX(customers!$I$1:$I$1001, MATCH(Orders[[#This Row],[Customer ID]], customers!$A$1:$A$1001, 0))</f>
        <v>Yes</v>
      </c>
    </row>
    <row r="152" spans="1:16" x14ac:dyDescent="0.25">
      <c r="A152" s="2" t="s">
        <v>1333</v>
      </c>
      <c r="B152" s="3">
        <v>44051</v>
      </c>
      <c r="C152" s="2" t="s">
        <v>1334</v>
      </c>
      <c r="D152" t="s">
        <v>6143</v>
      </c>
      <c r="E152" s="2">
        <v>1</v>
      </c>
      <c r="F152" s="2" t="str">
        <f>IFERROR(INDEX(customers!B$1:B$1001, MATCH(C152, customers!A$1:A$1001, 0)), "Not Found")</f>
        <v>Jacinthe Balsillie</v>
      </c>
      <c r="G152" s="2" t="str">
        <f>IF(IFERROR(INDEX(customers!C$1:C$1001, MATCH(C152, customers!A$1:A$1001, 0)), "Not Found")=0,"",IFERROR(INDEX(customers!C$1:C$1001, MATCH(C152, customers!A$1:A$1001, 0)), "Not Found"))</f>
        <v>jbalsillie46@princeton.edu</v>
      </c>
      <c r="H152" s="2" t="str">
        <f>IFERROR(INDEX(customers!G$1:G$1001, MATCH(C152, customers!A$1:A$1001, 0)), "Not Found")</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L152*E152</f>
        <v>12.95</v>
      </c>
      <c r="N152" t="str">
        <f>IF(I152="Rob","Robusta",IF(I152="Exc","Excelsa",IF(I152="Ara","Arabica",IF(I152="Lib","Laberica",""))))</f>
        <v>Laberica</v>
      </c>
      <c r="O152" t="str">
        <f t="shared" si="2"/>
        <v>Dark</v>
      </c>
      <c r="P152" t="str">
        <f>INDEX(customers!$I$1:$I$1001, MATCH(Orders[[#This Row],[Customer ID]], customers!$A$1:$A$1001, 0))</f>
        <v>Yes</v>
      </c>
    </row>
    <row r="153" spans="1:16" x14ac:dyDescent="0.25">
      <c r="A153" s="2" t="s">
        <v>1339</v>
      </c>
      <c r="B153" s="3">
        <v>44115</v>
      </c>
      <c r="C153" s="2" t="s">
        <v>1340</v>
      </c>
      <c r="D153" t="s">
        <v>6155</v>
      </c>
      <c r="E153" s="2">
        <v>3</v>
      </c>
      <c r="F153" s="2" t="str">
        <f>IFERROR(INDEX(customers!B$1:B$1001, MATCH(C153, customers!A$1:A$1001, 0)), "Not Found")</f>
        <v>Quinton Fouracres</v>
      </c>
      <c r="G153" s="2" t="str">
        <f>IF(IFERROR(INDEX(customers!C$1:C$1001, MATCH(C153, customers!A$1:A$1001, 0)), "Not Found")=0,"",IFERROR(INDEX(customers!C$1:C$1001, MATCH(C153, customers!A$1:A$1001, 0)), "Not Found"))</f>
        <v/>
      </c>
      <c r="H153" s="2" t="str">
        <f>IFERROR(INDEX(customers!G$1:G$1001, MATCH(C153, customers!A$1:A$1001, 0)), "Not Found")</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L153*E153</f>
        <v>33.75</v>
      </c>
      <c r="N153" t="str">
        <f>IF(I153="Rob","Robusta",IF(I153="Exc","Excelsa",IF(I153="Ara","Arabica",IF(I153="Lib","Laberica",""))))</f>
        <v>Arabica</v>
      </c>
      <c r="O153" t="str">
        <f t="shared" si="2"/>
        <v>Medium</v>
      </c>
      <c r="P153" t="str">
        <f>INDEX(customers!$I$1:$I$1001, MATCH(Orders[[#This Row],[Customer ID]], customers!$A$1:$A$1001, 0))</f>
        <v>Yes</v>
      </c>
    </row>
    <row r="154" spans="1:16" x14ac:dyDescent="0.25">
      <c r="A154" s="2" t="s">
        <v>1344</v>
      </c>
      <c r="B154" s="3">
        <v>44510</v>
      </c>
      <c r="C154" s="2" t="s">
        <v>1345</v>
      </c>
      <c r="D154" t="s">
        <v>6151</v>
      </c>
      <c r="E154" s="2">
        <v>3</v>
      </c>
      <c r="F154" s="2" t="str">
        <f>IFERROR(INDEX(customers!B$1:B$1001, MATCH(C154, customers!A$1:A$1001, 0)), "Not Found")</f>
        <v>Bettina Leffek</v>
      </c>
      <c r="G154" s="2" t="str">
        <f>IF(IFERROR(INDEX(customers!C$1:C$1001, MATCH(C154, customers!A$1:A$1001, 0)), "Not Found")=0,"",IFERROR(INDEX(customers!C$1:C$1001, MATCH(C154, customers!A$1:A$1001, 0)), "Not Found"))</f>
        <v>bleffek48@ning.com</v>
      </c>
      <c r="H154" s="2" t="str">
        <f>IFERROR(INDEX(customers!G$1:G$1001, MATCH(C154, customers!A$1:A$1001, 0)), "Not Found")</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L154*E154</f>
        <v>68.655000000000001</v>
      </c>
      <c r="N154" t="str">
        <f>IF(I154="Rob","Robusta",IF(I154="Exc","Excelsa",IF(I154="Ara","Arabica",IF(I154="Lib","Laberica",""))))</f>
        <v>Robusta</v>
      </c>
      <c r="O154" t="str">
        <f t="shared" si="2"/>
        <v>Medium</v>
      </c>
      <c r="P154" t="str">
        <f>INDEX(customers!$I$1:$I$1001, MATCH(Orders[[#This Row],[Customer ID]], customers!$A$1:$A$1001, 0))</f>
        <v>Yes</v>
      </c>
    </row>
    <row r="155" spans="1:16" x14ac:dyDescent="0.25">
      <c r="A155" s="2" t="s">
        <v>1350</v>
      </c>
      <c r="B155" s="3">
        <v>44367</v>
      </c>
      <c r="C155" s="2" t="s">
        <v>1351</v>
      </c>
      <c r="D155" t="s">
        <v>6163</v>
      </c>
      <c r="E155" s="2">
        <v>1</v>
      </c>
      <c r="F155" s="2" t="str">
        <f>IFERROR(INDEX(customers!B$1:B$1001, MATCH(C155, customers!A$1:A$1001, 0)), "Not Found")</f>
        <v>Hetti Penson</v>
      </c>
      <c r="G155" s="2" t="str">
        <f>IF(IFERROR(INDEX(customers!C$1:C$1001, MATCH(C155, customers!A$1:A$1001, 0)), "Not Found")=0,"",IFERROR(INDEX(customers!C$1:C$1001, MATCH(C155, customers!A$1:A$1001, 0)), "Not Found"))</f>
        <v/>
      </c>
      <c r="H155" s="2" t="str">
        <f>IFERROR(INDEX(customers!G$1:G$1001, MATCH(C155, customers!A$1:A$1001, 0)), "Not Found")</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L155*E155</f>
        <v>2.6849999999999996</v>
      </c>
      <c r="N155" t="str">
        <f>IF(I155="Rob","Robusta",IF(I155="Exc","Excelsa",IF(I155="Ara","Arabica",IF(I155="Lib","Laberica",""))))</f>
        <v>Robusta</v>
      </c>
      <c r="O155" t="str">
        <f t="shared" si="2"/>
        <v>Dark</v>
      </c>
      <c r="P155" t="str">
        <f>INDEX(customers!$I$1:$I$1001, MATCH(Orders[[#This Row],[Customer ID]], customers!$A$1:$A$1001, 0))</f>
        <v>No</v>
      </c>
    </row>
    <row r="156" spans="1:16" x14ac:dyDescent="0.25">
      <c r="A156" s="2" t="s">
        <v>1355</v>
      </c>
      <c r="B156" s="3">
        <v>44473</v>
      </c>
      <c r="C156" s="2" t="s">
        <v>1356</v>
      </c>
      <c r="D156" t="s">
        <v>6168</v>
      </c>
      <c r="E156" s="2">
        <v>5</v>
      </c>
      <c r="F156" s="2" t="str">
        <f>IFERROR(INDEX(customers!B$1:B$1001, MATCH(C156, customers!A$1:A$1001, 0)), "Not Found")</f>
        <v>Jocko Pray</v>
      </c>
      <c r="G156" s="2" t="str">
        <f>IF(IFERROR(INDEX(customers!C$1:C$1001, MATCH(C156, customers!A$1:A$1001, 0)), "Not Found")=0,"",IFERROR(INDEX(customers!C$1:C$1001, MATCH(C156, customers!A$1:A$1001, 0)), "Not Found"))</f>
        <v>jpray4a@youtube.com</v>
      </c>
      <c r="H156" s="2" t="str">
        <f>IFERROR(INDEX(customers!G$1:G$1001, MATCH(C156, customers!A$1:A$1001, 0)), "Not Found")</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L156*E156</f>
        <v>114.42499999999998</v>
      </c>
      <c r="N156" t="str">
        <f>IF(I156="Rob","Robusta",IF(I156="Exc","Excelsa",IF(I156="Ara","Arabica",IF(I156="Lib","Laberica",""))))</f>
        <v>Arabica</v>
      </c>
      <c r="O156" t="str">
        <f t="shared" si="2"/>
        <v>Dark</v>
      </c>
      <c r="P156" t="str">
        <f>INDEX(customers!$I$1:$I$1001, MATCH(Orders[[#This Row],[Customer ID]], customers!$A$1:$A$1001, 0))</f>
        <v>No</v>
      </c>
    </row>
    <row r="157" spans="1:16" x14ac:dyDescent="0.25">
      <c r="A157" s="2" t="s">
        <v>1361</v>
      </c>
      <c r="B157" s="3">
        <v>43640</v>
      </c>
      <c r="C157" s="2" t="s">
        <v>1362</v>
      </c>
      <c r="D157" t="s">
        <v>6175</v>
      </c>
      <c r="E157" s="2">
        <v>6</v>
      </c>
      <c r="F157" s="2" t="str">
        <f>IFERROR(INDEX(customers!B$1:B$1001, MATCH(C157, customers!A$1:A$1001, 0)), "Not Found")</f>
        <v>Grete Holborn</v>
      </c>
      <c r="G157" s="2" t="str">
        <f>IF(IFERROR(INDEX(customers!C$1:C$1001, MATCH(C157, customers!A$1:A$1001, 0)), "Not Found")=0,"",IFERROR(INDEX(customers!C$1:C$1001, MATCH(C157, customers!A$1:A$1001, 0)), "Not Found"))</f>
        <v>gholborn4b@ow.ly</v>
      </c>
      <c r="H157" s="2" t="str">
        <f>IFERROR(INDEX(customers!G$1:G$1001, MATCH(C157, customers!A$1:A$1001, 0)), "Not Found")</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L157*E157</f>
        <v>155.24999999999997</v>
      </c>
      <c r="N157" t="str">
        <f>IF(I157="Rob","Robusta",IF(I157="Exc","Excelsa",IF(I157="Ara","Arabica",IF(I157="Lib","Laberica",""))))</f>
        <v>Arabica</v>
      </c>
      <c r="O157" t="str">
        <f t="shared" si="2"/>
        <v>Medium</v>
      </c>
      <c r="P157" t="str">
        <f>INDEX(customers!$I$1:$I$1001, MATCH(Orders[[#This Row],[Customer ID]], customers!$A$1:$A$1001, 0))</f>
        <v>Yes</v>
      </c>
    </row>
    <row r="158" spans="1:16" x14ac:dyDescent="0.25">
      <c r="A158" s="2" t="s">
        <v>1367</v>
      </c>
      <c r="B158" s="3">
        <v>43764</v>
      </c>
      <c r="C158" s="2" t="s">
        <v>1368</v>
      </c>
      <c r="D158" t="s">
        <v>6175</v>
      </c>
      <c r="E158" s="2">
        <v>3</v>
      </c>
      <c r="F158" s="2" t="str">
        <f>IFERROR(INDEX(customers!B$1:B$1001, MATCH(C158, customers!A$1:A$1001, 0)), "Not Found")</f>
        <v>Fielding Keinrat</v>
      </c>
      <c r="G158" s="2" t="str">
        <f>IF(IFERROR(INDEX(customers!C$1:C$1001, MATCH(C158, customers!A$1:A$1001, 0)), "Not Found")=0,"",IFERROR(INDEX(customers!C$1:C$1001, MATCH(C158, customers!A$1:A$1001, 0)), "Not Found"))</f>
        <v>fkeinrat4c@dailymail.co.uk</v>
      </c>
      <c r="H158" s="2" t="str">
        <f>IFERROR(INDEX(customers!G$1:G$1001, MATCH(C158, customers!A$1:A$1001, 0)), "Not Found")</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L158*E158</f>
        <v>77.624999999999986</v>
      </c>
      <c r="N158" t="str">
        <f>IF(I158="Rob","Robusta",IF(I158="Exc","Excelsa",IF(I158="Ara","Arabica",IF(I158="Lib","Laberica",""))))</f>
        <v>Arabica</v>
      </c>
      <c r="O158" t="str">
        <f t="shared" si="2"/>
        <v>Medium</v>
      </c>
      <c r="P158" t="str">
        <f>INDEX(customers!$I$1:$I$1001, MATCH(Orders[[#This Row],[Customer ID]], customers!$A$1:$A$1001, 0))</f>
        <v>Yes</v>
      </c>
    </row>
    <row r="159" spans="1:16" x14ac:dyDescent="0.25">
      <c r="A159" s="2" t="s">
        <v>1373</v>
      </c>
      <c r="B159" s="3">
        <v>44374</v>
      </c>
      <c r="C159" s="2" t="s">
        <v>1374</v>
      </c>
      <c r="D159" t="s">
        <v>6149</v>
      </c>
      <c r="E159" s="2">
        <v>3</v>
      </c>
      <c r="F159" s="2" t="str">
        <f>IFERROR(INDEX(customers!B$1:B$1001, MATCH(C159, customers!A$1:A$1001, 0)), "Not Found")</f>
        <v>Paulo Yea</v>
      </c>
      <c r="G159" s="2" t="str">
        <f>IF(IFERROR(INDEX(customers!C$1:C$1001, MATCH(C159, customers!A$1:A$1001, 0)), "Not Found")=0,"",IFERROR(INDEX(customers!C$1:C$1001, MATCH(C159, customers!A$1:A$1001, 0)), "Not Found"))</f>
        <v>pyea4d@aol.com</v>
      </c>
      <c r="H159" s="2" t="str">
        <f>IFERROR(INDEX(customers!G$1:G$1001, MATCH(C159, customers!A$1:A$1001, 0)), "Not Found")</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L159*E159</f>
        <v>61.754999999999995</v>
      </c>
      <c r="N159" t="str">
        <f>IF(I159="Rob","Robusta",IF(I159="Exc","Excelsa",IF(I159="Ara","Arabica",IF(I159="Lib","Laberica",""))))</f>
        <v>Robusta</v>
      </c>
      <c r="O159" t="str">
        <f t="shared" si="2"/>
        <v>Dark</v>
      </c>
      <c r="P159" t="str">
        <f>INDEX(customers!$I$1:$I$1001, MATCH(Orders[[#This Row],[Customer ID]], customers!$A$1:$A$1001, 0))</f>
        <v>No</v>
      </c>
    </row>
    <row r="160" spans="1:16" x14ac:dyDescent="0.25">
      <c r="A160" s="2" t="s">
        <v>1379</v>
      </c>
      <c r="B160" s="3">
        <v>43714</v>
      </c>
      <c r="C160" s="2" t="s">
        <v>1380</v>
      </c>
      <c r="D160" t="s">
        <v>6149</v>
      </c>
      <c r="E160" s="2">
        <v>6</v>
      </c>
      <c r="F160" s="2" t="str">
        <f>IFERROR(INDEX(customers!B$1:B$1001, MATCH(C160, customers!A$1:A$1001, 0)), "Not Found")</f>
        <v>Say Risborough</v>
      </c>
      <c r="G160" s="2" t="str">
        <f>IF(IFERROR(INDEX(customers!C$1:C$1001, MATCH(C160, customers!A$1:A$1001, 0)), "Not Found")=0,"",IFERROR(INDEX(customers!C$1:C$1001, MATCH(C160, customers!A$1:A$1001, 0)), "Not Found"))</f>
        <v/>
      </c>
      <c r="H160" s="2" t="str">
        <f>IFERROR(INDEX(customers!G$1:G$1001, MATCH(C160, customers!A$1:A$1001, 0)), "Not Found")</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L160*E160</f>
        <v>123.50999999999999</v>
      </c>
      <c r="N160" t="str">
        <f>IF(I160="Rob","Robusta",IF(I160="Exc","Excelsa",IF(I160="Ara","Arabica",IF(I160="Lib","Laberica",""))))</f>
        <v>Robusta</v>
      </c>
      <c r="O160" t="str">
        <f t="shared" si="2"/>
        <v>Dark</v>
      </c>
      <c r="P160" t="str">
        <f>INDEX(customers!$I$1:$I$1001, MATCH(Orders[[#This Row],[Customer ID]], customers!$A$1:$A$1001, 0))</f>
        <v>Yes</v>
      </c>
    </row>
    <row r="161" spans="1:16" x14ac:dyDescent="0.25">
      <c r="A161" s="2" t="s">
        <v>1384</v>
      </c>
      <c r="B161" s="3">
        <v>44316</v>
      </c>
      <c r="C161" s="2" t="s">
        <v>1385</v>
      </c>
      <c r="D161" t="s">
        <v>6164</v>
      </c>
      <c r="E161" s="2">
        <v>6</v>
      </c>
      <c r="F161" s="2" t="str">
        <f>IFERROR(INDEX(customers!B$1:B$1001, MATCH(C161, customers!A$1:A$1001, 0)), "Not Found")</f>
        <v>Alexa Sizey</v>
      </c>
      <c r="G161" s="2" t="str">
        <f>IF(IFERROR(INDEX(customers!C$1:C$1001, MATCH(C161, customers!A$1:A$1001, 0)), "Not Found")=0,"",IFERROR(INDEX(customers!C$1:C$1001, MATCH(C161, customers!A$1:A$1001, 0)), "Not Found"))</f>
        <v/>
      </c>
      <c r="H161" s="2" t="str">
        <f>IFERROR(INDEX(customers!G$1:G$1001, MATCH(C161, customers!A$1:A$1001, 0)), "Not Found")</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L161*E161</f>
        <v>218.73</v>
      </c>
      <c r="N161" t="str">
        <f>IF(I161="Rob","Robusta",IF(I161="Exc","Excelsa",IF(I161="Ara","Arabica",IF(I161="Lib","Laberica",""))))</f>
        <v>Laberica</v>
      </c>
      <c r="O161" t="str">
        <f t="shared" si="2"/>
        <v>Light</v>
      </c>
      <c r="P161" t="str">
        <f>INDEX(customers!$I$1:$I$1001, MATCH(Orders[[#This Row],[Customer ID]], customers!$A$1:$A$1001, 0))</f>
        <v>No</v>
      </c>
    </row>
    <row r="162" spans="1:16" x14ac:dyDescent="0.25">
      <c r="A162" s="2" t="s">
        <v>1389</v>
      </c>
      <c r="B162" s="3">
        <v>43837</v>
      </c>
      <c r="C162" s="2" t="s">
        <v>1390</v>
      </c>
      <c r="D162" t="s">
        <v>6139</v>
      </c>
      <c r="E162" s="2">
        <v>4</v>
      </c>
      <c r="F162" s="2" t="str">
        <f>IFERROR(INDEX(customers!B$1:B$1001, MATCH(C162, customers!A$1:A$1001, 0)), "Not Found")</f>
        <v>Kari Swede</v>
      </c>
      <c r="G162" s="2" t="str">
        <f>IF(IFERROR(INDEX(customers!C$1:C$1001, MATCH(C162, customers!A$1:A$1001, 0)), "Not Found")=0,"",IFERROR(INDEX(customers!C$1:C$1001, MATCH(C162, customers!A$1:A$1001, 0)), "Not Found"))</f>
        <v>kswede4g@addthis.com</v>
      </c>
      <c r="H162" s="2" t="str">
        <f>IFERROR(INDEX(customers!G$1:G$1001, MATCH(C162, customers!A$1:A$1001, 0)), "Not Found")</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L162*E162</f>
        <v>33</v>
      </c>
      <c r="N162" t="str">
        <f>IF(I162="Rob","Robusta",IF(I162="Exc","Excelsa",IF(I162="Ara","Arabica",IF(I162="Lib","Laberica",""))))</f>
        <v>Excelsa</v>
      </c>
      <c r="O162" t="str">
        <f t="shared" si="2"/>
        <v>Medium</v>
      </c>
      <c r="P162" t="str">
        <f>INDEX(customers!$I$1:$I$1001, MATCH(Orders[[#This Row],[Customer ID]], customers!$A$1:$A$1001, 0))</f>
        <v>No</v>
      </c>
    </row>
    <row r="163" spans="1:16" x14ac:dyDescent="0.25">
      <c r="A163" s="2" t="s">
        <v>1395</v>
      </c>
      <c r="B163" s="3">
        <v>44207</v>
      </c>
      <c r="C163" s="2" t="s">
        <v>1396</v>
      </c>
      <c r="D163" t="s">
        <v>6180</v>
      </c>
      <c r="E163" s="2">
        <v>3</v>
      </c>
      <c r="F163" s="2" t="str">
        <f>IFERROR(INDEX(customers!B$1:B$1001, MATCH(C163, customers!A$1:A$1001, 0)), "Not Found")</f>
        <v>Leontine Rubrow</v>
      </c>
      <c r="G163" s="2" t="str">
        <f>IF(IFERROR(INDEX(customers!C$1:C$1001, MATCH(C163, customers!A$1:A$1001, 0)), "Not Found")=0,"",IFERROR(INDEX(customers!C$1:C$1001, MATCH(C163, customers!A$1:A$1001, 0)), "Not Found"))</f>
        <v>lrubrow4h@microsoft.com</v>
      </c>
      <c r="H163" s="2" t="str">
        <f>IFERROR(INDEX(customers!G$1:G$1001, MATCH(C163, customers!A$1:A$1001, 0)), "Not Found")</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L163*E163</f>
        <v>23.31</v>
      </c>
      <c r="N163" t="str">
        <f>IF(I163="Rob","Robusta",IF(I163="Exc","Excelsa",IF(I163="Ara","Arabica",IF(I163="Lib","Laberica",""))))</f>
        <v>Arabica</v>
      </c>
      <c r="O163" t="str">
        <f t="shared" si="2"/>
        <v>Light</v>
      </c>
      <c r="P163" t="str">
        <f>INDEX(customers!$I$1:$I$1001, MATCH(Orders[[#This Row],[Customer ID]], customers!$A$1:$A$1001, 0))</f>
        <v>No</v>
      </c>
    </row>
    <row r="164" spans="1:16" x14ac:dyDescent="0.25">
      <c r="A164" s="2" t="s">
        <v>1401</v>
      </c>
      <c r="B164" s="3">
        <v>44515</v>
      </c>
      <c r="C164" s="2" t="s">
        <v>1402</v>
      </c>
      <c r="D164" t="s">
        <v>6144</v>
      </c>
      <c r="E164" s="2">
        <v>3</v>
      </c>
      <c r="F164" s="2" t="str">
        <f>IFERROR(INDEX(customers!B$1:B$1001, MATCH(C164, customers!A$1:A$1001, 0)), "Not Found")</f>
        <v>Dottie Tift</v>
      </c>
      <c r="G164" s="2" t="str">
        <f>IF(IFERROR(INDEX(customers!C$1:C$1001, MATCH(C164, customers!A$1:A$1001, 0)), "Not Found")=0,"",IFERROR(INDEX(customers!C$1:C$1001, MATCH(C164, customers!A$1:A$1001, 0)), "Not Found"))</f>
        <v>dtift4i@netvibes.com</v>
      </c>
      <c r="H164" s="2" t="str">
        <f>IFERROR(INDEX(customers!G$1:G$1001, MATCH(C164, customers!A$1:A$1001, 0)), "Not Found")</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L164*E164</f>
        <v>21.87</v>
      </c>
      <c r="N164" t="str">
        <f>IF(I164="Rob","Robusta",IF(I164="Exc","Excelsa",IF(I164="Ara","Arabica",IF(I164="Lib","Laberica",""))))</f>
        <v>Excelsa</v>
      </c>
      <c r="O164" t="str">
        <f t="shared" si="2"/>
        <v>Dark</v>
      </c>
      <c r="P164" t="str">
        <f>INDEX(customers!$I$1:$I$1001, MATCH(Orders[[#This Row],[Customer ID]], customers!$A$1:$A$1001, 0))</f>
        <v>Yes</v>
      </c>
    </row>
    <row r="165" spans="1:16" x14ac:dyDescent="0.25">
      <c r="A165" s="2" t="s">
        <v>1407</v>
      </c>
      <c r="B165" s="3">
        <v>43619</v>
      </c>
      <c r="C165" s="2" t="s">
        <v>1408</v>
      </c>
      <c r="D165" t="s">
        <v>6163</v>
      </c>
      <c r="E165" s="2">
        <v>6</v>
      </c>
      <c r="F165" s="2" t="str">
        <f>IFERROR(INDEX(customers!B$1:B$1001, MATCH(C165, customers!A$1:A$1001, 0)), "Not Found")</f>
        <v>Gerardo Schonfeld</v>
      </c>
      <c r="G165" s="2" t="str">
        <f>IF(IFERROR(INDEX(customers!C$1:C$1001, MATCH(C165, customers!A$1:A$1001, 0)), "Not Found")=0,"",IFERROR(INDEX(customers!C$1:C$1001, MATCH(C165, customers!A$1:A$1001, 0)), "Not Found"))</f>
        <v>gschonfeld4j@oracle.com</v>
      </c>
      <c r="H165" s="2" t="str">
        <f>IFERROR(INDEX(customers!G$1:G$1001, MATCH(C165, customers!A$1:A$1001, 0)), "Not Found")</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L165*E165</f>
        <v>16.11</v>
      </c>
      <c r="N165" t="str">
        <f>IF(I165="Rob","Robusta",IF(I165="Exc","Excelsa",IF(I165="Ara","Arabica",IF(I165="Lib","Laberica",""))))</f>
        <v>Robusta</v>
      </c>
      <c r="O165" t="str">
        <f t="shared" si="2"/>
        <v>Dark</v>
      </c>
      <c r="P165" t="str">
        <f>INDEX(customers!$I$1:$I$1001, MATCH(Orders[[#This Row],[Customer ID]], customers!$A$1:$A$1001, 0))</f>
        <v>No</v>
      </c>
    </row>
    <row r="166" spans="1:16" x14ac:dyDescent="0.25">
      <c r="A166" s="2" t="s">
        <v>1413</v>
      </c>
      <c r="B166" s="3">
        <v>44182</v>
      </c>
      <c r="C166" s="2" t="s">
        <v>1414</v>
      </c>
      <c r="D166" t="s">
        <v>6144</v>
      </c>
      <c r="E166" s="2">
        <v>4</v>
      </c>
      <c r="F166" s="2" t="str">
        <f>IFERROR(INDEX(customers!B$1:B$1001, MATCH(C166, customers!A$1:A$1001, 0)), "Not Found")</f>
        <v>Claiborne Feye</v>
      </c>
      <c r="G166" s="2" t="str">
        <f>IF(IFERROR(INDEX(customers!C$1:C$1001, MATCH(C166, customers!A$1:A$1001, 0)), "Not Found")=0,"",IFERROR(INDEX(customers!C$1:C$1001, MATCH(C166, customers!A$1:A$1001, 0)), "Not Found"))</f>
        <v>cfeye4k@google.co.jp</v>
      </c>
      <c r="H166" s="2" t="str">
        <f>IFERROR(INDEX(customers!G$1:G$1001, MATCH(C166, customers!A$1:A$1001, 0)), "Not Found")</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L166*E166</f>
        <v>29.16</v>
      </c>
      <c r="N166" t="str">
        <f>IF(I166="Rob","Robusta",IF(I166="Exc","Excelsa",IF(I166="Ara","Arabica",IF(I166="Lib","Laberica",""))))</f>
        <v>Excelsa</v>
      </c>
      <c r="O166" t="str">
        <f t="shared" si="2"/>
        <v>Dark</v>
      </c>
      <c r="P166" t="str">
        <f>INDEX(customers!$I$1:$I$1001, MATCH(Orders[[#This Row],[Customer ID]], customers!$A$1:$A$1001, 0))</f>
        <v>No</v>
      </c>
    </row>
    <row r="167" spans="1:16" x14ac:dyDescent="0.25">
      <c r="A167" s="2" t="s">
        <v>1420</v>
      </c>
      <c r="B167" s="3">
        <v>44234</v>
      </c>
      <c r="C167" s="2" t="s">
        <v>1421</v>
      </c>
      <c r="D167" t="s">
        <v>6177</v>
      </c>
      <c r="E167" s="2">
        <v>6</v>
      </c>
      <c r="F167" s="2" t="str">
        <f>IFERROR(INDEX(customers!B$1:B$1001, MATCH(C167, customers!A$1:A$1001, 0)), "Not Found")</f>
        <v>Mina Elstone</v>
      </c>
      <c r="G167" s="2" t="str">
        <f>IF(IFERROR(INDEX(customers!C$1:C$1001, MATCH(C167, customers!A$1:A$1001, 0)), "Not Found")=0,"",IFERROR(INDEX(customers!C$1:C$1001, MATCH(C167, customers!A$1:A$1001, 0)), "Not Found"))</f>
        <v/>
      </c>
      <c r="H167" s="2" t="str">
        <f>IFERROR(INDEX(customers!G$1:G$1001, MATCH(C167, customers!A$1:A$1001, 0)), "Not Found")</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L167*E167</f>
        <v>53.699999999999996</v>
      </c>
      <c r="N167" t="str">
        <f>IF(I167="Rob","Robusta",IF(I167="Exc","Excelsa",IF(I167="Ara","Arabica",IF(I167="Lib","Laberica",""))))</f>
        <v>Robusta</v>
      </c>
      <c r="O167" t="str">
        <f t="shared" si="2"/>
        <v>Dark</v>
      </c>
      <c r="P167" t="str">
        <f>INDEX(customers!$I$1:$I$1001, MATCH(Orders[[#This Row],[Customer ID]], customers!$A$1:$A$1001, 0))</f>
        <v>Yes</v>
      </c>
    </row>
    <row r="168" spans="1:16" x14ac:dyDescent="0.25">
      <c r="A168" s="2" t="s">
        <v>1425</v>
      </c>
      <c r="B168" s="3">
        <v>44270</v>
      </c>
      <c r="C168" s="2" t="s">
        <v>1426</v>
      </c>
      <c r="D168" t="s">
        <v>6172</v>
      </c>
      <c r="E168" s="2">
        <v>5</v>
      </c>
      <c r="F168" s="2" t="str">
        <f>IFERROR(INDEX(customers!B$1:B$1001, MATCH(C168, customers!A$1:A$1001, 0)), "Not Found")</f>
        <v>Sherman Mewrcik</v>
      </c>
      <c r="G168" s="2" t="str">
        <f>IF(IFERROR(INDEX(customers!C$1:C$1001, MATCH(C168, customers!A$1:A$1001, 0)), "Not Found")=0,"",IFERROR(INDEX(customers!C$1:C$1001, MATCH(C168, customers!A$1:A$1001, 0)), "Not Found"))</f>
        <v/>
      </c>
      <c r="H168" s="2" t="str">
        <f>IFERROR(INDEX(customers!G$1:G$1001, MATCH(C168, customers!A$1:A$1001, 0)), "Not Found")</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L168*E168</f>
        <v>26.849999999999994</v>
      </c>
      <c r="N168" t="str">
        <f>IF(I168="Rob","Robusta",IF(I168="Exc","Excelsa",IF(I168="Ara","Arabica",IF(I168="Lib","Laberica",""))))</f>
        <v>Robusta</v>
      </c>
      <c r="O168" t="str">
        <f t="shared" si="2"/>
        <v>Dark</v>
      </c>
      <c r="P168" t="str">
        <f>INDEX(customers!$I$1:$I$1001, MATCH(Orders[[#This Row],[Customer ID]], customers!$A$1:$A$1001, 0))</f>
        <v>Yes</v>
      </c>
    </row>
    <row r="169" spans="1:16" x14ac:dyDescent="0.25">
      <c r="A169" s="2" t="s">
        <v>1430</v>
      </c>
      <c r="B169" s="3">
        <v>44777</v>
      </c>
      <c r="C169" s="2" t="s">
        <v>1431</v>
      </c>
      <c r="D169" t="s">
        <v>6139</v>
      </c>
      <c r="E169" s="2">
        <v>5</v>
      </c>
      <c r="F169" s="2" t="str">
        <f>IFERROR(INDEX(customers!B$1:B$1001, MATCH(C169, customers!A$1:A$1001, 0)), "Not Found")</f>
        <v>Tamarah Fero</v>
      </c>
      <c r="G169" s="2" t="str">
        <f>IF(IFERROR(INDEX(customers!C$1:C$1001, MATCH(C169, customers!A$1:A$1001, 0)), "Not Found")=0,"",IFERROR(INDEX(customers!C$1:C$1001, MATCH(C169, customers!A$1:A$1001, 0)), "Not Found"))</f>
        <v>tfero4n@comsenz.com</v>
      </c>
      <c r="H169" s="2" t="str">
        <f>IFERROR(INDEX(customers!G$1:G$1001, MATCH(C169, customers!A$1:A$1001, 0)), "Not Found")</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L169*E169</f>
        <v>41.25</v>
      </c>
      <c r="N169" t="str">
        <f>IF(I169="Rob","Robusta",IF(I169="Exc","Excelsa",IF(I169="Ara","Arabica",IF(I169="Lib","Laberica",""))))</f>
        <v>Excelsa</v>
      </c>
      <c r="O169" t="str">
        <f t="shared" si="2"/>
        <v>Medium</v>
      </c>
      <c r="P169" t="str">
        <f>INDEX(customers!$I$1:$I$1001, MATCH(Orders[[#This Row],[Customer ID]], customers!$A$1:$A$1001, 0))</f>
        <v>Yes</v>
      </c>
    </row>
    <row r="170" spans="1:16" x14ac:dyDescent="0.25">
      <c r="A170" s="2" t="s">
        <v>1436</v>
      </c>
      <c r="B170" s="3">
        <v>43484</v>
      </c>
      <c r="C170" s="2" t="s">
        <v>1437</v>
      </c>
      <c r="D170" t="s">
        <v>6157</v>
      </c>
      <c r="E170" s="2">
        <v>6</v>
      </c>
      <c r="F170" s="2" t="str">
        <f>IFERROR(INDEX(customers!B$1:B$1001, MATCH(C170, customers!A$1:A$1001, 0)), "Not Found")</f>
        <v>Stanislaus Valsler</v>
      </c>
      <c r="G170" s="2" t="str">
        <f>IF(IFERROR(INDEX(customers!C$1:C$1001, MATCH(C170, customers!A$1:A$1001, 0)), "Not Found")=0,"",IFERROR(INDEX(customers!C$1:C$1001, MATCH(C170, customers!A$1:A$1001, 0)), "Not Found"))</f>
        <v/>
      </c>
      <c r="H170" s="2" t="str">
        <f>IFERROR(INDEX(customers!G$1:G$1001, MATCH(C170, customers!A$1:A$1001, 0)), "Not Found")</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L170*E170</f>
        <v>40.5</v>
      </c>
      <c r="N170" t="str">
        <f>IF(I170="Rob","Robusta",IF(I170="Exc","Excelsa",IF(I170="Ara","Arabica",IF(I170="Lib","Laberica",""))))</f>
        <v>Arabica</v>
      </c>
      <c r="O170" t="str">
        <f t="shared" si="2"/>
        <v>Medium</v>
      </c>
      <c r="P170" t="str">
        <f>INDEX(customers!$I$1:$I$1001, MATCH(Orders[[#This Row],[Customer ID]], customers!$A$1:$A$1001, 0))</f>
        <v>No</v>
      </c>
    </row>
    <row r="171" spans="1:16" x14ac:dyDescent="0.25">
      <c r="A171" s="2" t="s">
        <v>1441</v>
      </c>
      <c r="B171" s="3">
        <v>44643</v>
      </c>
      <c r="C171" s="2" t="s">
        <v>1442</v>
      </c>
      <c r="D171" t="s">
        <v>6177</v>
      </c>
      <c r="E171" s="2">
        <v>2</v>
      </c>
      <c r="F171" s="2" t="str">
        <f>IFERROR(INDEX(customers!B$1:B$1001, MATCH(C171, customers!A$1:A$1001, 0)), "Not Found")</f>
        <v>Felita Dauney</v>
      </c>
      <c r="G171" s="2" t="str">
        <f>IF(IFERROR(INDEX(customers!C$1:C$1001, MATCH(C171, customers!A$1:A$1001, 0)), "Not Found")=0,"",IFERROR(INDEX(customers!C$1:C$1001, MATCH(C171, customers!A$1:A$1001, 0)), "Not Found"))</f>
        <v>fdauney4p@sphinn.com</v>
      </c>
      <c r="H171" s="2" t="str">
        <f>IFERROR(INDEX(customers!G$1:G$1001, MATCH(C171, customers!A$1:A$1001, 0)), "Not Found")</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L171*E171</f>
        <v>17.899999999999999</v>
      </c>
      <c r="N171" t="str">
        <f>IF(I171="Rob","Robusta",IF(I171="Exc","Excelsa",IF(I171="Ara","Arabica",IF(I171="Lib","Laberica",""))))</f>
        <v>Robusta</v>
      </c>
      <c r="O171" t="str">
        <f t="shared" si="2"/>
        <v>Dark</v>
      </c>
      <c r="P171" t="str">
        <f>INDEX(customers!$I$1:$I$1001, MATCH(Orders[[#This Row],[Customer ID]], customers!$A$1:$A$1001, 0))</f>
        <v>No</v>
      </c>
    </row>
    <row r="172" spans="1:16" x14ac:dyDescent="0.25">
      <c r="A172" s="2" t="s">
        <v>1448</v>
      </c>
      <c r="B172" s="3">
        <v>44476</v>
      </c>
      <c r="C172" s="2" t="s">
        <v>1449</v>
      </c>
      <c r="D172" t="s">
        <v>6148</v>
      </c>
      <c r="E172" s="2">
        <v>2</v>
      </c>
      <c r="F172" s="2" t="str">
        <f>IFERROR(INDEX(customers!B$1:B$1001, MATCH(C172, customers!A$1:A$1001, 0)), "Not Found")</f>
        <v>Serena Earley</v>
      </c>
      <c r="G172" s="2" t="str">
        <f>IF(IFERROR(INDEX(customers!C$1:C$1001, MATCH(C172, customers!A$1:A$1001, 0)), "Not Found")=0,"",IFERROR(INDEX(customers!C$1:C$1001, MATCH(C172, customers!A$1:A$1001, 0)), "Not Found"))</f>
        <v>searley4q@youku.com</v>
      </c>
      <c r="H172" s="2" t="str">
        <f>IFERROR(INDEX(customers!G$1:G$1001, MATCH(C172, customers!A$1:A$1001, 0)), "Not Found")</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L172*E172</f>
        <v>68.309999999999988</v>
      </c>
      <c r="N172" t="str">
        <f>IF(I172="Rob","Robusta",IF(I172="Exc","Excelsa",IF(I172="Ara","Arabica",IF(I172="Lib","Laberica",""))))</f>
        <v>Excelsa</v>
      </c>
      <c r="O172" t="str">
        <f t="shared" si="2"/>
        <v>Light</v>
      </c>
      <c r="P172" t="str">
        <f>INDEX(customers!$I$1:$I$1001, MATCH(Orders[[#This Row],[Customer ID]], customers!$A$1:$A$1001, 0))</f>
        <v>No</v>
      </c>
    </row>
    <row r="173" spans="1:16" x14ac:dyDescent="0.25">
      <c r="A173" s="2" t="s">
        <v>1453</v>
      </c>
      <c r="B173" s="3">
        <v>43544</v>
      </c>
      <c r="C173" s="2" t="s">
        <v>1454</v>
      </c>
      <c r="D173" t="s">
        <v>6166</v>
      </c>
      <c r="E173" s="2">
        <v>2</v>
      </c>
      <c r="F173" s="2" t="str">
        <f>IFERROR(INDEX(customers!B$1:B$1001, MATCH(C173, customers!A$1:A$1001, 0)), "Not Found")</f>
        <v>Minny Chamberlayne</v>
      </c>
      <c r="G173" s="2" t="str">
        <f>IF(IFERROR(INDEX(customers!C$1:C$1001, MATCH(C173, customers!A$1:A$1001, 0)), "Not Found")=0,"",IFERROR(INDEX(customers!C$1:C$1001, MATCH(C173, customers!A$1:A$1001, 0)), "Not Found"))</f>
        <v>mchamberlayne4r@bigcartel.com</v>
      </c>
      <c r="H173" s="2" t="str">
        <f>IFERROR(INDEX(customers!G$1:G$1001, MATCH(C173, customers!A$1:A$1001, 0)), "Not Found")</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L173*E173</f>
        <v>63.249999999999993</v>
      </c>
      <c r="N173" t="str">
        <f>IF(I173="Rob","Robusta",IF(I173="Exc","Excelsa",IF(I173="Ara","Arabica",IF(I173="Lib","Laberica",""))))</f>
        <v>Excelsa</v>
      </c>
      <c r="O173" t="str">
        <f t="shared" si="2"/>
        <v>Medium</v>
      </c>
      <c r="P173" t="str">
        <f>INDEX(customers!$I$1:$I$1001, MATCH(Orders[[#This Row],[Customer ID]], customers!$A$1:$A$1001, 0))</f>
        <v>Yes</v>
      </c>
    </row>
    <row r="174" spans="1:16" x14ac:dyDescent="0.25">
      <c r="A174" s="2" t="s">
        <v>1459</v>
      </c>
      <c r="B174" s="3">
        <v>44545</v>
      </c>
      <c r="C174" s="2" t="s">
        <v>1460</v>
      </c>
      <c r="D174" t="s">
        <v>6144</v>
      </c>
      <c r="E174" s="2">
        <v>3</v>
      </c>
      <c r="F174" s="2" t="str">
        <f>IFERROR(INDEX(customers!B$1:B$1001, MATCH(C174, customers!A$1:A$1001, 0)), "Not Found")</f>
        <v>Bartholemy Flaherty</v>
      </c>
      <c r="G174" s="2" t="str">
        <f>IF(IFERROR(INDEX(customers!C$1:C$1001, MATCH(C174, customers!A$1:A$1001, 0)), "Not Found")=0,"",IFERROR(INDEX(customers!C$1:C$1001, MATCH(C174, customers!A$1:A$1001, 0)), "Not Found"))</f>
        <v>bflaherty4s@moonfruit.com</v>
      </c>
      <c r="H174" s="2" t="str">
        <f>IFERROR(INDEX(customers!G$1:G$1001, MATCH(C174, customers!A$1:A$1001, 0)), "Not Found")</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L174*E174</f>
        <v>21.87</v>
      </c>
      <c r="N174" t="str">
        <f>IF(I174="Rob","Robusta",IF(I174="Exc","Excelsa",IF(I174="Ara","Arabica",IF(I174="Lib","Laberica",""))))</f>
        <v>Excelsa</v>
      </c>
      <c r="O174" t="str">
        <f t="shared" si="2"/>
        <v>Dark</v>
      </c>
      <c r="P174" t="str">
        <f>INDEX(customers!$I$1:$I$1001, MATCH(Orders[[#This Row],[Customer ID]], customers!$A$1:$A$1001, 0))</f>
        <v>No</v>
      </c>
    </row>
    <row r="175" spans="1:16" x14ac:dyDescent="0.25">
      <c r="A175" s="2" t="s">
        <v>1464</v>
      </c>
      <c r="B175" s="3">
        <v>44720</v>
      </c>
      <c r="C175" s="2" t="s">
        <v>1465</v>
      </c>
      <c r="D175" t="s">
        <v>6151</v>
      </c>
      <c r="E175" s="2">
        <v>4</v>
      </c>
      <c r="F175" s="2" t="str">
        <f>IFERROR(INDEX(customers!B$1:B$1001, MATCH(C175, customers!A$1:A$1001, 0)), "Not Found")</f>
        <v>Oran Colbeck</v>
      </c>
      <c r="G175" s="2" t="str">
        <f>IF(IFERROR(INDEX(customers!C$1:C$1001, MATCH(C175, customers!A$1:A$1001, 0)), "Not Found")=0,"",IFERROR(INDEX(customers!C$1:C$1001, MATCH(C175, customers!A$1:A$1001, 0)), "Not Found"))</f>
        <v>ocolbeck4t@sina.com.cn</v>
      </c>
      <c r="H175" s="2" t="str">
        <f>IFERROR(INDEX(customers!G$1:G$1001, MATCH(C175, customers!A$1:A$1001, 0)), "Not Found")</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L175*E175</f>
        <v>91.539999999999992</v>
      </c>
      <c r="N175" t="str">
        <f>IF(I175="Rob","Robusta",IF(I175="Exc","Excelsa",IF(I175="Ara","Arabica",IF(I175="Lib","Laberica",""))))</f>
        <v>Robusta</v>
      </c>
      <c r="O175" t="str">
        <f t="shared" si="2"/>
        <v>Medium</v>
      </c>
      <c r="P175" t="str">
        <f>INDEX(customers!$I$1:$I$1001, MATCH(Orders[[#This Row],[Customer ID]], customers!$A$1:$A$1001, 0))</f>
        <v>No</v>
      </c>
    </row>
    <row r="176" spans="1:16" x14ac:dyDescent="0.25">
      <c r="A176" s="2" t="s">
        <v>1470</v>
      </c>
      <c r="B176" s="3">
        <v>43813</v>
      </c>
      <c r="C176" s="2" t="s">
        <v>1471</v>
      </c>
      <c r="D176" t="s">
        <v>6148</v>
      </c>
      <c r="E176" s="2">
        <v>6</v>
      </c>
      <c r="F176" s="2" t="str">
        <f>IFERROR(INDEX(customers!B$1:B$1001, MATCH(C176, customers!A$1:A$1001, 0)), "Not Found")</f>
        <v>Elysee Sketch</v>
      </c>
      <c r="G176" s="2" t="str">
        <f>IF(IFERROR(INDEX(customers!C$1:C$1001, MATCH(C176, customers!A$1:A$1001, 0)), "Not Found")=0,"",IFERROR(INDEX(customers!C$1:C$1001, MATCH(C176, customers!A$1:A$1001, 0)), "Not Found"))</f>
        <v/>
      </c>
      <c r="H176" s="2" t="str">
        <f>IFERROR(INDEX(customers!G$1:G$1001, MATCH(C176, customers!A$1:A$1001, 0)), "Not Found")</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L176*E176</f>
        <v>204.92999999999995</v>
      </c>
      <c r="N176" t="str">
        <f>IF(I176="Rob","Robusta",IF(I176="Exc","Excelsa",IF(I176="Ara","Arabica",IF(I176="Lib","Laberica",""))))</f>
        <v>Excelsa</v>
      </c>
      <c r="O176" t="str">
        <f t="shared" si="2"/>
        <v>Light</v>
      </c>
      <c r="P176" t="str">
        <f>INDEX(customers!$I$1:$I$1001, MATCH(Orders[[#This Row],[Customer ID]], customers!$A$1:$A$1001, 0))</f>
        <v>Yes</v>
      </c>
    </row>
    <row r="177" spans="1:16" x14ac:dyDescent="0.25">
      <c r="A177" s="2" t="s">
        <v>1475</v>
      </c>
      <c r="B177" s="3">
        <v>44296</v>
      </c>
      <c r="C177" s="2" t="s">
        <v>1476</v>
      </c>
      <c r="D177" t="s">
        <v>6166</v>
      </c>
      <c r="E177" s="2">
        <v>2</v>
      </c>
      <c r="F177" s="2" t="str">
        <f>IFERROR(INDEX(customers!B$1:B$1001, MATCH(C177, customers!A$1:A$1001, 0)), "Not Found")</f>
        <v>Ethelda Hobbing</v>
      </c>
      <c r="G177" s="2" t="str">
        <f>IF(IFERROR(INDEX(customers!C$1:C$1001, MATCH(C177, customers!A$1:A$1001, 0)), "Not Found")=0,"",IFERROR(INDEX(customers!C$1:C$1001, MATCH(C177, customers!A$1:A$1001, 0)), "Not Found"))</f>
        <v>ehobbing4v@nsw.gov.au</v>
      </c>
      <c r="H177" s="2" t="str">
        <f>IFERROR(INDEX(customers!G$1:G$1001, MATCH(C177, customers!A$1:A$1001, 0)), "Not Found")</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L177*E177</f>
        <v>63.249999999999993</v>
      </c>
      <c r="N177" t="str">
        <f>IF(I177="Rob","Robusta",IF(I177="Exc","Excelsa",IF(I177="Ara","Arabica",IF(I177="Lib","Laberica",""))))</f>
        <v>Excelsa</v>
      </c>
      <c r="O177" t="str">
        <f t="shared" si="2"/>
        <v>Medium</v>
      </c>
      <c r="P177" t="str">
        <f>INDEX(customers!$I$1:$I$1001, MATCH(Orders[[#This Row],[Customer ID]], customers!$A$1:$A$1001, 0))</f>
        <v>Yes</v>
      </c>
    </row>
    <row r="178" spans="1:16" x14ac:dyDescent="0.25">
      <c r="A178" s="2" t="s">
        <v>1481</v>
      </c>
      <c r="B178" s="3">
        <v>43900</v>
      </c>
      <c r="C178" s="2" t="s">
        <v>1482</v>
      </c>
      <c r="D178" t="s">
        <v>6148</v>
      </c>
      <c r="E178" s="2">
        <v>1</v>
      </c>
      <c r="F178" s="2" t="str">
        <f>IFERROR(INDEX(customers!B$1:B$1001, MATCH(C178, customers!A$1:A$1001, 0)), "Not Found")</f>
        <v>Odille Thynne</v>
      </c>
      <c r="G178" s="2" t="str">
        <f>IF(IFERROR(INDEX(customers!C$1:C$1001, MATCH(C178, customers!A$1:A$1001, 0)), "Not Found")=0,"",IFERROR(INDEX(customers!C$1:C$1001, MATCH(C178, customers!A$1:A$1001, 0)), "Not Found"))</f>
        <v>othynne4w@auda.org.au</v>
      </c>
      <c r="H178" s="2" t="str">
        <f>IFERROR(INDEX(customers!G$1:G$1001, MATCH(C178, customers!A$1:A$1001, 0)), "Not Found")</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L178*E178</f>
        <v>34.154999999999994</v>
      </c>
      <c r="N178" t="str">
        <f>IF(I178="Rob","Robusta",IF(I178="Exc","Excelsa",IF(I178="Ara","Arabica",IF(I178="Lib","Laberica",""))))</f>
        <v>Excelsa</v>
      </c>
      <c r="O178" t="str">
        <f t="shared" si="2"/>
        <v>Light</v>
      </c>
      <c r="P178" t="str">
        <f>INDEX(customers!$I$1:$I$1001, MATCH(Orders[[#This Row],[Customer ID]], customers!$A$1:$A$1001, 0))</f>
        <v>Yes</v>
      </c>
    </row>
    <row r="179" spans="1:16" x14ac:dyDescent="0.25">
      <c r="A179" s="2" t="s">
        <v>1487</v>
      </c>
      <c r="B179" s="3">
        <v>44120</v>
      </c>
      <c r="C179" s="2" t="s">
        <v>1488</v>
      </c>
      <c r="D179" t="s">
        <v>6142</v>
      </c>
      <c r="E179" s="2">
        <v>4</v>
      </c>
      <c r="F179" s="2" t="str">
        <f>IFERROR(INDEX(customers!B$1:B$1001, MATCH(C179, customers!A$1:A$1001, 0)), "Not Found")</f>
        <v>Emlynne Heining</v>
      </c>
      <c r="G179" s="2" t="str">
        <f>IF(IFERROR(INDEX(customers!C$1:C$1001, MATCH(C179, customers!A$1:A$1001, 0)), "Not Found")=0,"",IFERROR(INDEX(customers!C$1:C$1001, MATCH(C179, customers!A$1:A$1001, 0)), "Not Found"))</f>
        <v>eheining4x@flickr.com</v>
      </c>
      <c r="H179" s="2" t="str">
        <f>IFERROR(INDEX(customers!G$1:G$1001, MATCH(C179, customers!A$1:A$1001, 0)), "Not Found")</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L179*E179</f>
        <v>109.93999999999998</v>
      </c>
      <c r="N179" t="str">
        <f>IF(I179="Rob","Robusta",IF(I179="Exc","Excelsa",IF(I179="Ara","Arabica",IF(I179="Lib","Laberica",""))))</f>
        <v>Robusta</v>
      </c>
      <c r="O179" t="str">
        <f t="shared" si="2"/>
        <v>Light</v>
      </c>
      <c r="P179" t="str">
        <f>INDEX(customers!$I$1:$I$1001, MATCH(Orders[[#This Row],[Customer ID]], customers!$A$1:$A$1001, 0))</f>
        <v>Yes</v>
      </c>
    </row>
    <row r="180" spans="1:16" x14ac:dyDescent="0.25">
      <c r="A180" s="2" t="s">
        <v>1492</v>
      </c>
      <c r="B180" s="3">
        <v>43746</v>
      </c>
      <c r="C180" s="2" t="s">
        <v>1493</v>
      </c>
      <c r="D180" t="s">
        <v>6140</v>
      </c>
      <c r="E180" s="2">
        <v>2</v>
      </c>
      <c r="F180" s="2" t="str">
        <f>IFERROR(INDEX(customers!B$1:B$1001, MATCH(C180, customers!A$1:A$1001, 0)), "Not Found")</f>
        <v>Katerina Melloi</v>
      </c>
      <c r="G180" s="2" t="str">
        <f>IF(IFERROR(INDEX(customers!C$1:C$1001, MATCH(C180, customers!A$1:A$1001, 0)), "Not Found")=0,"",IFERROR(INDEX(customers!C$1:C$1001, MATCH(C180, customers!A$1:A$1001, 0)), "Not Found"))</f>
        <v>kmelloi4y@imdb.com</v>
      </c>
      <c r="H180" s="2" t="str">
        <f>IFERROR(INDEX(customers!G$1:G$1001, MATCH(C180, customers!A$1:A$1001, 0)), "Not Found")</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L180*E180</f>
        <v>25.9</v>
      </c>
      <c r="N180" t="str">
        <f>IF(I180="Rob","Robusta",IF(I180="Exc","Excelsa",IF(I180="Ara","Arabica",IF(I180="Lib","Laberica",""))))</f>
        <v>Arabica</v>
      </c>
      <c r="O180" t="str">
        <f t="shared" si="2"/>
        <v>Light</v>
      </c>
      <c r="P180" t="str">
        <f>INDEX(customers!$I$1:$I$1001, MATCH(Orders[[#This Row],[Customer ID]], customers!$A$1:$A$1001, 0))</f>
        <v>No</v>
      </c>
    </row>
    <row r="181" spans="1:16" x14ac:dyDescent="0.25">
      <c r="A181" s="2" t="s">
        <v>1498</v>
      </c>
      <c r="B181" s="3">
        <v>43830</v>
      </c>
      <c r="C181" s="2" t="s">
        <v>1499</v>
      </c>
      <c r="D181" t="s">
        <v>6154</v>
      </c>
      <c r="E181" s="2">
        <v>1</v>
      </c>
      <c r="F181" s="2" t="str">
        <f>IFERROR(INDEX(customers!B$1:B$1001, MATCH(C181, customers!A$1:A$1001, 0)), "Not Found")</f>
        <v>Tiffany Scardafield</v>
      </c>
      <c r="G181" s="2" t="str">
        <f>IF(IFERROR(INDEX(customers!C$1:C$1001, MATCH(C181, customers!A$1:A$1001, 0)), "Not Found")=0,"",IFERROR(INDEX(customers!C$1:C$1001, MATCH(C181, customers!A$1:A$1001, 0)), "Not Found"))</f>
        <v/>
      </c>
      <c r="H181" s="2" t="str">
        <f>IFERROR(INDEX(customers!G$1:G$1001, MATCH(C181, customers!A$1:A$1001, 0)), "Not Found")</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L181*E181</f>
        <v>2.9849999999999999</v>
      </c>
      <c r="N181" t="str">
        <f>IF(I181="Rob","Robusta",IF(I181="Exc","Excelsa",IF(I181="Ara","Arabica",IF(I181="Lib","Laberica",""))))</f>
        <v>Arabica</v>
      </c>
      <c r="O181" t="str">
        <f t="shared" si="2"/>
        <v>Dark</v>
      </c>
      <c r="P181" t="str">
        <f>INDEX(customers!$I$1:$I$1001, MATCH(Orders[[#This Row],[Customer ID]], customers!$A$1:$A$1001, 0))</f>
        <v>No</v>
      </c>
    </row>
    <row r="182" spans="1:16" x14ac:dyDescent="0.25">
      <c r="A182" s="2" t="s">
        <v>1503</v>
      </c>
      <c r="B182" s="3">
        <v>43910</v>
      </c>
      <c r="C182" s="2" t="s">
        <v>1504</v>
      </c>
      <c r="D182" t="s">
        <v>6184</v>
      </c>
      <c r="E182" s="2">
        <v>5</v>
      </c>
      <c r="F182" s="2" t="str">
        <f>IFERROR(INDEX(customers!B$1:B$1001, MATCH(C182, customers!A$1:A$1001, 0)), "Not Found")</f>
        <v>Abrahan Mussen</v>
      </c>
      <c r="G182" s="2" t="str">
        <f>IF(IFERROR(INDEX(customers!C$1:C$1001, MATCH(C182, customers!A$1:A$1001, 0)), "Not Found")=0,"",IFERROR(INDEX(customers!C$1:C$1001, MATCH(C182, customers!A$1:A$1001, 0)), "Not Found"))</f>
        <v>amussen50@51.la</v>
      </c>
      <c r="H182" s="2" t="str">
        <f>IFERROR(INDEX(customers!G$1:G$1001, MATCH(C182, customers!A$1:A$1001, 0)), "Not Found")</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L182*E182</f>
        <v>22.274999999999999</v>
      </c>
      <c r="N182" t="str">
        <f>IF(I182="Rob","Robusta",IF(I182="Exc","Excelsa",IF(I182="Ara","Arabica",IF(I182="Lib","Laberica",""))))</f>
        <v>Excelsa</v>
      </c>
      <c r="O182" t="str">
        <f t="shared" si="2"/>
        <v>Light</v>
      </c>
      <c r="P182" t="str">
        <f>INDEX(customers!$I$1:$I$1001, MATCH(Orders[[#This Row],[Customer ID]], customers!$A$1:$A$1001, 0))</f>
        <v>No</v>
      </c>
    </row>
    <row r="183" spans="1:16" x14ac:dyDescent="0.25">
      <c r="A183" s="2" t="s">
        <v>1503</v>
      </c>
      <c r="B183" s="3">
        <v>43910</v>
      </c>
      <c r="C183" s="2" t="s">
        <v>1504</v>
      </c>
      <c r="D183" t="s">
        <v>6158</v>
      </c>
      <c r="E183" s="2">
        <v>5</v>
      </c>
      <c r="F183" s="2" t="str">
        <f>IFERROR(INDEX(customers!B$1:B$1001, MATCH(C183, customers!A$1:A$1001, 0)), "Not Found")</f>
        <v>Abrahan Mussen</v>
      </c>
      <c r="G183" s="2" t="str">
        <f>IF(IFERROR(INDEX(customers!C$1:C$1001, MATCH(C183, customers!A$1:A$1001, 0)), "Not Found")=0,"",IFERROR(INDEX(customers!C$1:C$1001, MATCH(C183, customers!A$1:A$1001, 0)), "Not Found"))</f>
        <v>amussen50@51.la</v>
      </c>
      <c r="H183" s="2" t="str">
        <f>IFERROR(INDEX(customers!G$1:G$1001, MATCH(C183, customers!A$1:A$1001, 0)), "Not Found")</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L183*E183</f>
        <v>29.849999999999998</v>
      </c>
      <c r="N183" t="str">
        <f>IF(I183="Rob","Robusta",IF(I183="Exc","Excelsa",IF(I183="Ara","Arabica",IF(I183="Lib","Laberica",""))))</f>
        <v>Arabica</v>
      </c>
      <c r="O183" t="str">
        <f t="shared" si="2"/>
        <v>Dark</v>
      </c>
      <c r="P183" t="str">
        <f>INDEX(customers!$I$1:$I$1001, MATCH(Orders[[#This Row],[Customer ID]], customers!$A$1:$A$1001, 0))</f>
        <v>No</v>
      </c>
    </row>
    <row r="184" spans="1:16" x14ac:dyDescent="0.25">
      <c r="A184" s="2" t="s">
        <v>1514</v>
      </c>
      <c r="B184" s="3">
        <v>44284</v>
      </c>
      <c r="C184" s="2" t="s">
        <v>1515</v>
      </c>
      <c r="D184" t="s">
        <v>6172</v>
      </c>
      <c r="E184" s="2">
        <v>6</v>
      </c>
      <c r="F184" s="2" t="str">
        <f>IFERROR(INDEX(customers!B$1:B$1001, MATCH(C184, customers!A$1:A$1001, 0)), "Not Found")</f>
        <v>Anny Mundford</v>
      </c>
      <c r="G184" s="2" t="str">
        <f>IF(IFERROR(INDEX(customers!C$1:C$1001, MATCH(C184, customers!A$1:A$1001, 0)), "Not Found")=0,"",IFERROR(INDEX(customers!C$1:C$1001, MATCH(C184, customers!A$1:A$1001, 0)), "Not Found"))</f>
        <v>amundford52@nbcnews.com</v>
      </c>
      <c r="H184" s="2" t="str">
        <f>IFERROR(INDEX(customers!G$1:G$1001, MATCH(C184, customers!A$1:A$1001, 0)), "Not Found")</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L184*E184</f>
        <v>32.22</v>
      </c>
      <c r="N184" t="str">
        <f>IF(I184="Rob","Robusta",IF(I184="Exc","Excelsa",IF(I184="Ara","Arabica",IF(I184="Lib","Laberica",""))))</f>
        <v>Robusta</v>
      </c>
      <c r="O184" t="str">
        <f t="shared" si="2"/>
        <v>Dark</v>
      </c>
      <c r="P184" t="str">
        <f>INDEX(customers!$I$1:$I$1001, MATCH(Orders[[#This Row],[Customer ID]], customers!$A$1:$A$1001, 0))</f>
        <v>No</v>
      </c>
    </row>
    <row r="185" spans="1:16" x14ac:dyDescent="0.25">
      <c r="A185" s="2" t="s">
        <v>1520</v>
      </c>
      <c r="B185" s="3">
        <v>44512</v>
      </c>
      <c r="C185" s="2" t="s">
        <v>1521</v>
      </c>
      <c r="D185" t="s">
        <v>6156</v>
      </c>
      <c r="E185" s="2">
        <v>2</v>
      </c>
      <c r="F185" s="2" t="str">
        <f>IFERROR(INDEX(customers!B$1:B$1001, MATCH(C185, customers!A$1:A$1001, 0)), "Not Found")</f>
        <v>Tory Walas</v>
      </c>
      <c r="G185" s="2" t="str">
        <f>IF(IFERROR(INDEX(customers!C$1:C$1001, MATCH(C185, customers!A$1:A$1001, 0)), "Not Found")=0,"",IFERROR(INDEX(customers!C$1:C$1001, MATCH(C185, customers!A$1:A$1001, 0)), "Not Found"))</f>
        <v>twalas53@google.ca</v>
      </c>
      <c r="H185" s="2" t="str">
        <f>IFERROR(INDEX(customers!G$1:G$1001, MATCH(C185, customers!A$1:A$1001, 0)), "Not Found")</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L185*E185</f>
        <v>8.25</v>
      </c>
      <c r="N185" t="str">
        <f>IF(I185="Rob","Robusta",IF(I185="Exc","Excelsa",IF(I185="Ara","Arabica",IF(I185="Lib","Laberica",""))))</f>
        <v>Excelsa</v>
      </c>
      <c r="O185" t="str">
        <f t="shared" si="2"/>
        <v>Medium</v>
      </c>
      <c r="P185" t="str">
        <f>INDEX(customers!$I$1:$I$1001, MATCH(Orders[[#This Row],[Customer ID]], customers!$A$1:$A$1001, 0))</f>
        <v>No</v>
      </c>
    </row>
    <row r="186" spans="1:16" x14ac:dyDescent="0.25">
      <c r="A186" s="2" t="s">
        <v>1526</v>
      </c>
      <c r="B186" s="3">
        <v>44397</v>
      </c>
      <c r="C186" s="2" t="s">
        <v>1527</v>
      </c>
      <c r="D186" t="s">
        <v>6180</v>
      </c>
      <c r="E186" s="2">
        <v>4</v>
      </c>
      <c r="F186" s="2" t="str">
        <f>IFERROR(INDEX(customers!B$1:B$1001, MATCH(C186, customers!A$1:A$1001, 0)), "Not Found")</f>
        <v>Isa Blazewicz</v>
      </c>
      <c r="G186" s="2" t="str">
        <f>IF(IFERROR(INDEX(customers!C$1:C$1001, MATCH(C186, customers!A$1:A$1001, 0)), "Not Found")=0,"",IFERROR(INDEX(customers!C$1:C$1001, MATCH(C186, customers!A$1:A$1001, 0)), "Not Found"))</f>
        <v>iblazewicz54@thetimes.co.uk</v>
      </c>
      <c r="H186" s="2" t="str">
        <f>IFERROR(INDEX(customers!G$1:G$1001, MATCH(C186, customers!A$1:A$1001, 0)), "Not Found")</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L186*E186</f>
        <v>31.08</v>
      </c>
      <c r="N186" t="str">
        <f>IF(I186="Rob","Robusta",IF(I186="Exc","Excelsa",IF(I186="Ara","Arabica",IF(I186="Lib","Laberica",""))))</f>
        <v>Arabica</v>
      </c>
      <c r="O186" t="str">
        <f t="shared" si="2"/>
        <v>Light</v>
      </c>
      <c r="P186" t="str">
        <f>INDEX(customers!$I$1:$I$1001, MATCH(Orders[[#This Row],[Customer ID]], customers!$A$1:$A$1001, 0))</f>
        <v>No</v>
      </c>
    </row>
    <row r="187" spans="1:16" x14ac:dyDescent="0.25">
      <c r="A187" s="2" t="s">
        <v>1532</v>
      </c>
      <c r="B187" s="3">
        <v>43483</v>
      </c>
      <c r="C187" s="2" t="s">
        <v>1533</v>
      </c>
      <c r="D187" t="s">
        <v>6144</v>
      </c>
      <c r="E187" s="2">
        <v>5</v>
      </c>
      <c r="F187" s="2" t="str">
        <f>IFERROR(INDEX(customers!B$1:B$1001, MATCH(C187, customers!A$1:A$1001, 0)), "Not Found")</f>
        <v>Angie Rizzetti</v>
      </c>
      <c r="G187" s="2" t="str">
        <f>IF(IFERROR(INDEX(customers!C$1:C$1001, MATCH(C187, customers!A$1:A$1001, 0)), "Not Found")=0,"",IFERROR(INDEX(customers!C$1:C$1001, MATCH(C187, customers!A$1:A$1001, 0)), "Not Found"))</f>
        <v>arizzetti55@naver.com</v>
      </c>
      <c r="H187" s="2" t="str">
        <f>IFERROR(INDEX(customers!G$1:G$1001, MATCH(C187, customers!A$1:A$1001, 0)), "Not Found")</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L187*E187</f>
        <v>36.450000000000003</v>
      </c>
      <c r="N187" t="str">
        <f>IF(I187="Rob","Robusta",IF(I187="Exc","Excelsa",IF(I187="Ara","Arabica",IF(I187="Lib","Laberica",""))))</f>
        <v>Excelsa</v>
      </c>
      <c r="O187" t="str">
        <f t="shared" si="2"/>
        <v>Dark</v>
      </c>
      <c r="P187" t="str">
        <f>INDEX(customers!$I$1:$I$1001, MATCH(Orders[[#This Row],[Customer ID]], customers!$A$1:$A$1001, 0))</f>
        <v>Yes</v>
      </c>
    </row>
    <row r="188" spans="1:16" x14ac:dyDescent="0.25">
      <c r="A188" s="2" t="s">
        <v>1538</v>
      </c>
      <c r="B188" s="3">
        <v>43684</v>
      </c>
      <c r="C188" s="2" t="s">
        <v>1539</v>
      </c>
      <c r="D188" t="s">
        <v>6151</v>
      </c>
      <c r="E188" s="2">
        <v>3</v>
      </c>
      <c r="F188" s="2" t="str">
        <f>IFERROR(INDEX(customers!B$1:B$1001, MATCH(C188, customers!A$1:A$1001, 0)), "Not Found")</f>
        <v>Mord Meriet</v>
      </c>
      <c r="G188" s="2" t="str">
        <f>IF(IFERROR(INDEX(customers!C$1:C$1001, MATCH(C188, customers!A$1:A$1001, 0)), "Not Found")=0,"",IFERROR(INDEX(customers!C$1:C$1001, MATCH(C188, customers!A$1:A$1001, 0)), "Not Found"))</f>
        <v>mmeriet56@noaa.gov</v>
      </c>
      <c r="H188" s="2" t="str">
        <f>IFERROR(INDEX(customers!G$1:G$1001, MATCH(C188, customers!A$1:A$1001, 0)), "Not Found")</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L188*E188</f>
        <v>68.655000000000001</v>
      </c>
      <c r="N188" t="str">
        <f>IF(I188="Rob","Robusta",IF(I188="Exc","Excelsa",IF(I188="Ara","Arabica",IF(I188="Lib","Laberica",""))))</f>
        <v>Robusta</v>
      </c>
      <c r="O188" t="str">
        <f t="shared" si="2"/>
        <v>Medium</v>
      </c>
      <c r="P188" t="str">
        <f>INDEX(customers!$I$1:$I$1001, MATCH(Orders[[#This Row],[Customer ID]], customers!$A$1:$A$1001, 0))</f>
        <v>No</v>
      </c>
    </row>
    <row r="189" spans="1:16" x14ac:dyDescent="0.25">
      <c r="A189" s="2" t="s">
        <v>1544</v>
      </c>
      <c r="B189" s="3">
        <v>44633</v>
      </c>
      <c r="C189" s="2" t="s">
        <v>1545</v>
      </c>
      <c r="D189" t="s">
        <v>6160</v>
      </c>
      <c r="E189" s="2">
        <v>5</v>
      </c>
      <c r="F189" s="2" t="str">
        <f>IFERROR(INDEX(customers!B$1:B$1001, MATCH(C189, customers!A$1:A$1001, 0)), "Not Found")</f>
        <v>Lawrence Pratt</v>
      </c>
      <c r="G189" s="2" t="str">
        <f>IF(IFERROR(INDEX(customers!C$1:C$1001, MATCH(C189, customers!A$1:A$1001, 0)), "Not Found")=0,"",IFERROR(INDEX(customers!C$1:C$1001, MATCH(C189, customers!A$1:A$1001, 0)), "Not Found"))</f>
        <v>lpratt57@netvibes.com</v>
      </c>
      <c r="H189" s="2" t="str">
        <f>IFERROR(INDEX(customers!G$1:G$1001, MATCH(C189, customers!A$1:A$1001, 0)), "Not Found")</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L189*E189</f>
        <v>43.650000000000006</v>
      </c>
      <c r="N189" t="str">
        <f>IF(I189="Rob","Robusta",IF(I189="Exc","Excelsa",IF(I189="Ara","Arabica",IF(I189="Lib","Laberica",""))))</f>
        <v>Laberica</v>
      </c>
      <c r="O189" t="str">
        <f t="shared" si="2"/>
        <v>Medium</v>
      </c>
      <c r="P189" t="str">
        <f>INDEX(customers!$I$1:$I$1001, MATCH(Orders[[#This Row],[Customer ID]], customers!$A$1:$A$1001, 0))</f>
        <v>Yes</v>
      </c>
    </row>
    <row r="190" spans="1:16" x14ac:dyDescent="0.25">
      <c r="A190" s="2" t="s">
        <v>1549</v>
      </c>
      <c r="B190" s="3">
        <v>44698</v>
      </c>
      <c r="C190" s="2" t="s">
        <v>1550</v>
      </c>
      <c r="D190" t="s">
        <v>6184</v>
      </c>
      <c r="E190" s="2">
        <v>1</v>
      </c>
      <c r="F190" s="2" t="str">
        <f>IFERROR(INDEX(customers!B$1:B$1001, MATCH(C190, customers!A$1:A$1001, 0)), "Not Found")</f>
        <v>Astrix Kitchingham</v>
      </c>
      <c r="G190" s="2" t="str">
        <f>IF(IFERROR(INDEX(customers!C$1:C$1001, MATCH(C190, customers!A$1:A$1001, 0)), "Not Found")=0,"",IFERROR(INDEX(customers!C$1:C$1001, MATCH(C190, customers!A$1:A$1001, 0)), "Not Found"))</f>
        <v>akitchingham58@com.com</v>
      </c>
      <c r="H190" s="2" t="str">
        <f>IFERROR(INDEX(customers!G$1:G$1001, MATCH(C190, customers!A$1:A$1001, 0)), "Not Found")</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L190*E190</f>
        <v>4.4550000000000001</v>
      </c>
      <c r="N190" t="str">
        <f>IF(I190="Rob","Robusta",IF(I190="Exc","Excelsa",IF(I190="Ara","Arabica",IF(I190="Lib","Laberica",""))))</f>
        <v>Excelsa</v>
      </c>
      <c r="O190" t="str">
        <f t="shared" si="2"/>
        <v>Light</v>
      </c>
      <c r="P190" t="str">
        <f>INDEX(customers!$I$1:$I$1001, MATCH(Orders[[#This Row],[Customer ID]], customers!$A$1:$A$1001, 0))</f>
        <v>Yes</v>
      </c>
    </row>
    <row r="191" spans="1:16" x14ac:dyDescent="0.25">
      <c r="A191" s="2" t="s">
        <v>1555</v>
      </c>
      <c r="B191" s="3">
        <v>43813</v>
      </c>
      <c r="C191" s="2" t="s">
        <v>1556</v>
      </c>
      <c r="D191" t="s">
        <v>6162</v>
      </c>
      <c r="E191" s="2">
        <v>3</v>
      </c>
      <c r="F191" s="2" t="str">
        <f>IFERROR(INDEX(customers!B$1:B$1001, MATCH(C191, customers!A$1:A$1001, 0)), "Not Found")</f>
        <v>Burnard Bartholin</v>
      </c>
      <c r="G191" s="2" t="str">
        <f>IF(IFERROR(INDEX(customers!C$1:C$1001, MATCH(C191, customers!A$1:A$1001, 0)), "Not Found")=0,"",IFERROR(INDEX(customers!C$1:C$1001, MATCH(C191, customers!A$1:A$1001, 0)), "Not Found"))</f>
        <v>bbartholin59@xinhuanet.com</v>
      </c>
      <c r="H191" s="2" t="str">
        <f>IFERROR(INDEX(customers!G$1:G$1001, MATCH(C191, customers!A$1:A$1001, 0)), "Not Found")</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L191*E191</f>
        <v>43.650000000000006</v>
      </c>
      <c r="N191" t="str">
        <f>IF(I191="Rob","Robusta",IF(I191="Exc","Excelsa",IF(I191="Ara","Arabica",IF(I191="Lib","Laberica",""))))</f>
        <v>Laberica</v>
      </c>
      <c r="O191" t="str">
        <f t="shared" si="2"/>
        <v>Medium</v>
      </c>
      <c r="P191" t="str">
        <f>INDEX(customers!$I$1:$I$1001, MATCH(Orders[[#This Row],[Customer ID]], customers!$A$1:$A$1001, 0))</f>
        <v>Yes</v>
      </c>
    </row>
    <row r="192" spans="1:16" x14ac:dyDescent="0.25">
      <c r="A192" s="2" t="s">
        <v>1561</v>
      </c>
      <c r="B192" s="3">
        <v>43845</v>
      </c>
      <c r="C192" s="2" t="s">
        <v>1562</v>
      </c>
      <c r="D192" t="s">
        <v>6181</v>
      </c>
      <c r="E192" s="2">
        <v>1</v>
      </c>
      <c r="F192" s="2" t="str">
        <f>IFERROR(INDEX(customers!B$1:B$1001, MATCH(C192, customers!A$1:A$1001, 0)), "Not Found")</f>
        <v>Madelene Prinn</v>
      </c>
      <c r="G192" s="2" t="str">
        <f>IF(IFERROR(INDEX(customers!C$1:C$1001, MATCH(C192, customers!A$1:A$1001, 0)), "Not Found")=0,"",IFERROR(INDEX(customers!C$1:C$1001, MATCH(C192, customers!A$1:A$1001, 0)), "Not Found"))</f>
        <v>mprinn5a@usa.gov</v>
      </c>
      <c r="H192" s="2" t="str">
        <f>IFERROR(INDEX(customers!G$1:G$1001, MATCH(C192, customers!A$1:A$1001, 0)), "Not Found")</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L192*E192</f>
        <v>33.464999999999996</v>
      </c>
      <c r="N192" t="str">
        <f>IF(I192="Rob","Robusta",IF(I192="Exc","Excelsa",IF(I192="Ara","Arabica",IF(I192="Lib","Laberica",""))))</f>
        <v>Laberica</v>
      </c>
      <c r="O192" t="str">
        <f t="shared" si="2"/>
        <v>Medium</v>
      </c>
      <c r="P192" t="str">
        <f>INDEX(customers!$I$1:$I$1001, MATCH(Orders[[#This Row],[Customer ID]], customers!$A$1:$A$1001, 0))</f>
        <v>Yes</v>
      </c>
    </row>
    <row r="193" spans="1:16" x14ac:dyDescent="0.25">
      <c r="A193" s="2" t="s">
        <v>1567</v>
      </c>
      <c r="B193" s="3">
        <v>43567</v>
      </c>
      <c r="C193" s="2" t="s">
        <v>1568</v>
      </c>
      <c r="D193" t="s">
        <v>6150</v>
      </c>
      <c r="E193" s="2">
        <v>5</v>
      </c>
      <c r="F193" s="2" t="str">
        <f>IFERROR(INDEX(customers!B$1:B$1001, MATCH(C193, customers!A$1:A$1001, 0)), "Not Found")</f>
        <v>Alisun Baudino</v>
      </c>
      <c r="G193" s="2" t="str">
        <f>IF(IFERROR(INDEX(customers!C$1:C$1001, MATCH(C193, customers!A$1:A$1001, 0)), "Not Found")=0,"",IFERROR(INDEX(customers!C$1:C$1001, MATCH(C193, customers!A$1:A$1001, 0)), "Not Found"))</f>
        <v>abaudino5b@netvibes.com</v>
      </c>
      <c r="H193" s="2" t="str">
        <f>IFERROR(INDEX(customers!G$1:G$1001, MATCH(C193, customers!A$1:A$1001, 0)), "Not Found")</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L193*E193</f>
        <v>19.424999999999997</v>
      </c>
      <c r="N193" t="str">
        <f>IF(I193="Rob","Robusta",IF(I193="Exc","Excelsa",IF(I193="Ara","Arabica",IF(I193="Lib","Laberica",""))))</f>
        <v>Laberica</v>
      </c>
      <c r="O193" t="str">
        <f t="shared" si="2"/>
        <v>Dark</v>
      </c>
      <c r="P193" t="str">
        <f>INDEX(customers!$I$1:$I$1001, MATCH(Orders[[#This Row],[Customer ID]], customers!$A$1:$A$1001, 0))</f>
        <v>Yes</v>
      </c>
    </row>
    <row r="194" spans="1:16" x14ac:dyDescent="0.25">
      <c r="A194" s="2" t="s">
        <v>1573</v>
      </c>
      <c r="B194" s="3">
        <v>43919</v>
      </c>
      <c r="C194" s="2" t="s">
        <v>1574</v>
      </c>
      <c r="D194" t="s">
        <v>6183</v>
      </c>
      <c r="E194" s="2">
        <v>6</v>
      </c>
      <c r="F194" s="2" t="str">
        <f>IFERROR(INDEX(customers!B$1:B$1001, MATCH(C194, customers!A$1:A$1001, 0)), "Not Found")</f>
        <v>Philipa Petrushanko</v>
      </c>
      <c r="G194" s="2" t="str">
        <f>IF(IFERROR(INDEX(customers!C$1:C$1001, MATCH(C194, customers!A$1:A$1001, 0)), "Not Found")=0,"",IFERROR(INDEX(customers!C$1:C$1001, MATCH(C194, customers!A$1:A$1001, 0)), "Not Found"))</f>
        <v>ppetrushanko5c@blinklist.com</v>
      </c>
      <c r="H194" s="2" t="str">
        <f>IFERROR(INDEX(customers!G$1:G$1001, MATCH(C194, customers!A$1:A$1001, 0)), "Not Found")</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L194*E194</f>
        <v>72.900000000000006</v>
      </c>
      <c r="N194" t="str">
        <f>IF(I194="Rob","Robusta",IF(I194="Exc","Excelsa",IF(I194="Ara","Arabica",IF(I194="Lib","Laberica",""))))</f>
        <v>Excelsa</v>
      </c>
      <c r="O194" t="str">
        <f t="shared" si="2"/>
        <v>Dark</v>
      </c>
      <c r="P194" t="str">
        <f>INDEX(customers!$I$1:$I$1001, MATCH(Orders[[#This Row],[Customer ID]], customers!$A$1:$A$1001, 0))</f>
        <v>Yes</v>
      </c>
    </row>
    <row r="195" spans="1:16" x14ac:dyDescent="0.25">
      <c r="A195" s="2" t="s">
        <v>1579</v>
      </c>
      <c r="B195" s="3">
        <v>44644</v>
      </c>
      <c r="C195" s="2" t="s">
        <v>1580</v>
      </c>
      <c r="D195" t="s">
        <v>6171</v>
      </c>
      <c r="E195" s="2">
        <v>3</v>
      </c>
      <c r="F195" s="2" t="str">
        <f>IFERROR(INDEX(customers!B$1:B$1001, MATCH(C195, customers!A$1:A$1001, 0)), "Not Found")</f>
        <v>Kimberli Mustchin</v>
      </c>
      <c r="G195" s="2" t="str">
        <f>IF(IFERROR(INDEX(customers!C$1:C$1001, MATCH(C195, customers!A$1:A$1001, 0)), "Not Found")=0,"",IFERROR(INDEX(customers!C$1:C$1001, MATCH(C195, customers!A$1:A$1001, 0)), "Not Found"))</f>
        <v/>
      </c>
      <c r="H195" s="2" t="str">
        <f>IFERROR(INDEX(customers!G$1:G$1001, MATCH(C195, customers!A$1:A$1001, 0)), "Not Found")</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L195*E195</f>
        <v>44.55</v>
      </c>
      <c r="N195" t="str">
        <f>IF(I195="Rob","Robusta",IF(I195="Exc","Excelsa",IF(I195="Ara","Arabica",IF(I195="Lib","Laberica",""))))</f>
        <v>Excelsa</v>
      </c>
      <c r="O195" t="str">
        <f t="shared" ref="O195:O258" si="3">IF(J195="M","Medium",IF(J195="L","Light",IF(J195="D","Dark","")))</f>
        <v>Light</v>
      </c>
      <c r="P195" t="str">
        <f>INDEX(customers!$I$1:$I$1001, MATCH(Orders[[#This Row],[Customer ID]], customers!$A$1:$A$1001, 0))</f>
        <v>No</v>
      </c>
    </row>
    <row r="196" spans="1:16" x14ac:dyDescent="0.25">
      <c r="A196" s="2" t="s">
        <v>1584</v>
      </c>
      <c r="B196" s="3">
        <v>44398</v>
      </c>
      <c r="C196" s="2" t="s">
        <v>1585</v>
      </c>
      <c r="D196" t="s">
        <v>6144</v>
      </c>
      <c r="E196" s="2">
        <v>5</v>
      </c>
      <c r="F196" s="2" t="str">
        <f>IFERROR(INDEX(customers!B$1:B$1001, MATCH(C196, customers!A$1:A$1001, 0)), "Not Found")</f>
        <v>Emlynne Laird</v>
      </c>
      <c r="G196" s="2" t="str">
        <f>IF(IFERROR(INDEX(customers!C$1:C$1001, MATCH(C196, customers!A$1:A$1001, 0)), "Not Found")=0,"",IFERROR(INDEX(customers!C$1:C$1001, MATCH(C196, customers!A$1:A$1001, 0)), "Not Found"))</f>
        <v>elaird5e@bing.com</v>
      </c>
      <c r="H196" s="2" t="str">
        <f>IFERROR(INDEX(customers!G$1:G$1001, MATCH(C196, customers!A$1:A$1001, 0)), "Not Found")</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L196*E196</f>
        <v>36.450000000000003</v>
      </c>
      <c r="N196" t="str">
        <f>IF(I196="Rob","Robusta",IF(I196="Exc","Excelsa",IF(I196="Ara","Arabica",IF(I196="Lib","Laberica",""))))</f>
        <v>Excelsa</v>
      </c>
      <c r="O196" t="str">
        <f t="shared" si="3"/>
        <v>Dark</v>
      </c>
      <c r="P196" t="str">
        <f>INDEX(customers!$I$1:$I$1001, MATCH(Orders[[#This Row],[Customer ID]], customers!$A$1:$A$1001, 0))</f>
        <v>No</v>
      </c>
    </row>
    <row r="197" spans="1:16" x14ac:dyDescent="0.25">
      <c r="A197" s="2" t="s">
        <v>1590</v>
      </c>
      <c r="B197" s="3">
        <v>43683</v>
      </c>
      <c r="C197" s="2" t="s">
        <v>1591</v>
      </c>
      <c r="D197" t="s">
        <v>6140</v>
      </c>
      <c r="E197" s="2">
        <v>3</v>
      </c>
      <c r="F197" s="2" t="str">
        <f>IFERROR(INDEX(customers!B$1:B$1001, MATCH(C197, customers!A$1:A$1001, 0)), "Not Found")</f>
        <v>Marlena Howsden</v>
      </c>
      <c r="G197" s="2" t="str">
        <f>IF(IFERROR(INDEX(customers!C$1:C$1001, MATCH(C197, customers!A$1:A$1001, 0)), "Not Found")=0,"",IFERROR(INDEX(customers!C$1:C$1001, MATCH(C197, customers!A$1:A$1001, 0)), "Not Found"))</f>
        <v>mhowsden5f@infoseek.co.jp</v>
      </c>
      <c r="H197" s="2" t="str">
        <f>IFERROR(INDEX(customers!G$1:G$1001, MATCH(C197, customers!A$1:A$1001, 0)), "Not Found")</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L197*E197</f>
        <v>38.849999999999994</v>
      </c>
      <c r="N197" t="str">
        <f>IF(I197="Rob","Robusta",IF(I197="Exc","Excelsa",IF(I197="Ara","Arabica",IF(I197="Lib","Laberica",""))))</f>
        <v>Arabica</v>
      </c>
      <c r="O197" t="str">
        <f t="shared" si="3"/>
        <v>Light</v>
      </c>
      <c r="P197" t="str">
        <f>INDEX(customers!$I$1:$I$1001, MATCH(Orders[[#This Row],[Customer ID]], customers!$A$1:$A$1001, 0))</f>
        <v>No</v>
      </c>
    </row>
    <row r="198" spans="1:16" x14ac:dyDescent="0.25">
      <c r="A198" s="2" t="s">
        <v>1596</v>
      </c>
      <c r="B198" s="3">
        <v>44339</v>
      </c>
      <c r="C198" s="2" t="s">
        <v>1597</v>
      </c>
      <c r="D198" t="s">
        <v>6176</v>
      </c>
      <c r="E198" s="2">
        <v>6</v>
      </c>
      <c r="F198" s="2" t="str">
        <f>IFERROR(INDEX(customers!B$1:B$1001, MATCH(C198, customers!A$1:A$1001, 0)), "Not Found")</f>
        <v>Nealson Cuttler</v>
      </c>
      <c r="G198" s="2" t="str">
        <f>IF(IFERROR(INDEX(customers!C$1:C$1001, MATCH(C198, customers!A$1:A$1001, 0)), "Not Found")=0,"",IFERROR(INDEX(customers!C$1:C$1001, MATCH(C198, customers!A$1:A$1001, 0)), "Not Found"))</f>
        <v>ncuttler5g@parallels.com</v>
      </c>
      <c r="H198" s="2" t="str">
        <f>IFERROR(INDEX(customers!G$1:G$1001, MATCH(C198, customers!A$1:A$1001, 0)), "Not Found")</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L198*E198</f>
        <v>53.46</v>
      </c>
      <c r="N198" t="str">
        <f>IF(I198="Rob","Robusta",IF(I198="Exc","Excelsa",IF(I198="Ara","Arabica",IF(I198="Lib","Laberica",""))))</f>
        <v>Excelsa</v>
      </c>
      <c r="O198" t="str">
        <f t="shared" si="3"/>
        <v>Light</v>
      </c>
      <c r="P198" t="str">
        <f>INDEX(customers!$I$1:$I$1001, MATCH(Orders[[#This Row],[Customer ID]], customers!$A$1:$A$1001, 0))</f>
        <v>No</v>
      </c>
    </row>
    <row r="199" spans="1:16" x14ac:dyDescent="0.25">
      <c r="A199" s="2" t="s">
        <v>1596</v>
      </c>
      <c r="B199" s="3">
        <v>44339</v>
      </c>
      <c r="C199" s="2" t="s">
        <v>1597</v>
      </c>
      <c r="D199" t="s">
        <v>6165</v>
      </c>
      <c r="E199" s="2">
        <v>2</v>
      </c>
      <c r="F199" s="2" t="str">
        <f>IFERROR(INDEX(customers!B$1:B$1001, MATCH(C199, customers!A$1:A$1001, 0)), "Not Found")</f>
        <v>Nealson Cuttler</v>
      </c>
      <c r="G199" s="2" t="str">
        <f>IF(IFERROR(INDEX(customers!C$1:C$1001, MATCH(C199, customers!A$1:A$1001, 0)), "Not Found")=0,"",IFERROR(INDEX(customers!C$1:C$1001, MATCH(C199, customers!A$1:A$1001, 0)), "Not Found"))</f>
        <v>ncuttler5g@parallels.com</v>
      </c>
      <c r="H199" s="2" t="str">
        <f>IFERROR(INDEX(customers!G$1:G$1001, MATCH(C199, customers!A$1:A$1001, 0)), "Not Found")</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L199*E199</f>
        <v>59.569999999999993</v>
      </c>
      <c r="N199" t="str">
        <f>IF(I199="Rob","Robusta",IF(I199="Exc","Excelsa",IF(I199="Ara","Arabica",IF(I199="Lib","Laberica",""))))</f>
        <v>Laberica</v>
      </c>
      <c r="O199" t="str">
        <f t="shared" si="3"/>
        <v>Dark</v>
      </c>
      <c r="P199" t="str">
        <f>INDEX(customers!$I$1:$I$1001, MATCH(Orders[[#This Row],[Customer ID]], customers!$A$1:$A$1001, 0))</f>
        <v>No</v>
      </c>
    </row>
    <row r="200" spans="1:16" x14ac:dyDescent="0.25">
      <c r="A200" s="2" t="s">
        <v>1596</v>
      </c>
      <c r="B200" s="3">
        <v>44339</v>
      </c>
      <c r="C200" s="2" t="s">
        <v>1597</v>
      </c>
      <c r="D200" t="s">
        <v>6165</v>
      </c>
      <c r="E200" s="2">
        <v>3</v>
      </c>
      <c r="F200" s="2" t="str">
        <f>IFERROR(INDEX(customers!B$1:B$1001, MATCH(C200, customers!A$1:A$1001, 0)), "Not Found")</f>
        <v>Nealson Cuttler</v>
      </c>
      <c r="G200" s="2" t="str">
        <f>IF(IFERROR(INDEX(customers!C$1:C$1001, MATCH(C200, customers!A$1:A$1001, 0)), "Not Found")=0,"",IFERROR(INDEX(customers!C$1:C$1001, MATCH(C200, customers!A$1:A$1001, 0)), "Not Found"))</f>
        <v>ncuttler5g@parallels.com</v>
      </c>
      <c r="H200" s="2" t="str">
        <f>IFERROR(INDEX(customers!G$1:G$1001, MATCH(C200, customers!A$1:A$1001, 0)), "Not Found")</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L200*E200</f>
        <v>89.35499999999999</v>
      </c>
      <c r="N200" t="str">
        <f>IF(I200="Rob","Robusta",IF(I200="Exc","Excelsa",IF(I200="Ara","Arabica",IF(I200="Lib","Laberica",""))))</f>
        <v>Laberica</v>
      </c>
      <c r="O200" t="str">
        <f t="shared" si="3"/>
        <v>Dark</v>
      </c>
      <c r="P200" t="str">
        <f>INDEX(customers!$I$1:$I$1001, MATCH(Orders[[#This Row],[Customer ID]], customers!$A$1:$A$1001, 0))</f>
        <v>No</v>
      </c>
    </row>
    <row r="201" spans="1:16" x14ac:dyDescent="0.25">
      <c r="A201" s="2" t="s">
        <v>1596</v>
      </c>
      <c r="B201" s="3">
        <v>44339</v>
      </c>
      <c r="C201" s="2" t="s">
        <v>1597</v>
      </c>
      <c r="D201" t="s">
        <v>6161</v>
      </c>
      <c r="E201" s="2">
        <v>4</v>
      </c>
      <c r="F201" s="2" t="str">
        <f>IFERROR(INDEX(customers!B$1:B$1001, MATCH(C201, customers!A$1:A$1001, 0)), "Not Found")</f>
        <v>Nealson Cuttler</v>
      </c>
      <c r="G201" s="2" t="str">
        <f>IF(IFERROR(INDEX(customers!C$1:C$1001, MATCH(C201, customers!A$1:A$1001, 0)), "Not Found")=0,"",IFERROR(INDEX(customers!C$1:C$1001, MATCH(C201, customers!A$1:A$1001, 0)), "Not Found"))</f>
        <v>ncuttler5g@parallels.com</v>
      </c>
      <c r="H201" s="2" t="str">
        <f>IFERROR(INDEX(customers!G$1:G$1001, MATCH(C201, customers!A$1:A$1001, 0)), "Not Found")</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L201*E201</f>
        <v>38.04</v>
      </c>
      <c r="N201" t="str">
        <f>IF(I201="Rob","Robusta",IF(I201="Exc","Excelsa",IF(I201="Ara","Arabica",IF(I201="Lib","Laberica",""))))</f>
        <v>Laberica</v>
      </c>
      <c r="O201" t="str">
        <f t="shared" si="3"/>
        <v>Light</v>
      </c>
      <c r="P201" t="str">
        <f>INDEX(customers!$I$1:$I$1001, MATCH(Orders[[#This Row],[Customer ID]], customers!$A$1:$A$1001, 0))</f>
        <v>No</v>
      </c>
    </row>
    <row r="202" spans="1:16" x14ac:dyDescent="0.25">
      <c r="A202" s="2" t="s">
        <v>1596</v>
      </c>
      <c r="B202" s="3">
        <v>44339</v>
      </c>
      <c r="C202" s="2" t="s">
        <v>1597</v>
      </c>
      <c r="D202" t="s">
        <v>6141</v>
      </c>
      <c r="E202" s="2">
        <v>3</v>
      </c>
      <c r="F202" s="2" t="str">
        <f>IFERROR(INDEX(customers!B$1:B$1001, MATCH(C202, customers!A$1:A$1001, 0)), "Not Found")</f>
        <v>Nealson Cuttler</v>
      </c>
      <c r="G202" s="2" t="str">
        <f>IF(IFERROR(INDEX(customers!C$1:C$1001, MATCH(C202, customers!A$1:A$1001, 0)), "Not Found")=0,"",IFERROR(INDEX(customers!C$1:C$1001, MATCH(C202, customers!A$1:A$1001, 0)), "Not Found"))</f>
        <v>ncuttler5g@parallels.com</v>
      </c>
      <c r="H202" s="2" t="str">
        <f>IFERROR(INDEX(customers!G$1:G$1001, MATCH(C202, customers!A$1:A$1001, 0)), "Not Found")</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L202*E202</f>
        <v>41.25</v>
      </c>
      <c r="N202" t="str">
        <f>IF(I202="Rob","Robusta",IF(I202="Exc","Excelsa",IF(I202="Ara","Arabica",IF(I202="Lib","Laberica",""))))</f>
        <v>Excelsa</v>
      </c>
      <c r="O202" t="str">
        <f t="shared" si="3"/>
        <v>Medium</v>
      </c>
      <c r="P202" t="str">
        <f>INDEX(customers!$I$1:$I$1001, MATCH(Orders[[#This Row],[Customer ID]], customers!$A$1:$A$1001, 0))</f>
        <v>No</v>
      </c>
    </row>
    <row r="203" spans="1:16" x14ac:dyDescent="0.25">
      <c r="A203" s="2" t="s">
        <v>1621</v>
      </c>
      <c r="B203" s="3">
        <v>44294</v>
      </c>
      <c r="C203" s="2" t="s">
        <v>1622</v>
      </c>
      <c r="D203" t="s">
        <v>6161</v>
      </c>
      <c r="E203" s="2">
        <v>6</v>
      </c>
      <c r="F203" s="2" t="str">
        <f>IFERROR(INDEX(customers!B$1:B$1001, MATCH(C203, customers!A$1:A$1001, 0)), "Not Found")</f>
        <v>Adriana Lazarus</v>
      </c>
      <c r="G203" s="2" t="str">
        <f>IF(IFERROR(INDEX(customers!C$1:C$1001, MATCH(C203, customers!A$1:A$1001, 0)), "Not Found")=0,"",IFERROR(INDEX(customers!C$1:C$1001, MATCH(C203, customers!A$1:A$1001, 0)), "Not Found"))</f>
        <v/>
      </c>
      <c r="H203" s="2" t="str">
        <f>IFERROR(INDEX(customers!G$1:G$1001, MATCH(C203, customers!A$1:A$1001, 0)), "Not Found")</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L203*E203</f>
        <v>57.06</v>
      </c>
      <c r="N203" t="str">
        <f>IF(I203="Rob","Robusta",IF(I203="Exc","Excelsa",IF(I203="Ara","Arabica",IF(I203="Lib","Laberica",""))))</f>
        <v>Laberica</v>
      </c>
      <c r="O203" t="str">
        <f t="shared" si="3"/>
        <v>Light</v>
      </c>
      <c r="P203" t="str">
        <f>INDEX(customers!$I$1:$I$1001, MATCH(Orders[[#This Row],[Customer ID]], customers!$A$1:$A$1001, 0))</f>
        <v>No</v>
      </c>
    </row>
    <row r="204" spans="1:16" x14ac:dyDescent="0.25">
      <c r="A204" s="2" t="s">
        <v>1626</v>
      </c>
      <c r="B204" s="3">
        <v>44486</v>
      </c>
      <c r="C204" s="2" t="s">
        <v>1627</v>
      </c>
      <c r="D204" t="s">
        <v>6165</v>
      </c>
      <c r="E204" s="2">
        <v>6</v>
      </c>
      <c r="F204" s="2" t="str">
        <f>IFERROR(INDEX(customers!B$1:B$1001, MATCH(C204, customers!A$1:A$1001, 0)), "Not Found")</f>
        <v>Tallie felip</v>
      </c>
      <c r="G204" s="2" t="str">
        <f>IF(IFERROR(INDEX(customers!C$1:C$1001, MATCH(C204, customers!A$1:A$1001, 0)), "Not Found")=0,"",IFERROR(INDEX(customers!C$1:C$1001, MATCH(C204, customers!A$1:A$1001, 0)), "Not Found"))</f>
        <v>tfelip5m@typepad.com</v>
      </c>
      <c r="H204" s="2" t="str">
        <f>IFERROR(INDEX(customers!G$1:G$1001, MATCH(C204, customers!A$1:A$1001, 0)), "Not Found")</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L204*E204</f>
        <v>178.70999999999998</v>
      </c>
      <c r="N204" t="str">
        <f>IF(I204="Rob","Robusta",IF(I204="Exc","Excelsa",IF(I204="Ara","Arabica",IF(I204="Lib","Laberica",""))))</f>
        <v>Laberica</v>
      </c>
      <c r="O204" t="str">
        <f t="shared" si="3"/>
        <v>Dark</v>
      </c>
      <c r="P204" t="str">
        <f>INDEX(customers!$I$1:$I$1001, MATCH(Orders[[#This Row],[Customer ID]], customers!$A$1:$A$1001, 0))</f>
        <v>Yes</v>
      </c>
    </row>
    <row r="205" spans="1:16" x14ac:dyDescent="0.25">
      <c r="A205" s="2" t="s">
        <v>1632</v>
      </c>
      <c r="B205" s="3">
        <v>44608</v>
      </c>
      <c r="C205" s="2" t="s">
        <v>1633</v>
      </c>
      <c r="D205" t="s">
        <v>6145</v>
      </c>
      <c r="E205" s="2">
        <v>1</v>
      </c>
      <c r="F205" s="2" t="str">
        <f>IFERROR(INDEX(customers!B$1:B$1001, MATCH(C205, customers!A$1:A$1001, 0)), "Not Found")</f>
        <v>Vanna Le - Count</v>
      </c>
      <c r="G205" s="2" t="str">
        <f>IF(IFERROR(INDEX(customers!C$1:C$1001, MATCH(C205, customers!A$1:A$1001, 0)), "Not Found")=0,"",IFERROR(INDEX(customers!C$1:C$1001, MATCH(C205, customers!A$1:A$1001, 0)), "Not Found"))</f>
        <v>vle5n@disqus.com</v>
      </c>
      <c r="H205" s="2" t="str">
        <f>IFERROR(INDEX(customers!G$1:G$1001, MATCH(C205, customers!A$1:A$1001, 0)), "Not Found")</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L205*E205</f>
        <v>4.7549999999999999</v>
      </c>
      <c r="N205" t="str">
        <f>IF(I205="Rob","Robusta",IF(I205="Exc","Excelsa",IF(I205="Ara","Arabica",IF(I205="Lib","Laberica",""))))</f>
        <v>Laberica</v>
      </c>
      <c r="O205" t="str">
        <f t="shared" si="3"/>
        <v>Light</v>
      </c>
      <c r="P205" t="str">
        <f>INDEX(customers!$I$1:$I$1001, MATCH(Orders[[#This Row],[Customer ID]], customers!$A$1:$A$1001, 0))</f>
        <v>No</v>
      </c>
    </row>
    <row r="206" spans="1:16" x14ac:dyDescent="0.25">
      <c r="A206" s="2" t="s">
        <v>1638</v>
      </c>
      <c r="B206" s="3">
        <v>44027</v>
      </c>
      <c r="C206" s="2" t="s">
        <v>1639</v>
      </c>
      <c r="D206" t="s">
        <v>6141</v>
      </c>
      <c r="E206" s="2">
        <v>6</v>
      </c>
      <c r="F206" s="2" t="str">
        <f>IFERROR(INDEX(customers!B$1:B$1001, MATCH(C206, customers!A$1:A$1001, 0)), "Not Found")</f>
        <v>Sarette Ducarel</v>
      </c>
      <c r="G206" s="2" t="str">
        <f>IF(IFERROR(INDEX(customers!C$1:C$1001, MATCH(C206, customers!A$1:A$1001, 0)), "Not Found")=0,"",IFERROR(INDEX(customers!C$1:C$1001, MATCH(C206, customers!A$1:A$1001, 0)), "Not Found"))</f>
        <v/>
      </c>
      <c r="H206" s="2" t="str">
        <f>IFERROR(INDEX(customers!G$1:G$1001, MATCH(C206, customers!A$1:A$1001, 0)), "Not Found")</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L206*E206</f>
        <v>82.5</v>
      </c>
      <c r="N206" t="str">
        <f>IF(I206="Rob","Robusta",IF(I206="Exc","Excelsa",IF(I206="Ara","Arabica",IF(I206="Lib","Laberica",""))))</f>
        <v>Excelsa</v>
      </c>
      <c r="O206" t="str">
        <f t="shared" si="3"/>
        <v>Medium</v>
      </c>
      <c r="P206" t="str">
        <f>INDEX(customers!$I$1:$I$1001, MATCH(Orders[[#This Row],[Customer ID]], customers!$A$1:$A$1001, 0))</f>
        <v>No</v>
      </c>
    </row>
    <row r="207" spans="1:16" x14ac:dyDescent="0.25">
      <c r="A207" s="2" t="s">
        <v>1643</v>
      </c>
      <c r="B207" s="3">
        <v>43883</v>
      </c>
      <c r="C207" s="2" t="s">
        <v>1644</v>
      </c>
      <c r="D207" t="s">
        <v>6163</v>
      </c>
      <c r="E207" s="2">
        <v>3</v>
      </c>
      <c r="F207" s="2" t="str">
        <f>IFERROR(INDEX(customers!B$1:B$1001, MATCH(C207, customers!A$1:A$1001, 0)), "Not Found")</f>
        <v>Kendra Glison</v>
      </c>
      <c r="G207" s="2" t="str">
        <f>IF(IFERROR(INDEX(customers!C$1:C$1001, MATCH(C207, customers!A$1:A$1001, 0)), "Not Found")=0,"",IFERROR(INDEX(customers!C$1:C$1001, MATCH(C207, customers!A$1:A$1001, 0)), "Not Found"))</f>
        <v/>
      </c>
      <c r="H207" s="2" t="str">
        <f>IFERROR(INDEX(customers!G$1:G$1001, MATCH(C207, customers!A$1:A$1001, 0)), "Not Found")</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L207*E207</f>
        <v>8.0549999999999997</v>
      </c>
      <c r="N207" t="str">
        <f>IF(I207="Rob","Robusta",IF(I207="Exc","Excelsa",IF(I207="Ara","Arabica",IF(I207="Lib","Laberica",""))))</f>
        <v>Robusta</v>
      </c>
      <c r="O207" t="str">
        <f t="shared" si="3"/>
        <v>Dark</v>
      </c>
      <c r="P207" t="str">
        <f>INDEX(customers!$I$1:$I$1001, MATCH(Orders[[#This Row],[Customer ID]], customers!$A$1:$A$1001, 0))</f>
        <v>Yes</v>
      </c>
    </row>
    <row r="208" spans="1:16" x14ac:dyDescent="0.25">
      <c r="A208" s="2" t="s">
        <v>1648</v>
      </c>
      <c r="B208" s="3">
        <v>44211</v>
      </c>
      <c r="C208" s="2" t="s">
        <v>1649</v>
      </c>
      <c r="D208" t="s">
        <v>6155</v>
      </c>
      <c r="E208" s="2">
        <v>2</v>
      </c>
      <c r="F208" s="2" t="str">
        <f>IFERROR(INDEX(customers!B$1:B$1001, MATCH(C208, customers!A$1:A$1001, 0)), "Not Found")</f>
        <v>Nertie Poolman</v>
      </c>
      <c r="G208" s="2" t="str">
        <f>IF(IFERROR(INDEX(customers!C$1:C$1001, MATCH(C208, customers!A$1:A$1001, 0)), "Not Found")=0,"",IFERROR(INDEX(customers!C$1:C$1001, MATCH(C208, customers!A$1:A$1001, 0)), "Not Found"))</f>
        <v>npoolman5q@howstuffworks.com</v>
      </c>
      <c r="H208" s="2" t="str">
        <f>IFERROR(INDEX(customers!G$1:G$1001, MATCH(C208, customers!A$1:A$1001, 0)), "Not Found")</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L208*E208</f>
        <v>22.5</v>
      </c>
      <c r="N208" t="str">
        <f>IF(I208="Rob","Robusta",IF(I208="Exc","Excelsa",IF(I208="Ara","Arabica",IF(I208="Lib","Laberica",""))))</f>
        <v>Arabica</v>
      </c>
      <c r="O208" t="str">
        <f t="shared" si="3"/>
        <v>Medium</v>
      </c>
      <c r="P208" t="str">
        <f>INDEX(customers!$I$1:$I$1001, MATCH(Orders[[#This Row],[Customer ID]], customers!$A$1:$A$1001, 0))</f>
        <v>No</v>
      </c>
    </row>
    <row r="209" spans="1:16" x14ac:dyDescent="0.25">
      <c r="A209" s="2" t="s">
        <v>1653</v>
      </c>
      <c r="B209" s="3">
        <v>44207</v>
      </c>
      <c r="C209" s="2" t="s">
        <v>1654</v>
      </c>
      <c r="D209" t="s">
        <v>6157</v>
      </c>
      <c r="E209" s="2">
        <v>6</v>
      </c>
      <c r="F209" s="2" t="str">
        <f>IFERROR(INDEX(customers!B$1:B$1001, MATCH(C209, customers!A$1:A$1001, 0)), "Not Found")</f>
        <v>Orbadiah Duny</v>
      </c>
      <c r="G209" s="2" t="str">
        <f>IF(IFERROR(INDEX(customers!C$1:C$1001, MATCH(C209, customers!A$1:A$1001, 0)), "Not Found")=0,"",IFERROR(INDEX(customers!C$1:C$1001, MATCH(C209, customers!A$1:A$1001, 0)), "Not Found"))</f>
        <v>oduny5r@constantcontact.com</v>
      </c>
      <c r="H209" s="2" t="str">
        <f>IFERROR(INDEX(customers!G$1:G$1001, MATCH(C209, customers!A$1:A$1001, 0)), "Not Found")</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L209*E209</f>
        <v>40.5</v>
      </c>
      <c r="N209" t="str">
        <f>IF(I209="Rob","Robusta",IF(I209="Exc","Excelsa",IF(I209="Ara","Arabica",IF(I209="Lib","Laberica",""))))</f>
        <v>Arabica</v>
      </c>
      <c r="O209" t="str">
        <f t="shared" si="3"/>
        <v>Medium</v>
      </c>
      <c r="P209" t="str">
        <f>INDEX(customers!$I$1:$I$1001, MATCH(Orders[[#This Row],[Customer ID]], customers!$A$1:$A$1001, 0))</f>
        <v>Yes</v>
      </c>
    </row>
    <row r="210" spans="1:16" x14ac:dyDescent="0.25">
      <c r="A210" s="2" t="s">
        <v>1659</v>
      </c>
      <c r="B210" s="3">
        <v>44659</v>
      </c>
      <c r="C210" s="2" t="s">
        <v>1660</v>
      </c>
      <c r="D210" t="s">
        <v>6144</v>
      </c>
      <c r="E210" s="2">
        <v>4</v>
      </c>
      <c r="F210" s="2" t="str">
        <f>IFERROR(INDEX(customers!B$1:B$1001, MATCH(C210, customers!A$1:A$1001, 0)), "Not Found")</f>
        <v>Constance Halfhide</v>
      </c>
      <c r="G210" s="2" t="str">
        <f>IF(IFERROR(INDEX(customers!C$1:C$1001, MATCH(C210, customers!A$1:A$1001, 0)), "Not Found")=0,"",IFERROR(INDEX(customers!C$1:C$1001, MATCH(C210, customers!A$1:A$1001, 0)), "Not Found"))</f>
        <v>chalfhide5s@google.ru</v>
      </c>
      <c r="H210" s="2" t="str">
        <f>IFERROR(INDEX(customers!G$1:G$1001, MATCH(C210, customers!A$1:A$1001, 0)), "Not Found")</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L210*E210</f>
        <v>29.16</v>
      </c>
      <c r="N210" t="str">
        <f>IF(I210="Rob","Robusta",IF(I210="Exc","Excelsa",IF(I210="Ara","Arabica",IF(I210="Lib","Laberica",""))))</f>
        <v>Excelsa</v>
      </c>
      <c r="O210" t="str">
        <f t="shared" si="3"/>
        <v>Dark</v>
      </c>
      <c r="P210" t="str">
        <f>INDEX(customers!$I$1:$I$1001, MATCH(Orders[[#This Row],[Customer ID]], customers!$A$1:$A$1001, 0))</f>
        <v>Yes</v>
      </c>
    </row>
    <row r="211" spans="1:16" x14ac:dyDescent="0.25">
      <c r="A211" s="2" t="s">
        <v>1665</v>
      </c>
      <c r="B211" s="3">
        <v>44105</v>
      </c>
      <c r="C211" s="2" t="s">
        <v>1666</v>
      </c>
      <c r="D211" t="s">
        <v>6157</v>
      </c>
      <c r="E211" s="2">
        <v>1</v>
      </c>
      <c r="F211" s="2" t="str">
        <f>IFERROR(INDEX(customers!B$1:B$1001, MATCH(C211, customers!A$1:A$1001, 0)), "Not Found")</f>
        <v>Fransisco Malecky</v>
      </c>
      <c r="G211" s="2" t="str">
        <f>IF(IFERROR(INDEX(customers!C$1:C$1001, MATCH(C211, customers!A$1:A$1001, 0)), "Not Found")=0,"",IFERROR(INDEX(customers!C$1:C$1001, MATCH(C211, customers!A$1:A$1001, 0)), "Not Found"))</f>
        <v>fmalecky5t@list-manage.com</v>
      </c>
      <c r="H211" s="2" t="str">
        <f>IFERROR(INDEX(customers!G$1:G$1001, MATCH(C211, customers!A$1:A$1001, 0)), "Not Found")</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L211*E211</f>
        <v>6.75</v>
      </c>
      <c r="N211" t="str">
        <f>IF(I211="Rob","Robusta",IF(I211="Exc","Excelsa",IF(I211="Ara","Arabica",IF(I211="Lib","Laberica",""))))</f>
        <v>Arabica</v>
      </c>
      <c r="O211" t="str">
        <f t="shared" si="3"/>
        <v>Medium</v>
      </c>
      <c r="P211" t="str">
        <f>INDEX(customers!$I$1:$I$1001, MATCH(Orders[[#This Row],[Customer ID]], customers!$A$1:$A$1001, 0))</f>
        <v>No</v>
      </c>
    </row>
    <row r="212" spans="1:16" x14ac:dyDescent="0.25">
      <c r="A212" s="2" t="s">
        <v>1671</v>
      </c>
      <c r="B212" s="3">
        <v>43766</v>
      </c>
      <c r="C212" s="2" t="s">
        <v>1672</v>
      </c>
      <c r="D212" t="s">
        <v>6143</v>
      </c>
      <c r="E212" s="2">
        <v>4</v>
      </c>
      <c r="F212" s="2" t="str">
        <f>IFERROR(INDEX(customers!B$1:B$1001, MATCH(C212, customers!A$1:A$1001, 0)), "Not Found")</f>
        <v>Anselma Attwater</v>
      </c>
      <c r="G212" s="2" t="str">
        <f>IF(IFERROR(INDEX(customers!C$1:C$1001, MATCH(C212, customers!A$1:A$1001, 0)), "Not Found")=0,"",IFERROR(INDEX(customers!C$1:C$1001, MATCH(C212, customers!A$1:A$1001, 0)), "Not Found"))</f>
        <v>aattwater5u@wikia.com</v>
      </c>
      <c r="H212" s="2" t="str">
        <f>IFERROR(INDEX(customers!G$1:G$1001, MATCH(C212, customers!A$1:A$1001, 0)), "Not Found")</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L212*E212</f>
        <v>51.8</v>
      </c>
      <c r="N212" t="str">
        <f>IF(I212="Rob","Robusta",IF(I212="Exc","Excelsa",IF(I212="Ara","Arabica",IF(I212="Lib","Laberica",""))))</f>
        <v>Laberica</v>
      </c>
      <c r="O212" t="str">
        <f t="shared" si="3"/>
        <v>Dark</v>
      </c>
      <c r="P212" t="str">
        <f>INDEX(customers!$I$1:$I$1001, MATCH(Orders[[#This Row],[Customer ID]], customers!$A$1:$A$1001, 0))</f>
        <v>Yes</v>
      </c>
    </row>
    <row r="213" spans="1:16" x14ac:dyDescent="0.25">
      <c r="A213" s="2" t="s">
        <v>1677</v>
      </c>
      <c r="B213" s="3">
        <v>44283</v>
      </c>
      <c r="C213" s="2" t="s">
        <v>1678</v>
      </c>
      <c r="D213" t="s">
        <v>6176</v>
      </c>
      <c r="E213" s="2">
        <v>6</v>
      </c>
      <c r="F213" s="2" t="str">
        <f>IFERROR(INDEX(customers!B$1:B$1001, MATCH(C213, customers!A$1:A$1001, 0)), "Not Found")</f>
        <v>Minette Whellans</v>
      </c>
      <c r="G213" s="2" t="str">
        <f>IF(IFERROR(INDEX(customers!C$1:C$1001, MATCH(C213, customers!A$1:A$1001, 0)), "Not Found")=0,"",IFERROR(INDEX(customers!C$1:C$1001, MATCH(C213, customers!A$1:A$1001, 0)), "Not Found"))</f>
        <v>mwhellans5v@mapquest.com</v>
      </c>
      <c r="H213" s="2" t="str">
        <f>IFERROR(INDEX(customers!G$1:G$1001, MATCH(C213, customers!A$1:A$1001, 0)), "Not Found")</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L213*E213</f>
        <v>53.46</v>
      </c>
      <c r="N213" t="str">
        <f>IF(I213="Rob","Robusta",IF(I213="Exc","Excelsa",IF(I213="Ara","Arabica",IF(I213="Lib","Laberica",""))))</f>
        <v>Excelsa</v>
      </c>
      <c r="O213" t="str">
        <f t="shared" si="3"/>
        <v>Light</v>
      </c>
      <c r="P213" t="str">
        <f>INDEX(customers!$I$1:$I$1001, MATCH(Orders[[#This Row],[Customer ID]], customers!$A$1:$A$1001, 0))</f>
        <v>No</v>
      </c>
    </row>
    <row r="214" spans="1:16" x14ac:dyDescent="0.25">
      <c r="A214" s="2" t="s">
        <v>1682</v>
      </c>
      <c r="B214" s="3">
        <v>43921</v>
      </c>
      <c r="C214" s="2" t="s">
        <v>1683</v>
      </c>
      <c r="D214" t="s">
        <v>6153</v>
      </c>
      <c r="E214" s="2">
        <v>4</v>
      </c>
      <c r="F214" s="2" t="str">
        <f>IFERROR(INDEX(customers!B$1:B$1001, MATCH(C214, customers!A$1:A$1001, 0)), "Not Found")</f>
        <v>Dael Camilletti</v>
      </c>
      <c r="G214" s="2" t="str">
        <f>IF(IFERROR(INDEX(customers!C$1:C$1001, MATCH(C214, customers!A$1:A$1001, 0)), "Not Found")=0,"",IFERROR(INDEX(customers!C$1:C$1001, MATCH(C214, customers!A$1:A$1001, 0)), "Not Found"))</f>
        <v>dcamilletti5w@businesswire.com</v>
      </c>
      <c r="H214" s="2" t="str">
        <f>IFERROR(INDEX(customers!G$1:G$1001, MATCH(C214, customers!A$1:A$1001, 0)), "Not Found")</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L214*E214</f>
        <v>14.58</v>
      </c>
      <c r="N214" t="str">
        <f>IF(I214="Rob","Robusta",IF(I214="Exc","Excelsa",IF(I214="Ara","Arabica",IF(I214="Lib","Laberica",""))))</f>
        <v>Excelsa</v>
      </c>
      <c r="O214" t="str">
        <f t="shared" si="3"/>
        <v>Dark</v>
      </c>
      <c r="P214" t="str">
        <f>INDEX(customers!$I$1:$I$1001, MATCH(Orders[[#This Row],[Customer ID]], customers!$A$1:$A$1001, 0))</f>
        <v>Yes</v>
      </c>
    </row>
    <row r="215" spans="1:16" x14ac:dyDescent="0.25">
      <c r="A215" s="2" t="s">
        <v>1688</v>
      </c>
      <c r="B215" s="3">
        <v>44646</v>
      </c>
      <c r="C215" s="2" t="s">
        <v>1689</v>
      </c>
      <c r="D215" t="s">
        <v>6149</v>
      </c>
      <c r="E215" s="2">
        <v>1</v>
      </c>
      <c r="F215" s="2" t="str">
        <f>IFERROR(INDEX(customers!B$1:B$1001, MATCH(C215, customers!A$1:A$1001, 0)), "Not Found")</f>
        <v>Emiline Galgey</v>
      </c>
      <c r="G215" s="2" t="str">
        <f>IF(IFERROR(INDEX(customers!C$1:C$1001, MATCH(C215, customers!A$1:A$1001, 0)), "Not Found")=0,"",IFERROR(INDEX(customers!C$1:C$1001, MATCH(C215, customers!A$1:A$1001, 0)), "Not Found"))</f>
        <v>egalgey5x@wufoo.com</v>
      </c>
      <c r="H215" s="2" t="str">
        <f>IFERROR(INDEX(customers!G$1:G$1001, MATCH(C215, customers!A$1:A$1001, 0)), "Not Found")</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L215*E215</f>
        <v>20.584999999999997</v>
      </c>
      <c r="N215" t="str">
        <f>IF(I215="Rob","Robusta",IF(I215="Exc","Excelsa",IF(I215="Ara","Arabica",IF(I215="Lib","Laberica",""))))</f>
        <v>Robusta</v>
      </c>
      <c r="O215" t="str">
        <f t="shared" si="3"/>
        <v>Dark</v>
      </c>
      <c r="P215" t="str">
        <f>INDEX(customers!$I$1:$I$1001, MATCH(Orders[[#This Row],[Customer ID]], customers!$A$1:$A$1001, 0))</f>
        <v>No</v>
      </c>
    </row>
    <row r="216" spans="1:16" x14ac:dyDescent="0.25">
      <c r="A216" s="2" t="s">
        <v>1694</v>
      </c>
      <c r="B216" s="3">
        <v>43775</v>
      </c>
      <c r="C216" s="2" t="s">
        <v>1695</v>
      </c>
      <c r="D216" t="s">
        <v>6170</v>
      </c>
      <c r="E216" s="2">
        <v>2</v>
      </c>
      <c r="F216" s="2" t="str">
        <f>IFERROR(INDEX(customers!B$1:B$1001, MATCH(C216, customers!A$1:A$1001, 0)), "Not Found")</f>
        <v>Murdock Hame</v>
      </c>
      <c r="G216" s="2" t="str">
        <f>IF(IFERROR(INDEX(customers!C$1:C$1001, MATCH(C216, customers!A$1:A$1001, 0)), "Not Found")=0,"",IFERROR(INDEX(customers!C$1:C$1001, MATCH(C216, customers!A$1:A$1001, 0)), "Not Found"))</f>
        <v>mhame5y@newsvine.com</v>
      </c>
      <c r="H216" s="2" t="str">
        <f>IFERROR(INDEX(customers!G$1:G$1001, MATCH(C216, customers!A$1:A$1001, 0)), "Not Found")</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L216*E216</f>
        <v>31.7</v>
      </c>
      <c r="N216" t="str">
        <f>IF(I216="Rob","Robusta",IF(I216="Exc","Excelsa",IF(I216="Ara","Arabica",IF(I216="Lib","Laberica",""))))</f>
        <v>Laberica</v>
      </c>
      <c r="O216" t="str">
        <f t="shared" si="3"/>
        <v>Light</v>
      </c>
      <c r="P216" t="str">
        <f>INDEX(customers!$I$1:$I$1001, MATCH(Orders[[#This Row],[Customer ID]], customers!$A$1:$A$1001, 0))</f>
        <v>No</v>
      </c>
    </row>
    <row r="217" spans="1:16" x14ac:dyDescent="0.25">
      <c r="A217" s="2" t="s">
        <v>1701</v>
      </c>
      <c r="B217" s="3">
        <v>43829</v>
      </c>
      <c r="C217" s="2" t="s">
        <v>1702</v>
      </c>
      <c r="D217" t="s">
        <v>6150</v>
      </c>
      <c r="E217" s="2">
        <v>6</v>
      </c>
      <c r="F217" s="2" t="str">
        <f>IFERROR(INDEX(customers!B$1:B$1001, MATCH(C217, customers!A$1:A$1001, 0)), "Not Found")</f>
        <v>Ilka Gurnee</v>
      </c>
      <c r="G217" s="2" t="str">
        <f>IF(IFERROR(INDEX(customers!C$1:C$1001, MATCH(C217, customers!A$1:A$1001, 0)), "Not Found")=0,"",IFERROR(INDEX(customers!C$1:C$1001, MATCH(C217, customers!A$1:A$1001, 0)), "Not Found"))</f>
        <v>igurnee5z@usnews.com</v>
      </c>
      <c r="H217" s="2" t="str">
        <f>IFERROR(INDEX(customers!G$1:G$1001, MATCH(C217, customers!A$1:A$1001, 0)), "Not Found")</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L217*E217</f>
        <v>23.31</v>
      </c>
      <c r="N217" t="str">
        <f>IF(I217="Rob","Robusta",IF(I217="Exc","Excelsa",IF(I217="Ara","Arabica",IF(I217="Lib","Laberica",""))))</f>
        <v>Laberica</v>
      </c>
      <c r="O217" t="str">
        <f t="shared" si="3"/>
        <v>Dark</v>
      </c>
      <c r="P217" t="str">
        <f>INDEX(customers!$I$1:$I$1001, MATCH(Orders[[#This Row],[Customer ID]], customers!$A$1:$A$1001, 0))</f>
        <v>No</v>
      </c>
    </row>
    <row r="218" spans="1:16" x14ac:dyDescent="0.25">
      <c r="A218" s="2" t="s">
        <v>1707</v>
      </c>
      <c r="B218" s="3">
        <v>44470</v>
      </c>
      <c r="C218" s="2" t="s">
        <v>1708</v>
      </c>
      <c r="D218" t="s">
        <v>6162</v>
      </c>
      <c r="E218" s="2">
        <v>4</v>
      </c>
      <c r="F218" s="2" t="str">
        <f>IFERROR(INDEX(customers!B$1:B$1001, MATCH(C218, customers!A$1:A$1001, 0)), "Not Found")</f>
        <v>Alfy Snowding</v>
      </c>
      <c r="G218" s="2" t="str">
        <f>IF(IFERROR(INDEX(customers!C$1:C$1001, MATCH(C218, customers!A$1:A$1001, 0)), "Not Found")=0,"",IFERROR(INDEX(customers!C$1:C$1001, MATCH(C218, customers!A$1:A$1001, 0)), "Not Found"))</f>
        <v>asnowding60@comsenz.com</v>
      </c>
      <c r="H218" s="2" t="str">
        <f>IFERROR(INDEX(customers!G$1:G$1001, MATCH(C218, customers!A$1:A$1001, 0)), "Not Found")</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L218*E218</f>
        <v>58.2</v>
      </c>
      <c r="N218" t="str">
        <f>IF(I218="Rob","Robusta",IF(I218="Exc","Excelsa",IF(I218="Ara","Arabica",IF(I218="Lib","Laberica",""))))</f>
        <v>Laberica</v>
      </c>
      <c r="O218" t="str">
        <f t="shared" si="3"/>
        <v>Medium</v>
      </c>
      <c r="P218" t="str">
        <f>INDEX(customers!$I$1:$I$1001, MATCH(Orders[[#This Row],[Customer ID]], customers!$A$1:$A$1001, 0))</f>
        <v>Yes</v>
      </c>
    </row>
    <row r="219" spans="1:16" x14ac:dyDescent="0.25">
      <c r="A219" s="2" t="s">
        <v>1713</v>
      </c>
      <c r="B219" s="3">
        <v>44174</v>
      </c>
      <c r="C219" s="2" t="s">
        <v>1714</v>
      </c>
      <c r="D219" t="s">
        <v>6176</v>
      </c>
      <c r="E219" s="2">
        <v>4</v>
      </c>
      <c r="F219" s="2" t="str">
        <f>IFERROR(INDEX(customers!B$1:B$1001, MATCH(C219, customers!A$1:A$1001, 0)), "Not Found")</f>
        <v>Godfry Poinsett</v>
      </c>
      <c r="G219" s="2" t="str">
        <f>IF(IFERROR(INDEX(customers!C$1:C$1001, MATCH(C219, customers!A$1:A$1001, 0)), "Not Found")=0,"",IFERROR(INDEX(customers!C$1:C$1001, MATCH(C219, customers!A$1:A$1001, 0)), "Not Found"))</f>
        <v>gpoinsett61@berkeley.edu</v>
      </c>
      <c r="H219" s="2" t="str">
        <f>IFERROR(INDEX(customers!G$1:G$1001, MATCH(C219, customers!A$1:A$1001, 0)), "Not Found")</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L219*E219</f>
        <v>35.64</v>
      </c>
      <c r="N219" t="str">
        <f>IF(I219="Rob","Robusta",IF(I219="Exc","Excelsa",IF(I219="Ara","Arabica",IF(I219="Lib","Laberica",""))))</f>
        <v>Excelsa</v>
      </c>
      <c r="O219" t="str">
        <f t="shared" si="3"/>
        <v>Light</v>
      </c>
      <c r="P219" t="str">
        <f>INDEX(customers!$I$1:$I$1001, MATCH(Orders[[#This Row],[Customer ID]], customers!$A$1:$A$1001, 0))</f>
        <v>No</v>
      </c>
    </row>
    <row r="220" spans="1:16" x14ac:dyDescent="0.25">
      <c r="A220" s="2" t="s">
        <v>1719</v>
      </c>
      <c r="B220" s="3">
        <v>44317</v>
      </c>
      <c r="C220" s="2" t="s">
        <v>1720</v>
      </c>
      <c r="D220" t="s">
        <v>6155</v>
      </c>
      <c r="E220" s="2">
        <v>5</v>
      </c>
      <c r="F220" s="2" t="str">
        <f>IFERROR(INDEX(customers!B$1:B$1001, MATCH(C220, customers!A$1:A$1001, 0)), "Not Found")</f>
        <v>Rem Furman</v>
      </c>
      <c r="G220" s="2" t="str">
        <f>IF(IFERROR(INDEX(customers!C$1:C$1001, MATCH(C220, customers!A$1:A$1001, 0)), "Not Found")=0,"",IFERROR(INDEX(customers!C$1:C$1001, MATCH(C220, customers!A$1:A$1001, 0)), "Not Found"))</f>
        <v>rfurman62@t.co</v>
      </c>
      <c r="H220" s="2" t="str">
        <f>IFERROR(INDEX(customers!G$1:G$1001, MATCH(C220, customers!A$1:A$1001, 0)), "Not Found")</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L220*E220</f>
        <v>56.25</v>
      </c>
      <c r="N220" t="str">
        <f>IF(I220="Rob","Robusta",IF(I220="Exc","Excelsa",IF(I220="Ara","Arabica",IF(I220="Lib","Laberica",""))))</f>
        <v>Arabica</v>
      </c>
      <c r="O220" t="str">
        <f t="shared" si="3"/>
        <v>Medium</v>
      </c>
      <c r="P220" t="str">
        <f>INDEX(customers!$I$1:$I$1001, MATCH(Orders[[#This Row],[Customer ID]], customers!$A$1:$A$1001, 0))</f>
        <v>Yes</v>
      </c>
    </row>
    <row r="221" spans="1:16" x14ac:dyDescent="0.25">
      <c r="A221" s="2" t="s">
        <v>1725</v>
      </c>
      <c r="B221" s="3">
        <v>44777</v>
      </c>
      <c r="C221" s="2" t="s">
        <v>1726</v>
      </c>
      <c r="D221" t="s">
        <v>6178</v>
      </c>
      <c r="E221" s="2">
        <v>3</v>
      </c>
      <c r="F221" s="2" t="str">
        <f>IFERROR(INDEX(customers!B$1:B$1001, MATCH(C221, customers!A$1:A$1001, 0)), "Not Found")</f>
        <v>Charis Crosier</v>
      </c>
      <c r="G221" s="2" t="str">
        <f>IF(IFERROR(INDEX(customers!C$1:C$1001, MATCH(C221, customers!A$1:A$1001, 0)), "Not Found")=0,"",IFERROR(INDEX(customers!C$1:C$1001, MATCH(C221, customers!A$1:A$1001, 0)), "Not Found"))</f>
        <v>ccrosier63@xrea.com</v>
      </c>
      <c r="H221" s="2" t="str">
        <f>IFERROR(INDEX(customers!G$1:G$1001, MATCH(C221, customers!A$1:A$1001, 0)), "Not Found")</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L221*E221</f>
        <v>10.754999999999999</v>
      </c>
      <c r="N221" t="str">
        <f>IF(I221="Rob","Robusta",IF(I221="Exc","Excelsa",IF(I221="Ara","Arabica",IF(I221="Lib","Laberica",""))))</f>
        <v>Robusta</v>
      </c>
      <c r="O221" t="str">
        <f t="shared" si="3"/>
        <v>Light</v>
      </c>
      <c r="P221" t="str">
        <f>INDEX(customers!$I$1:$I$1001, MATCH(Orders[[#This Row],[Customer ID]], customers!$A$1:$A$1001, 0))</f>
        <v>No</v>
      </c>
    </row>
    <row r="222" spans="1:16" x14ac:dyDescent="0.25">
      <c r="A222" s="2" t="s">
        <v>1725</v>
      </c>
      <c r="B222" s="3">
        <v>44777</v>
      </c>
      <c r="C222" s="2" t="s">
        <v>1726</v>
      </c>
      <c r="D222" t="s">
        <v>6174</v>
      </c>
      <c r="E222" s="2">
        <v>5</v>
      </c>
      <c r="F222" s="2" t="str">
        <f>IFERROR(INDEX(customers!B$1:B$1001, MATCH(C222, customers!A$1:A$1001, 0)), "Not Found")</f>
        <v>Charis Crosier</v>
      </c>
      <c r="G222" s="2" t="str">
        <f>IF(IFERROR(INDEX(customers!C$1:C$1001, MATCH(C222, customers!A$1:A$1001, 0)), "Not Found")=0,"",IFERROR(INDEX(customers!C$1:C$1001, MATCH(C222, customers!A$1:A$1001, 0)), "Not Found"))</f>
        <v>ccrosier63@xrea.com</v>
      </c>
      <c r="H222" s="2" t="str">
        <f>IFERROR(INDEX(customers!G$1:G$1001, MATCH(C222, customers!A$1:A$1001, 0)), "Not Found")</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L222*E222</f>
        <v>14.924999999999999</v>
      </c>
      <c r="N222" t="str">
        <f>IF(I222="Rob","Robusta",IF(I222="Exc","Excelsa",IF(I222="Ara","Arabica",IF(I222="Lib","Laberica",""))))</f>
        <v>Robusta</v>
      </c>
      <c r="O222" t="str">
        <f t="shared" si="3"/>
        <v>Medium</v>
      </c>
      <c r="P222" t="str">
        <f>INDEX(customers!$I$1:$I$1001, MATCH(Orders[[#This Row],[Customer ID]], customers!$A$1:$A$1001, 0))</f>
        <v>No</v>
      </c>
    </row>
    <row r="223" spans="1:16" x14ac:dyDescent="0.25">
      <c r="A223" s="2" t="s">
        <v>1736</v>
      </c>
      <c r="B223" s="3">
        <v>44513</v>
      </c>
      <c r="C223" s="2" t="s">
        <v>1737</v>
      </c>
      <c r="D223" t="s">
        <v>6140</v>
      </c>
      <c r="E223" s="2">
        <v>6</v>
      </c>
      <c r="F223" s="2" t="str">
        <f>IFERROR(INDEX(customers!B$1:B$1001, MATCH(C223, customers!A$1:A$1001, 0)), "Not Found")</f>
        <v>Lenka Rushmer</v>
      </c>
      <c r="G223" s="2" t="str">
        <f>IF(IFERROR(INDEX(customers!C$1:C$1001, MATCH(C223, customers!A$1:A$1001, 0)), "Not Found")=0,"",IFERROR(INDEX(customers!C$1:C$1001, MATCH(C223, customers!A$1:A$1001, 0)), "Not Found"))</f>
        <v>lrushmer65@europa.eu</v>
      </c>
      <c r="H223" s="2" t="str">
        <f>IFERROR(INDEX(customers!G$1:G$1001, MATCH(C223, customers!A$1:A$1001, 0)), "Not Found")</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L223*E223</f>
        <v>77.699999999999989</v>
      </c>
      <c r="N223" t="str">
        <f>IF(I223="Rob","Robusta",IF(I223="Exc","Excelsa",IF(I223="Ara","Arabica",IF(I223="Lib","Laberica",""))))</f>
        <v>Arabica</v>
      </c>
      <c r="O223" t="str">
        <f t="shared" si="3"/>
        <v>Light</v>
      </c>
      <c r="P223" t="str">
        <f>INDEX(customers!$I$1:$I$1001, MATCH(Orders[[#This Row],[Customer ID]], customers!$A$1:$A$1001, 0))</f>
        <v>Yes</v>
      </c>
    </row>
    <row r="224" spans="1:16" x14ac:dyDescent="0.25">
      <c r="A224" s="2" t="s">
        <v>1742</v>
      </c>
      <c r="B224" s="3">
        <v>44090</v>
      </c>
      <c r="C224" s="2" t="s">
        <v>1743</v>
      </c>
      <c r="D224" t="s">
        <v>6169</v>
      </c>
      <c r="E224" s="2">
        <v>3</v>
      </c>
      <c r="F224" s="2" t="str">
        <f>IFERROR(INDEX(customers!B$1:B$1001, MATCH(C224, customers!A$1:A$1001, 0)), "Not Found")</f>
        <v>Waneta Edinborough</v>
      </c>
      <c r="G224" s="2" t="str">
        <f>IF(IFERROR(INDEX(customers!C$1:C$1001, MATCH(C224, customers!A$1:A$1001, 0)), "Not Found")=0,"",IFERROR(INDEX(customers!C$1:C$1001, MATCH(C224, customers!A$1:A$1001, 0)), "Not Found"))</f>
        <v>wedinborough66@github.io</v>
      </c>
      <c r="H224" s="2" t="str">
        <f>IFERROR(INDEX(customers!G$1:G$1001, MATCH(C224, customers!A$1:A$1001, 0)), "Not Found")</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L224*E224</f>
        <v>23.31</v>
      </c>
      <c r="N224" t="str">
        <f>IF(I224="Rob","Robusta",IF(I224="Exc","Excelsa",IF(I224="Ara","Arabica",IF(I224="Lib","Laberica",""))))</f>
        <v>Laberica</v>
      </c>
      <c r="O224" t="str">
        <f t="shared" si="3"/>
        <v>Dark</v>
      </c>
      <c r="P224" t="str">
        <f>INDEX(customers!$I$1:$I$1001, MATCH(Orders[[#This Row],[Customer ID]], customers!$A$1:$A$1001, 0))</f>
        <v>No</v>
      </c>
    </row>
    <row r="225" spans="1:16" x14ac:dyDescent="0.25">
      <c r="A225" s="2" t="s">
        <v>1748</v>
      </c>
      <c r="B225" s="3">
        <v>44109</v>
      </c>
      <c r="C225" s="2" t="s">
        <v>1749</v>
      </c>
      <c r="D225" t="s">
        <v>6171</v>
      </c>
      <c r="E225" s="2">
        <v>4</v>
      </c>
      <c r="F225" s="2" t="str">
        <f>IFERROR(INDEX(customers!B$1:B$1001, MATCH(C225, customers!A$1:A$1001, 0)), "Not Found")</f>
        <v>Bobbe Piggott</v>
      </c>
      <c r="G225" s="2" t="str">
        <f>IF(IFERROR(INDEX(customers!C$1:C$1001, MATCH(C225, customers!A$1:A$1001, 0)), "Not Found")=0,"",IFERROR(INDEX(customers!C$1:C$1001, MATCH(C225, customers!A$1:A$1001, 0)), "Not Found"))</f>
        <v/>
      </c>
      <c r="H225" s="2" t="str">
        <f>IFERROR(INDEX(customers!G$1:G$1001, MATCH(C225, customers!A$1:A$1001, 0)), "Not Found")</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L225*E225</f>
        <v>59.4</v>
      </c>
      <c r="N225" t="str">
        <f>IF(I225="Rob","Robusta",IF(I225="Exc","Excelsa",IF(I225="Ara","Arabica",IF(I225="Lib","Laberica",""))))</f>
        <v>Excelsa</v>
      </c>
      <c r="O225" t="str">
        <f t="shared" si="3"/>
        <v>Light</v>
      </c>
      <c r="P225" t="str">
        <f>INDEX(customers!$I$1:$I$1001, MATCH(Orders[[#This Row],[Customer ID]], customers!$A$1:$A$1001, 0))</f>
        <v>Yes</v>
      </c>
    </row>
    <row r="226" spans="1:16" x14ac:dyDescent="0.25">
      <c r="A226" s="2" t="s">
        <v>1753</v>
      </c>
      <c r="B226" s="3">
        <v>43836</v>
      </c>
      <c r="C226" s="2" t="s">
        <v>1754</v>
      </c>
      <c r="D226" t="s">
        <v>6165</v>
      </c>
      <c r="E226" s="2">
        <v>4</v>
      </c>
      <c r="F226" s="2" t="str">
        <f>IFERROR(INDEX(customers!B$1:B$1001, MATCH(C226, customers!A$1:A$1001, 0)), "Not Found")</f>
        <v>Ketty Bromehead</v>
      </c>
      <c r="G226" s="2" t="str">
        <f>IF(IFERROR(INDEX(customers!C$1:C$1001, MATCH(C226, customers!A$1:A$1001, 0)), "Not Found")=0,"",IFERROR(INDEX(customers!C$1:C$1001, MATCH(C226, customers!A$1:A$1001, 0)), "Not Found"))</f>
        <v>kbromehead68@un.org</v>
      </c>
      <c r="H226" s="2" t="str">
        <f>IFERROR(INDEX(customers!G$1:G$1001, MATCH(C226, customers!A$1:A$1001, 0)), "Not Found")</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L226*E226</f>
        <v>119.13999999999999</v>
      </c>
      <c r="N226" t="str">
        <f>IF(I226="Rob","Robusta",IF(I226="Exc","Excelsa",IF(I226="Ara","Arabica",IF(I226="Lib","Laberica",""))))</f>
        <v>Laberica</v>
      </c>
      <c r="O226" t="str">
        <f t="shared" si="3"/>
        <v>Dark</v>
      </c>
      <c r="P226" t="str">
        <f>INDEX(customers!$I$1:$I$1001, MATCH(Orders[[#This Row],[Customer ID]], customers!$A$1:$A$1001, 0))</f>
        <v>Yes</v>
      </c>
    </row>
    <row r="227" spans="1:16" x14ac:dyDescent="0.25">
      <c r="A227" s="2" t="s">
        <v>1759</v>
      </c>
      <c r="B227" s="3">
        <v>44337</v>
      </c>
      <c r="C227" s="2" t="s">
        <v>1760</v>
      </c>
      <c r="D227" t="s">
        <v>6178</v>
      </c>
      <c r="E227" s="2">
        <v>4</v>
      </c>
      <c r="F227" s="2" t="str">
        <f>IFERROR(INDEX(customers!B$1:B$1001, MATCH(C227, customers!A$1:A$1001, 0)), "Not Found")</f>
        <v>Elsbeth Westerman</v>
      </c>
      <c r="G227" s="2" t="str">
        <f>IF(IFERROR(INDEX(customers!C$1:C$1001, MATCH(C227, customers!A$1:A$1001, 0)), "Not Found")=0,"",IFERROR(INDEX(customers!C$1:C$1001, MATCH(C227, customers!A$1:A$1001, 0)), "Not Found"))</f>
        <v>ewesterman69@si.edu</v>
      </c>
      <c r="H227" s="2" t="str">
        <f>IFERROR(INDEX(customers!G$1:G$1001, MATCH(C227, customers!A$1:A$1001, 0)), "Not Found")</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L227*E227</f>
        <v>14.339999999999998</v>
      </c>
      <c r="N227" t="str">
        <f>IF(I227="Rob","Robusta",IF(I227="Exc","Excelsa",IF(I227="Ara","Arabica",IF(I227="Lib","Laberica",""))))</f>
        <v>Robusta</v>
      </c>
      <c r="O227" t="str">
        <f t="shared" si="3"/>
        <v>Light</v>
      </c>
      <c r="P227" t="str">
        <f>INDEX(customers!$I$1:$I$1001, MATCH(Orders[[#This Row],[Customer ID]], customers!$A$1:$A$1001, 0))</f>
        <v>No</v>
      </c>
    </row>
    <row r="228" spans="1:16" x14ac:dyDescent="0.25">
      <c r="A228" s="2" t="s">
        <v>1765</v>
      </c>
      <c r="B228" s="3">
        <v>43887</v>
      </c>
      <c r="C228" s="2" t="s">
        <v>1766</v>
      </c>
      <c r="D228" t="s">
        <v>6175</v>
      </c>
      <c r="E228" s="2">
        <v>5</v>
      </c>
      <c r="F228" s="2" t="str">
        <f>IFERROR(INDEX(customers!B$1:B$1001, MATCH(C228, customers!A$1:A$1001, 0)), "Not Found")</f>
        <v>Anabelle Hutchens</v>
      </c>
      <c r="G228" s="2" t="str">
        <f>IF(IFERROR(INDEX(customers!C$1:C$1001, MATCH(C228, customers!A$1:A$1001, 0)), "Not Found")=0,"",IFERROR(INDEX(customers!C$1:C$1001, MATCH(C228, customers!A$1:A$1001, 0)), "Not Found"))</f>
        <v>ahutchens6a@amazonaws.com</v>
      </c>
      <c r="H228" s="2" t="str">
        <f>IFERROR(INDEX(customers!G$1:G$1001, MATCH(C228, customers!A$1:A$1001, 0)), "Not Found")</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L228*E228</f>
        <v>129.37499999999997</v>
      </c>
      <c r="N228" t="str">
        <f>IF(I228="Rob","Robusta",IF(I228="Exc","Excelsa",IF(I228="Ara","Arabica",IF(I228="Lib","Laberica",""))))</f>
        <v>Arabica</v>
      </c>
      <c r="O228" t="str">
        <f t="shared" si="3"/>
        <v>Medium</v>
      </c>
      <c r="P228" t="str">
        <f>INDEX(customers!$I$1:$I$1001, MATCH(Orders[[#This Row],[Customer ID]], customers!$A$1:$A$1001, 0))</f>
        <v>No</v>
      </c>
    </row>
    <row r="229" spans="1:16" x14ac:dyDescent="0.25">
      <c r="A229" s="2" t="s">
        <v>1771</v>
      </c>
      <c r="B229" s="3">
        <v>43880</v>
      </c>
      <c r="C229" s="2" t="s">
        <v>1772</v>
      </c>
      <c r="D229" t="s">
        <v>6163</v>
      </c>
      <c r="E229" s="2">
        <v>6</v>
      </c>
      <c r="F229" s="2" t="str">
        <f>IFERROR(INDEX(customers!B$1:B$1001, MATCH(C229, customers!A$1:A$1001, 0)), "Not Found")</f>
        <v>Noak Wyvill</v>
      </c>
      <c r="G229" s="2" t="str">
        <f>IF(IFERROR(INDEX(customers!C$1:C$1001, MATCH(C229, customers!A$1:A$1001, 0)), "Not Found")=0,"",IFERROR(INDEX(customers!C$1:C$1001, MATCH(C229, customers!A$1:A$1001, 0)), "Not Found"))</f>
        <v>nwyvill6b@naver.com</v>
      </c>
      <c r="H229" s="2" t="str">
        <f>IFERROR(INDEX(customers!G$1:G$1001, MATCH(C229, customers!A$1:A$1001, 0)), "Not Found")</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L229*E229</f>
        <v>16.11</v>
      </c>
      <c r="N229" t="str">
        <f>IF(I229="Rob","Robusta",IF(I229="Exc","Excelsa",IF(I229="Ara","Arabica",IF(I229="Lib","Laberica",""))))</f>
        <v>Robusta</v>
      </c>
      <c r="O229" t="str">
        <f t="shared" si="3"/>
        <v>Dark</v>
      </c>
      <c r="P229" t="str">
        <f>INDEX(customers!$I$1:$I$1001, MATCH(Orders[[#This Row],[Customer ID]], customers!$A$1:$A$1001, 0))</f>
        <v>Yes</v>
      </c>
    </row>
    <row r="230" spans="1:16" x14ac:dyDescent="0.25">
      <c r="A230" s="2" t="s">
        <v>1777</v>
      </c>
      <c r="B230" s="3">
        <v>44376</v>
      </c>
      <c r="C230" s="2" t="s">
        <v>1778</v>
      </c>
      <c r="D230" t="s">
        <v>6178</v>
      </c>
      <c r="E230" s="2">
        <v>5</v>
      </c>
      <c r="F230" s="2" t="str">
        <f>IFERROR(INDEX(customers!B$1:B$1001, MATCH(C230, customers!A$1:A$1001, 0)), "Not Found")</f>
        <v>Beltran Mathon</v>
      </c>
      <c r="G230" s="2" t="str">
        <f>IF(IFERROR(INDEX(customers!C$1:C$1001, MATCH(C230, customers!A$1:A$1001, 0)), "Not Found")=0,"",IFERROR(INDEX(customers!C$1:C$1001, MATCH(C230, customers!A$1:A$1001, 0)), "Not Found"))</f>
        <v>bmathon6c@barnesandnoble.com</v>
      </c>
      <c r="H230" s="2" t="str">
        <f>IFERROR(INDEX(customers!G$1:G$1001, MATCH(C230, customers!A$1:A$1001, 0)), "Not Found")</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L230*E230</f>
        <v>17.924999999999997</v>
      </c>
      <c r="N230" t="str">
        <f>IF(I230="Rob","Robusta",IF(I230="Exc","Excelsa",IF(I230="Ara","Arabica",IF(I230="Lib","Laberica",""))))</f>
        <v>Robusta</v>
      </c>
      <c r="O230" t="str">
        <f t="shared" si="3"/>
        <v>Light</v>
      </c>
      <c r="P230" t="str">
        <f>INDEX(customers!$I$1:$I$1001, MATCH(Orders[[#This Row],[Customer ID]], customers!$A$1:$A$1001, 0))</f>
        <v>No</v>
      </c>
    </row>
    <row r="231" spans="1:16" x14ac:dyDescent="0.25">
      <c r="A231" s="2" t="s">
        <v>1783</v>
      </c>
      <c r="B231" s="3">
        <v>44282</v>
      </c>
      <c r="C231" s="2" t="s">
        <v>1784</v>
      </c>
      <c r="D231" t="s">
        <v>6159</v>
      </c>
      <c r="E231" s="2">
        <v>2</v>
      </c>
      <c r="F231" s="2" t="str">
        <f>IFERROR(INDEX(customers!B$1:B$1001, MATCH(C231, customers!A$1:A$1001, 0)), "Not Found")</f>
        <v>Kristos Streight</v>
      </c>
      <c r="G231" s="2" t="str">
        <f>IF(IFERROR(INDEX(customers!C$1:C$1001, MATCH(C231, customers!A$1:A$1001, 0)), "Not Found")=0,"",IFERROR(INDEX(customers!C$1:C$1001, MATCH(C231, customers!A$1:A$1001, 0)), "Not Found"))</f>
        <v>kstreight6d@about.com</v>
      </c>
      <c r="H231" s="2" t="str">
        <f>IFERROR(INDEX(customers!G$1:G$1001, MATCH(C231, customers!A$1:A$1001, 0)), "Not Found")</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L231*E231</f>
        <v>8.73</v>
      </c>
      <c r="N231" t="str">
        <f>IF(I231="Rob","Robusta",IF(I231="Exc","Excelsa",IF(I231="Ara","Arabica",IF(I231="Lib","Laberica",""))))</f>
        <v>Laberica</v>
      </c>
      <c r="O231" t="str">
        <f t="shared" si="3"/>
        <v>Medium</v>
      </c>
      <c r="P231" t="str">
        <f>INDEX(customers!$I$1:$I$1001, MATCH(Orders[[#This Row],[Customer ID]], customers!$A$1:$A$1001, 0))</f>
        <v>No</v>
      </c>
    </row>
    <row r="232" spans="1:16" x14ac:dyDescent="0.25">
      <c r="A232" s="2" t="s">
        <v>1789</v>
      </c>
      <c r="B232" s="3">
        <v>44496</v>
      </c>
      <c r="C232" s="2" t="s">
        <v>1790</v>
      </c>
      <c r="D232" t="s">
        <v>6175</v>
      </c>
      <c r="E232" s="2">
        <v>2</v>
      </c>
      <c r="F232" s="2" t="str">
        <f>IFERROR(INDEX(customers!B$1:B$1001, MATCH(C232, customers!A$1:A$1001, 0)), "Not Found")</f>
        <v>Portie Cutchie</v>
      </c>
      <c r="G232" s="2" t="str">
        <f>IF(IFERROR(INDEX(customers!C$1:C$1001, MATCH(C232, customers!A$1:A$1001, 0)), "Not Found")=0,"",IFERROR(INDEX(customers!C$1:C$1001, MATCH(C232, customers!A$1:A$1001, 0)), "Not Found"))</f>
        <v>pcutchie6e@globo.com</v>
      </c>
      <c r="H232" s="2" t="str">
        <f>IFERROR(INDEX(customers!G$1:G$1001, MATCH(C232, customers!A$1:A$1001, 0)), "Not Found")</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L232*E232</f>
        <v>51.749999999999993</v>
      </c>
      <c r="N232" t="str">
        <f>IF(I232="Rob","Robusta",IF(I232="Exc","Excelsa",IF(I232="Ara","Arabica",IF(I232="Lib","Laberica",""))))</f>
        <v>Arabica</v>
      </c>
      <c r="O232" t="str">
        <f t="shared" si="3"/>
        <v>Medium</v>
      </c>
      <c r="P232" t="str">
        <f>INDEX(customers!$I$1:$I$1001, MATCH(Orders[[#This Row],[Customer ID]], customers!$A$1:$A$1001, 0))</f>
        <v>No</v>
      </c>
    </row>
    <row r="233" spans="1:16" x14ac:dyDescent="0.25">
      <c r="A233" s="2" t="s">
        <v>1795</v>
      </c>
      <c r="B233" s="3">
        <v>43628</v>
      </c>
      <c r="C233" s="2" t="s">
        <v>1796</v>
      </c>
      <c r="D233" t="s">
        <v>6159</v>
      </c>
      <c r="E233" s="2">
        <v>2</v>
      </c>
      <c r="F233" s="2" t="str">
        <f>IFERROR(INDEX(customers!B$1:B$1001, MATCH(C233, customers!A$1:A$1001, 0)), "Not Found")</f>
        <v>Sinclare Edsell</v>
      </c>
      <c r="G233" s="2" t="str">
        <f>IF(IFERROR(INDEX(customers!C$1:C$1001, MATCH(C233, customers!A$1:A$1001, 0)), "Not Found")=0,"",IFERROR(INDEX(customers!C$1:C$1001, MATCH(C233, customers!A$1:A$1001, 0)), "Not Found"))</f>
        <v/>
      </c>
      <c r="H233" s="2" t="str">
        <f>IFERROR(INDEX(customers!G$1:G$1001, MATCH(C233, customers!A$1:A$1001, 0)), "Not Found")</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L233*E233</f>
        <v>8.73</v>
      </c>
      <c r="N233" t="str">
        <f>IF(I233="Rob","Robusta",IF(I233="Exc","Excelsa",IF(I233="Ara","Arabica",IF(I233="Lib","Laberica",""))))</f>
        <v>Laberica</v>
      </c>
      <c r="O233" t="str">
        <f t="shared" si="3"/>
        <v>Medium</v>
      </c>
      <c r="P233" t="str">
        <f>INDEX(customers!$I$1:$I$1001, MATCH(Orders[[#This Row],[Customer ID]], customers!$A$1:$A$1001, 0))</f>
        <v>Yes</v>
      </c>
    </row>
    <row r="234" spans="1:16" x14ac:dyDescent="0.25">
      <c r="A234" s="2" t="s">
        <v>1800</v>
      </c>
      <c r="B234" s="3">
        <v>44010</v>
      </c>
      <c r="C234" s="2" t="s">
        <v>1801</v>
      </c>
      <c r="D234" t="s">
        <v>6145</v>
      </c>
      <c r="E234" s="2">
        <v>5</v>
      </c>
      <c r="F234" s="2" t="str">
        <f>IFERROR(INDEX(customers!B$1:B$1001, MATCH(C234, customers!A$1:A$1001, 0)), "Not Found")</f>
        <v>Conny Gheraldi</v>
      </c>
      <c r="G234" s="2" t="str">
        <f>IF(IFERROR(INDEX(customers!C$1:C$1001, MATCH(C234, customers!A$1:A$1001, 0)), "Not Found")=0,"",IFERROR(INDEX(customers!C$1:C$1001, MATCH(C234, customers!A$1:A$1001, 0)), "Not Found"))</f>
        <v>cgheraldi6g@opera.com</v>
      </c>
      <c r="H234" s="2" t="str">
        <f>IFERROR(INDEX(customers!G$1:G$1001, MATCH(C234, customers!A$1:A$1001, 0)), "Not Found")</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L234*E234</f>
        <v>23.774999999999999</v>
      </c>
      <c r="N234" t="str">
        <f>IF(I234="Rob","Robusta",IF(I234="Exc","Excelsa",IF(I234="Ara","Arabica",IF(I234="Lib","Laberica",""))))</f>
        <v>Laberica</v>
      </c>
      <c r="O234" t="str">
        <f t="shared" si="3"/>
        <v>Light</v>
      </c>
      <c r="P234" t="str">
        <f>INDEX(customers!$I$1:$I$1001, MATCH(Orders[[#This Row],[Customer ID]], customers!$A$1:$A$1001, 0))</f>
        <v>No</v>
      </c>
    </row>
    <row r="235" spans="1:16" x14ac:dyDescent="0.25">
      <c r="A235" s="2" t="s">
        <v>1806</v>
      </c>
      <c r="B235" s="3">
        <v>44278</v>
      </c>
      <c r="C235" s="2" t="s">
        <v>1807</v>
      </c>
      <c r="D235" t="s">
        <v>6156</v>
      </c>
      <c r="E235" s="2">
        <v>5</v>
      </c>
      <c r="F235" s="2" t="str">
        <f>IFERROR(INDEX(customers!B$1:B$1001, MATCH(C235, customers!A$1:A$1001, 0)), "Not Found")</f>
        <v>Beryle Kenwell</v>
      </c>
      <c r="G235" s="2" t="str">
        <f>IF(IFERROR(INDEX(customers!C$1:C$1001, MATCH(C235, customers!A$1:A$1001, 0)), "Not Found")=0,"",IFERROR(INDEX(customers!C$1:C$1001, MATCH(C235, customers!A$1:A$1001, 0)), "Not Found"))</f>
        <v>bkenwell6h@over-blog.com</v>
      </c>
      <c r="H235" s="2" t="str">
        <f>IFERROR(INDEX(customers!G$1:G$1001, MATCH(C235, customers!A$1:A$1001, 0)), "Not Found")</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L235*E235</f>
        <v>20.625</v>
      </c>
      <c r="N235" t="str">
        <f>IF(I235="Rob","Robusta",IF(I235="Exc","Excelsa",IF(I235="Ara","Arabica",IF(I235="Lib","Laberica",""))))</f>
        <v>Excelsa</v>
      </c>
      <c r="O235" t="str">
        <f t="shared" si="3"/>
        <v>Medium</v>
      </c>
      <c r="P235" t="str">
        <f>INDEX(customers!$I$1:$I$1001, MATCH(Orders[[#This Row],[Customer ID]], customers!$A$1:$A$1001, 0))</f>
        <v>No</v>
      </c>
    </row>
    <row r="236" spans="1:16" x14ac:dyDescent="0.25">
      <c r="A236" s="2" t="s">
        <v>1812</v>
      </c>
      <c r="B236" s="3">
        <v>44602</v>
      </c>
      <c r="C236" s="2" t="s">
        <v>1813</v>
      </c>
      <c r="D236" t="s">
        <v>6164</v>
      </c>
      <c r="E236" s="2">
        <v>1</v>
      </c>
      <c r="F236" s="2" t="str">
        <f>IFERROR(INDEX(customers!B$1:B$1001, MATCH(C236, customers!A$1:A$1001, 0)), "Not Found")</f>
        <v>Tomas Sutty</v>
      </c>
      <c r="G236" s="2" t="str">
        <f>IF(IFERROR(INDEX(customers!C$1:C$1001, MATCH(C236, customers!A$1:A$1001, 0)), "Not Found")=0,"",IFERROR(INDEX(customers!C$1:C$1001, MATCH(C236, customers!A$1:A$1001, 0)), "Not Found"))</f>
        <v>tsutty6i@google.es</v>
      </c>
      <c r="H236" s="2" t="str">
        <f>IFERROR(INDEX(customers!G$1:G$1001, MATCH(C236, customers!A$1:A$1001, 0)), "Not Found")</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L236*E236</f>
        <v>36.454999999999998</v>
      </c>
      <c r="N236" t="str">
        <f>IF(I236="Rob","Robusta",IF(I236="Exc","Excelsa",IF(I236="Ara","Arabica",IF(I236="Lib","Laberica",""))))</f>
        <v>Laberica</v>
      </c>
      <c r="O236" t="str">
        <f t="shared" si="3"/>
        <v>Light</v>
      </c>
      <c r="P236" t="str">
        <f>INDEX(customers!$I$1:$I$1001, MATCH(Orders[[#This Row],[Customer ID]], customers!$A$1:$A$1001, 0))</f>
        <v>No</v>
      </c>
    </row>
    <row r="237" spans="1:16" x14ac:dyDescent="0.25">
      <c r="A237" s="2" t="s">
        <v>1818</v>
      </c>
      <c r="B237" s="3">
        <v>43571</v>
      </c>
      <c r="C237" s="2" t="s">
        <v>1819</v>
      </c>
      <c r="D237" t="s">
        <v>6164</v>
      </c>
      <c r="E237" s="2">
        <v>5</v>
      </c>
      <c r="F237" s="2" t="str">
        <f>IFERROR(INDEX(customers!B$1:B$1001, MATCH(C237, customers!A$1:A$1001, 0)), "Not Found")</f>
        <v>Samuele Ales0</v>
      </c>
      <c r="G237" s="2" t="str">
        <f>IF(IFERROR(INDEX(customers!C$1:C$1001, MATCH(C237, customers!A$1:A$1001, 0)), "Not Found")=0,"",IFERROR(INDEX(customers!C$1:C$1001, MATCH(C237, customers!A$1:A$1001, 0)), "Not Found"))</f>
        <v/>
      </c>
      <c r="H237" s="2" t="str">
        <f>IFERROR(INDEX(customers!G$1:G$1001, MATCH(C237, customers!A$1:A$1001, 0)), "Not Found")</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L237*E237</f>
        <v>182.27499999999998</v>
      </c>
      <c r="N237" t="str">
        <f>IF(I237="Rob","Robusta",IF(I237="Exc","Excelsa",IF(I237="Ara","Arabica",IF(I237="Lib","Laberica",""))))</f>
        <v>Laberica</v>
      </c>
      <c r="O237" t="str">
        <f t="shared" si="3"/>
        <v>Light</v>
      </c>
      <c r="P237" t="str">
        <f>INDEX(customers!$I$1:$I$1001, MATCH(Orders[[#This Row],[Customer ID]], customers!$A$1:$A$1001, 0))</f>
        <v>No</v>
      </c>
    </row>
    <row r="238" spans="1:16" x14ac:dyDescent="0.25">
      <c r="A238" s="2" t="s">
        <v>1822</v>
      </c>
      <c r="B238" s="3">
        <v>43873</v>
      </c>
      <c r="C238" s="2" t="s">
        <v>1823</v>
      </c>
      <c r="D238" t="s">
        <v>6165</v>
      </c>
      <c r="E238" s="2">
        <v>3</v>
      </c>
      <c r="F238" s="2" t="str">
        <f>IFERROR(INDEX(customers!B$1:B$1001, MATCH(C238, customers!A$1:A$1001, 0)), "Not Found")</f>
        <v>Carlie Harce</v>
      </c>
      <c r="G238" s="2" t="str">
        <f>IF(IFERROR(INDEX(customers!C$1:C$1001, MATCH(C238, customers!A$1:A$1001, 0)), "Not Found")=0,"",IFERROR(INDEX(customers!C$1:C$1001, MATCH(C238, customers!A$1:A$1001, 0)), "Not Found"))</f>
        <v>charce6k@cafepress.com</v>
      </c>
      <c r="H238" s="2" t="str">
        <f>IFERROR(INDEX(customers!G$1:G$1001, MATCH(C238, customers!A$1:A$1001, 0)), "Not Found")</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L238*E238</f>
        <v>89.35499999999999</v>
      </c>
      <c r="N238" t="str">
        <f>IF(I238="Rob","Robusta",IF(I238="Exc","Excelsa",IF(I238="Ara","Arabica",IF(I238="Lib","Laberica",""))))</f>
        <v>Laberica</v>
      </c>
      <c r="O238" t="str">
        <f t="shared" si="3"/>
        <v>Dark</v>
      </c>
      <c r="P238" t="str">
        <f>INDEX(customers!$I$1:$I$1001, MATCH(Orders[[#This Row],[Customer ID]], customers!$A$1:$A$1001, 0))</f>
        <v>No</v>
      </c>
    </row>
    <row r="239" spans="1:16" x14ac:dyDescent="0.25">
      <c r="A239" s="2" t="s">
        <v>1828</v>
      </c>
      <c r="B239" s="3">
        <v>44563</v>
      </c>
      <c r="C239" s="2" t="s">
        <v>1829</v>
      </c>
      <c r="D239" t="s">
        <v>6178</v>
      </c>
      <c r="E239" s="2">
        <v>1</v>
      </c>
      <c r="F239" s="2" t="str">
        <f>IFERROR(INDEX(customers!B$1:B$1001, MATCH(C239, customers!A$1:A$1001, 0)), "Not Found")</f>
        <v>Craggy Bril</v>
      </c>
      <c r="G239" s="2" t="str">
        <f>IF(IFERROR(INDEX(customers!C$1:C$1001, MATCH(C239, customers!A$1:A$1001, 0)), "Not Found")=0,"",IFERROR(INDEX(customers!C$1:C$1001, MATCH(C239, customers!A$1:A$1001, 0)), "Not Found"))</f>
        <v/>
      </c>
      <c r="H239" s="2" t="str">
        <f>IFERROR(INDEX(customers!G$1:G$1001, MATCH(C239, customers!A$1:A$1001, 0)), "Not Found")</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L239*E239</f>
        <v>3.5849999999999995</v>
      </c>
      <c r="N239" t="str">
        <f>IF(I239="Rob","Robusta",IF(I239="Exc","Excelsa",IF(I239="Ara","Arabica",IF(I239="Lib","Laberica",""))))</f>
        <v>Robusta</v>
      </c>
      <c r="O239" t="str">
        <f t="shared" si="3"/>
        <v>Light</v>
      </c>
      <c r="P239" t="str">
        <f>INDEX(customers!$I$1:$I$1001, MATCH(Orders[[#This Row],[Customer ID]], customers!$A$1:$A$1001, 0))</f>
        <v>Yes</v>
      </c>
    </row>
    <row r="240" spans="1:16" x14ac:dyDescent="0.25">
      <c r="A240" s="2" t="s">
        <v>1833</v>
      </c>
      <c r="B240" s="3">
        <v>44172</v>
      </c>
      <c r="C240" s="2" t="s">
        <v>1834</v>
      </c>
      <c r="D240" t="s">
        <v>6151</v>
      </c>
      <c r="E240" s="2">
        <v>2</v>
      </c>
      <c r="F240" s="2" t="str">
        <f>IFERROR(INDEX(customers!B$1:B$1001, MATCH(C240, customers!A$1:A$1001, 0)), "Not Found")</f>
        <v>Friederike Drysdale</v>
      </c>
      <c r="G240" s="2" t="str">
        <f>IF(IFERROR(INDEX(customers!C$1:C$1001, MATCH(C240, customers!A$1:A$1001, 0)), "Not Found")=0,"",IFERROR(INDEX(customers!C$1:C$1001, MATCH(C240, customers!A$1:A$1001, 0)), "Not Found"))</f>
        <v>fdrysdale6m@symantec.com</v>
      </c>
      <c r="H240" s="2" t="str">
        <f>IFERROR(INDEX(customers!G$1:G$1001, MATCH(C240, customers!A$1:A$1001, 0)), "Not Found")</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L240*E240</f>
        <v>45.769999999999996</v>
      </c>
      <c r="N240" t="str">
        <f>IF(I240="Rob","Robusta",IF(I240="Exc","Excelsa",IF(I240="Ara","Arabica",IF(I240="Lib","Laberica",""))))</f>
        <v>Robusta</v>
      </c>
      <c r="O240" t="str">
        <f t="shared" si="3"/>
        <v>Medium</v>
      </c>
      <c r="P240" t="str">
        <f>INDEX(customers!$I$1:$I$1001, MATCH(Orders[[#This Row],[Customer ID]], customers!$A$1:$A$1001, 0))</f>
        <v>Yes</v>
      </c>
    </row>
    <row r="241" spans="1:16" x14ac:dyDescent="0.25">
      <c r="A241" s="2" t="s">
        <v>1839</v>
      </c>
      <c r="B241" s="3">
        <v>43881</v>
      </c>
      <c r="C241" s="2" t="s">
        <v>1840</v>
      </c>
      <c r="D241" t="s">
        <v>6171</v>
      </c>
      <c r="E241" s="2">
        <v>4</v>
      </c>
      <c r="F241" s="2" t="str">
        <f>IFERROR(INDEX(customers!B$1:B$1001, MATCH(C241, customers!A$1:A$1001, 0)), "Not Found")</f>
        <v>Devon Magowan</v>
      </c>
      <c r="G241" s="2" t="str">
        <f>IF(IFERROR(INDEX(customers!C$1:C$1001, MATCH(C241, customers!A$1:A$1001, 0)), "Not Found")=0,"",IFERROR(INDEX(customers!C$1:C$1001, MATCH(C241, customers!A$1:A$1001, 0)), "Not Found"))</f>
        <v>dmagowan6n@fc2.com</v>
      </c>
      <c r="H241" s="2" t="str">
        <f>IFERROR(INDEX(customers!G$1:G$1001, MATCH(C241, customers!A$1:A$1001, 0)), "Not Found")</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L241*E241</f>
        <v>59.4</v>
      </c>
      <c r="N241" t="str">
        <f>IF(I241="Rob","Robusta",IF(I241="Exc","Excelsa",IF(I241="Ara","Arabica",IF(I241="Lib","Laberica",""))))</f>
        <v>Excelsa</v>
      </c>
      <c r="O241" t="str">
        <f t="shared" si="3"/>
        <v>Light</v>
      </c>
      <c r="P241" t="str">
        <f>INDEX(customers!$I$1:$I$1001, MATCH(Orders[[#This Row],[Customer ID]], customers!$A$1:$A$1001, 0))</f>
        <v>No</v>
      </c>
    </row>
    <row r="242" spans="1:16" x14ac:dyDescent="0.25">
      <c r="A242" s="2" t="s">
        <v>1845</v>
      </c>
      <c r="B242" s="3">
        <v>43993</v>
      </c>
      <c r="C242" s="2" t="s">
        <v>1846</v>
      </c>
      <c r="D242" t="s">
        <v>6175</v>
      </c>
      <c r="E242" s="2">
        <v>6</v>
      </c>
      <c r="F242" s="2" t="str">
        <f>IFERROR(INDEX(customers!B$1:B$1001, MATCH(C242, customers!A$1:A$1001, 0)), "Not Found")</f>
        <v>Codi Littrell</v>
      </c>
      <c r="G242" s="2" t="str">
        <f>IF(IFERROR(INDEX(customers!C$1:C$1001, MATCH(C242, customers!A$1:A$1001, 0)), "Not Found")=0,"",IFERROR(INDEX(customers!C$1:C$1001, MATCH(C242, customers!A$1:A$1001, 0)), "Not Found"))</f>
        <v/>
      </c>
      <c r="H242" s="2" t="str">
        <f>IFERROR(INDEX(customers!G$1:G$1001, MATCH(C242, customers!A$1:A$1001, 0)), "Not Found")</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L242*E242</f>
        <v>155.24999999999997</v>
      </c>
      <c r="N242" t="str">
        <f>IF(I242="Rob","Robusta",IF(I242="Exc","Excelsa",IF(I242="Ara","Arabica",IF(I242="Lib","Laberica",""))))</f>
        <v>Arabica</v>
      </c>
      <c r="O242" t="str">
        <f t="shared" si="3"/>
        <v>Medium</v>
      </c>
      <c r="P242" t="str">
        <f>INDEX(customers!$I$1:$I$1001, MATCH(Orders[[#This Row],[Customer ID]], customers!$A$1:$A$1001, 0))</f>
        <v>Yes</v>
      </c>
    </row>
    <row r="243" spans="1:16" x14ac:dyDescent="0.25">
      <c r="A243" s="2" t="s">
        <v>1849</v>
      </c>
      <c r="B243" s="3">
        <v>44082</v>
      </c>
      <c r="C243" s="2" t="s">
        <v>1850</v>
      </c>
      <c r="D243" t="s">
        <v>6151</v>
      </c>
      <c r="E243" s="2">
        <v>2</v>
      </c>
      <c r="F243" s="2" t="str">
        <f>IFERROR(INDEX(customers!B$1:B$1001, MATCH(C243, customers!A$1:A$1001, 0)), "Not Found")</f>
        <v>Christel Speak</v>
      </c>
      <c r="G243" s="2" t="str">
        <f>IF(IFERROR(INDEX(customers!C$1:C$1001, MATCH(C243, customers!A$1:A$1001, 0)), "Not Found")=0,"",IFERROR(INDEX(customers!C$1:C$1001, MATCH(C243, customers!A$1:A$1001, 0)), "Not Found"))</f>
        <v/>
      </c>
      <c r="H243" s="2" t="str">
        <f>IFERROR(INDEX(customers!G$1:G$1001, MATCH(C243, customers!A$1:A$1001, 0)), "Not Found")</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L243*E243</f>
        <v>45.769999999999996</v>
      </c>
      <c r="N243" t="str">
        <f>IF(I243="Rob","Robusta",IF(I243="Exc","Excelsa",IF(I243="Ara","Arabica",IF(I243="Lib","Laberica",""))))</f>
        <v>Robusta</v>
      </c>
      <c r="O243" t="str">
        <f t="shared" si="3"/>
        <v>Medium</v>
      </c>
      <c r="P243" t="str">
        <f>INDEX(customers!$I$1:$I$1001, MATCH(Orders[[#This Row],[Customer ID]], customers!$A$1:$A$1001, 0))</f>
        <v>No</v>
      </c>
    </row>
    <row r="244" spans="1:16" x14ac:dyDescent="0.25">
      <c r="A244" s="2" t="s">
        <v>1854</v>
      </c>
      <c r="B244" s="3">
        <v>43918</v>
      </c>
      <c r="C244" s="2" t="s">
        <v>1855</v>
      </c>
      <c r="D244" t="s">
        <v>6183</v>
      </c>
      <c r="E244" s="2">
        <v>3</v>
      </c>
      <c r="F244" s="2" t="str">
        <f>IFERROR(INDEX(customers!B$1:B$1001, MATCH(C244, customers!A$1:A$1001, 0)), "Not Found")</f>
        <v>Sibella Rushbrooke</v>
      </c>
      <c r="G244" s="2" t="str">
        <f>IF(IFERROR(INDEX(customers!C$1:C$1001, MATCH(C244, customers!A$1:A$1001, 0)), "Not Found")=0,"",IFERROR(INDEX(customers!C$1:C$1001, MATCH(C244, customers!A$1:A$1001, 0)), "Not Found"))</f>
        <v>srushbrooke6q@youku.com</v>
      </c>
      <c r="H244" s="2" t="str">
        <f>IFERROR(INDEX(customers!G$1:G$1001, MATCH(C244, customers!A$1:A$1001, 0)), "Not Found")</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L244*E244</f>
        <v>36.450000000000003</v>
      </c>
      <c r="N244" t="str">
        <f>IF(I244="Rob","Robusta",IF(I244="Exc","Excelsa",IF(I244="Ara","Arabica",IF(I244="Lib","Laberica",""))))</f>
        <v>Excelsa</v>
      </c>
      <c r="O244" t="str">
        <f t="shared" si="3"/>
        <v>Dark</v>
      </c>
      <c r="P244" t="str">
        <f>INDEX(customers!$I$1:$I$1001, MATCH(Orders[[#This Row],[Customer ID]], customers!$A$1:$A$1001, 0))</f>
        <v>Yes</v>
      </c>
    </row>
    <row r="245" spans="1:16" x14ac:dyDescent="0.25">
      <c r="A245" s="2" t="s">
        <v>1860</v>
      </c>
      <c r="B245" s="3">
        <v>44114</v>
      </c>
      <c r="C245" s="2" t="s">
        <v>1861</v>
      </c>
      <c r="D245" t="s">
        <v>6144</v>
      </c>
      <c r="E245" s="2">
        <v>4</v>
      </c>
      <c r="F245" s="2" t="str">
        <f>IFERROR(INDEX(customers!B$1:B$1001, MATCH(C245, customers!A$1:A$1001, 0)), "Not Found")</f>
        <v>Tammie Drynan</v>
      </c>
      <c r="G245" s="2" t="str">
        <f>IF(IFERROR(INDEX(customers!C$1:C$1001, MATCH(C245, customers!A$1:A$1001, 0)), "Not Found")=0,"",IFERROR(INDEX(customers!C$1:C$1001, MATCH(C245, customers!A$1:A$1001, 0)), "Not Found"))</f>
        <v>tdrynan6r@deviantart.com</v>
      </c>
      <c r="H245" s="2" t="str">
        <f>IFERROR(INDEX(customers!G$1:G$1001, MATCH(C245, customers!A$1:A$1001, 0)), "Not Found")</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L245*E245</f>
        <v>29.16</v>
      </c>
      <c r="N245" t="str">
        <f>IF(I245="Rob","Robusta",IF(I245="Exc","Excelsa",IF(I245="Ara","Arabica",IF(I245="Lib","Laberica",""))))</f>
        <v>Excelsa</v>
      </c>
      <c r="O245" t="str">
        <f t="shared" si="3"/>
        <v>Dark</v>
      </c>
      <c r="P245" t="str">
        <f>INDEX(customers!$I$1:$I$1001, MATCH(Orders[[#This Row],[Customer ID]], customers!$A$1:$A$1001, 0))</f>
        <v>Yes</v>
      </c>
    </row>
    <row r="246" spans="1:16" x14ac:dyDescent="0.25">
      <c r="A246" s="2" t="s">
        <v>1866</v>
      </c>
      <c r="B246" s="3">
        <v>44702</v>
      </c>
      <c r="C246" s="2" t="s">
        <v>1867</v>
      </c>
      <c r="D246" t="s">
        <v>6181</v>
      </c>
      <c r="E246" s="2">
        <v>4</v>
      </c>
      <c r="F246" s="2" t="str">
        <f>IFERROR(INDEX(customers!B$1:B$1001, MATCH(C246, customers!A$1:A$1001, 0)), "Not Found")</f>
        <v>Effie Yurkov</v>
      </c>
      <c r="G246" s="2" t="str">
        <f>IF(IFERROR(INDEX(customers!C$1:C$1001, MATCH(C246, customers!A$1:A$1001, 0)), "Not Found")=0,"",IFERROR(INDEX(customers!C$1:C$1001, MATCH(C246, customers!A$1:A$1001, 0)), "Not Found"))</f>
        <v>eyurkov6s@hud.gov</v>
      </c>
      <c r="H246" s="2" t="str">
        <f>IFERROR(INDEX(customers!G$1:G$1001, MATCH(C246, customers!A$1:A$1001, 0)), "Not Found")</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L246*E246</f>
        <v>133.85999999999999</v>
      </c>
      <c r="N246" t="str">
        <f>IF(I246="Rob","Robusta",IF(I246="Exc","Excelsa",IF(I246="Ara","Arabica",IF(I246="Lib","Laberica",""))))</f>
        <v>Laberica</v>
      </c>
      <c r="O246" t="str">
        <f t="shared" si="3"/>
        <v>Medium</v>
      </c>
      <c r="P246" t="str">
        <f>INDEX(customers!$I$1:$I$1001, MATCH(Orders[[#This Row],[Customer ID]], customers!$A$1:$A$1001, 0))</f>
        <v>No</v>
      </c>
    </row>
    <row r="247" spans="1:16" x14ac:dyDescent="0.25">
      <c r="A247" s="2" t="s">
        <v>1872</v>
      </c>
      <c r="B247" s="3">
        <v>43951</v>
      </c>
      <c r="C247" s="2" t="s">
        <v>1873</v>
      </c>
      <c r="D247" t="s">
        <v>6145</v>
      </c>
      <c r="E247" s="2">
        <v>5</v>
      </c>
      <c r="F247" s="2" t="str">
        <f>IFERROR(INDEX(customers!B$1:B$1001, MATCH(C247, customers!A$1:A$1001, 0)), "Not Found")</f>
        <v>Lexie Mallan</v>
      </c>
      <c r="G247" s="2" t="str">
        <f>IF(IFERROR(INDEX(customers!C$1:C$1001, MATCH(C247, customers!A$1:A$1001, 0)), "Not Found")=0,"",IFERROR(INDEX(customers!C$1:C$1001, MATCH(C247, customers!A$1:A$1001, 0)), "Not Found"))</f>
        <v>lmallan6t@state.gov</v>
      </c>
      <c r="H247" s="2" t="str">
        <f>IFERROR(INDEX(customers!G$1:G$1001, MATCH(C247, customers!A$1:A$1001, 0)), "Not Found")</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L247*E247</f>
        <v>23.774999999999999</v>
      </c>
      <c r="N247" t="str">
        <f>IF(I247="Rob","Robusta",IF(I247="Exc","Excelsa",IF(I247="Ara","Arabica",IF(I247="Lib","Laberica",""))))</f>
        <v>Laberica</v>
      </c>
      <c r="O247" t="str">
        <f t="shared" si="3"/>
        <v>Light</v>
      </c>
      <c r="P247" t="str">
        <f>INDEX(customers!$I$1:$I$1001, MATCH(Orders[[#This Row],[Customer ID]], customers!$A$1:$A$1001, 0))</f>
        <v>Yes</v>
      </c>
    </row>
    <row r="248" spans="1:16" x14ac:dyDescent="0.25">
      <c r="A248" s="2" t="s">
        <v>1878</v>
      </c>
      <c r="B248" s="3">
        <v>44542</v>
      </c>
      <c r="C248" s="2" t="s">
        <v>1879</v>
      </c>
      <c r="D248" t="s">
        <v>6143</v>
      </c>
      <c r="E248" s="2">
        <v>3</v>
      </c>
      <c r="F248" s="2" t="str">
        <f>IFERROR(INDEX(customers!B$1:B$1001, MATCH(C248, customers!A$1:A$1001, 0)), "Not Found")</f>
        <v>Georgena Bentjens</v>
      </c>
      <c r="G248" s="2" t="str">
        <f>IF(IFERROR(INDEX(customers!C$1:C$1001, MATCH(C248, customers!A$1:A$1001, 0)), "Not Found")=0,"",IFERROR(INDEX(customers!C$1:C$1001, MATCH(C248, customers!A$1:A$1001, 0)), "Not Found"))</f>
        <v>gbentjens6u@netlog.com</v>
      </c>
      <c r="H248" s="2" t="str">
        <f>IFERROR(INDEX(customers!G$1:G$1001, MATCH(C248, customers!A$1:A$1001, 0)), "Not Found")</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L248*E248</f>
        <v>38.849999999999994</v>
      </c>
      <c r="N248" t="str">
        <f>IF(I248="Rob","Robusta",IF(I248="Exc","Excelsa",IF(I248="Ara","Arabica",IF(I248="Lib","Laberica",""))))</f>
        <v>Laberica</v>
      </c>
      <c r="O248" t="str">
        <f t="shared" si="3"/>
        <v>Dark</v>
      </c>
      <c r="P248" t="str">
        <f>INDEX(customers!$I$1:$I$1001, MATCH(Orders[[#This Row],[Customer ID]], customers!$A$1:$A$1001, 0))</f>
        <v>No</v>
      </c>
    </row>
    <row r="249" spans="1:16" x14ac:dyDescent="0.25">
      <c r="A249" s="2" t="s">
        <v>1884</v>
      </c>
      <c r="B249" s="3">
        <v>44131</v>
      </c>
      <c r="C249" s="2" t="s">
        <v>1885</v>
      </c>
      <c r="D249" t="s">
        <v>6178</v>
      </c>
      <c r="E249" s="2">
        <v>6</v>
      </c>
      <c r="F249" s="2" t="str">
        <f>IFERROR(INDEX(customers!B$1:B$1001, MATCH(C249, customers!A$1:A$1001, 0)), "Not Found")</f>
        <v>Delmar Beasant</v>
      </c>
      <c r="G249" s="2" t="str">
        <f>IF(IFERROR(INDEX(customers!C$1:C$1001, MATCH(C249, customers!A$1:A$1001, 0)), "Not Found")=0,"",IFERROR(INDEX(customers!C$1:C$1001, MATCH(C249, customers!A$1:A$1001, 0)), "Not Found"))</f>
        <v/>
      </c>
      <c r="H249" s="2" t="str">
        <f>IFERROR(INDEX(customers!G$1:G$1001, MATCH(C249, customers!A$1:A$1001, 0)), "Not Found")</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L249*E249</f>
        <v>21.509999999999998</v>
      </c>
      <c r="N249" t="str">
        <f>IF(I249="Rob","Robusta",IF(I249="Exc","Excelsa",IF(I249="Ara","Arabica",IF(I249="Lib","Laberica",""))))</f>
        <v>Robusta</v>
      </c>
      <c r="O249" t="str">
        <f t="shared" si="3"/>
        <v>Light</v>
      </c>
      <c r="P249" t="str">
        <f>INDEX(customers!$I$1:$I$1001, MATCH(Orders[[#This Row],[Customer ID]], customers!$A$1:$A$1001, 0))</f>
        <v>Yes</v>
      </c>
    </row>
    <row r="250" spans="1:16" x14ac:dyDescent="0.25">
      <c r="A250" s="2" t="s">
        <v>1889</v>
      </c>
      <c r="B250" s="3">
        <v>44019</v>
      </c>
      <c r="C250" s="2" t="s">
        <v>1890</v>
      </c>
      <c r="D250" t="s">
        <v>6147</v>
      </c>
      <c r="E250" s="2">
        <v>1</v>
      </c>
      <c r="F250" s="2" t="str">
        <f>IFERROR(INDEX(customers!B$1:B$1001, MATCH(C250, customers!A$1:A$1001, 0)), "Not Found")</f>
        <v>Lyn Entwistle</v>
      </c>
      <c r="G250" s="2" t="str">
        <f>IF(IFERROR(INDEX(customers!C$1:C$1001, MATCH(C250, customers!A$1:A$1001, 0)), "Not Found")=0,"",IFERROR(INDEX(customers!C$1:C$1001, MATCH(C250, customers!A$1:A$1001, 0)), "Not Found"))</f>
        <v>lentwistle6w@omniture.com</v>
      </c>
      <c r="H250" s="2" t="str">
        <f>IFERROR(INDEX(customers!G$1:G$1001, MATCH(C250, customers!A$1:A$1001, 0)), "Not Found")</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L250*E250</f>
        <v>9.9499999999999993</v>
      </c>
      <c r="N250" t="str">
        <f>IF(I250="Rob","Robusta",IF(I250="Exc","Excelsa",IF(I250="Ara","Arabica",IF(I250="Lib","Laberica",""))))</f>
        <v>Arabica</v>
      </c>
      <c r="O250" t="str">
        <f t="shared" si="3"/>
        <v>Dark</v>
      </c>
      <c r="P250" t="str">
        <f>INDEX(customers!$I$1:$I$1001, MATCH(Orders[[#This Row],[Customer ID]], customers!$A$1:$A$1001, 0))</f>
        <v>Yes</v>
      </c>
    </row>
    <row r="251" spans="1:16" x14ac:dyDescent="0.25">
      <c r="A251" s="2" t="s">
        <v>1895</v>
      </c>
      <c r="B251" s="3">
        <v>43861</v>
      </c>
      <c r="C251" s="2" t="s">
        <v>1935</v>
      </c>
      <c r="D251" t="s">
        <v>6170</v>
      </c>
      <c r="E251" s="2">
        <v>1</v>
      </c>
      <c r="F251" s="2" t="str">
        <f>IFERROR(INDEX(customers!B$1:B$1001, MATCH(C251, customers!A$1:A$1001, 0)), "Not Found")</f>
        <v>Zacharias Kiffe</v>
      </c>
      <c r="G251" s="2" t="str">
        <f>IF(IFERROR(INDEX(customers!C$1:C$1001, MATCH(C251, customers!A$1:A$1001, 0)), "Not Found")=0,"",IFERROR(INDEX(customers!C$1:C$1001, MATCH(C251, customers!A$1:A$1001, 0)), "Not Found"))</f>
        <v>zkiffe74@cyberchimps.com</v>
      </c>
      <c r="H251" s="2" t="str">
        <f>IFERROR(INDEX(customers!G$1:G$1001, MATCH(C251, customers!A$1:A$1001, 0)), "Not Found")</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L251*E251</f>
        <v>15.85</v>
      </c>
      <c r="N251" t="str">
        <f>IF(I251="Rob","Robusta",IF(I251="Exc","Excelsa",IF(I251="Ara","Arabica",IF(I251="Lib","Laberica",""))))</f>
        <v>Laberica</v>
      </c>
      <c r="O251" t="str">
        <f t="shared" si="3"/>
        <v>Light</v>
      </c>
      <c r="P251" t="str">
        <f>INDEX(customers!$I$1:$I$1001, MATCH(Orders[[#This Row],[Customer ID]], customers!$A$1:$A$1001, 0))</f>
        <v>Yes</v>
      </c>
    </row>
    <row r="252" spans="1:16" x14ac:dyDescent="0.25">
      <c r="A252" s="2" t="s">
        <v>1900</v>
      </c>
      <c r="B252" s="3">
        <v>43879</v>
      </c>
      <c r="C252" s="2" t="s">
        <v>1901</v>
      </c>
      <c r="D252" t="s">
        <v>6174</v>
      </c>
      <c r="E252" s="2">
        <v>1</v>
      </c>
      <c r="F252" s="2" t="str">
        <f>IFERROR(INDEX(customers!B$1:B$1001, MATCH(C252, customers!A$1:A$1001, 0)), "Not Found")</f>
        <v>Mercedes Acott</v>
      </c>
      <c r="G252" s="2" t="str">
        <f>IF(IFERROR(INDEX(customers!C$1:C$1001, MATCH(C252, customers!A$1:A$1001, 0)), "Not Found")=0,"",IFERROR(INDEX(customers!C$1:C$1001, MATCH(C252, customers!A$1:A$1001, 0)), "Not Found"))</f>
        <v>macott6y@pagesperso-orange.fr</v>
      </c>
      <c r="H252" s="2" t="str">
        <f>IFERROR(INDEX(customers!G$1:G$1001, MATCH(C252, customers!A$1:A$1001, 0)), "Not Found")</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L252*E252</f>
        <v>2.9849999999999999</v>
      </c>
      <c r="N252" t="str">
        <f>IF(I252="Rob","Robusta",IF(I252="Exc","Excelsa",IF(I252="Ara","Arabica",IF(I252="Lib","Laberica",""))))</f>
        <v>Robusta</v>
      </c>
      <c r="O252" t="str">
        <f t="shared" si="3"/>
        <v>Medium</v>
      </c>
      <c r="P252" t="str">
        <f>INDEX(customers!$I$1:$I$1001, MATCH(Orders[[#This Row],[Customer ID]], customers!$A$1:$A$1001, 0))</f>
        <v>Yes</v>
      </c>
    </row>
    <row r="253" spans="1:16" x14ac:dyDescent="0.25">
      <c r="A253" s="2" t="s">
        <v>1906</v>
      </c>
      <c r="B253" s="3">
        <v>44360</v>
      </c>
      <c r="C253" s="2" t="s">
        <v>1907</v>
      </c>
      <c r="D253" t="s">
        <v>6141</v>
      </c>
      <c r="E253" s="2">
        <v>5</v>
      </c>
      <c r="F253" s="2" t="str">
        <f>IFERROR(INDEX(customers!B$1:B$1001, MATCH(C253, customers!A$1:A$1001, 0)), "Not Found")</f>
        <v>Connor Heaviside</v>
      </c>
      <c r="G253" s="2" t="str">
        <f>IF(IFERROR(INDEX(customers!C$1:C$1001, MATCH(C253, customers!A$1:A$1001, 0)), "Not Found")=0,"",IFERROR(INDEX(customers!C$1:C$1001, MATCH(C253, customers!A$1:A$1001, 0)), "Not Found"))</f>
        <v>cheaviside6z@rediff.com</v>
      </c>
      <c r="H253" s="2" t="str">
        <f>IFERROR(INDEX(customers!G$1:G$1001, MATCH(C253, customers!A$1:A$1001, 0)), "Not Found")</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L253*E253</f>
        <v>68.75</v>
      </c>
      <c r="N253" t="str">
        <f>IF(I253="Rob","Robusta",IF(I253="Exc","Excelsa",IF(I253="Ara","Arabica",IF(I253="Lib","Laberica",""))))</f>
        <v>Excelsa</v>
      </c>
      <c r="O253" t="str">
        <f t="shared" si="3"/>
        <v>Medium</v>
      </c>
      <c r="P253" t="str">
        <f>INDEX(customers!$I$1:$I$1001, MATCH(Orders[[#This Row],[Customer ID]], customers!$A$1:$A$1001, 0))</f>
        <v>Yes</v>
      </c>
    </row>
    <row r="254" spans="1:16" x14ac:dyDescent="0.25">
      <c r="A254" s="2" t="s">
        <v>1912</v>
      </c>
      <c r="B254" s="3">
        <v>44779</v>
      </c>
      <c r="C254" s="2" t="s">
        <v>1913</v>
      </c>
      <c r="D254" t="s">
        <v>6147</v>
      </c>
      <c r="E254" s="2">
        <v>3</v>
      </c>
      <c r="F254" s="2" t="str">
        <f>IFERROR(INDEX(customers!B$1:B$1001, MATCH(C254, customers!A$1:A$1001, 0)), "Not Found")</f>
        <v>Devy Bulbrook</v>
      </c>
      <c r="G254" s="2" t="str">
        <f>IF(IFERROR(INDEX(customers!C$1:C$1001, MATCH(C254, customers!A$1:A$1001, 0)), "Not Found")=0,"",IFERROR(INDEX(customers!C$1:C$1001, MATCH(C254, customers!A$1:A$1001, 0)), "Not Found"))</f>
        <v/>
      </c>
      <c r="H254" s="2" t="str">
        <f>IFERROR(INDEX(customers!G$1:G$1001, MATCH(C254, customers!A$1:A$1001, 0)), "Not Found")</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L254*E254</f>
        <v>29.849999999999998</v>
      </c>
      <c r="N254" t="str">
        <f>IF(I254="Rob","Robusta",IF(I254="Exc","Excelsa",IF(I254="Ara","Arabica",IF(I254="Lib","Laberica",""))))</f>
        <v>Arabica</v>
      </c>
      <c r="O254" t="str">
        <f t="shared" si="3"/>
        <v>Dark</v>
      </c>
      <c r="P254" t="str">
        <f>INDEX(customers!$I$1:$I$1001, MATCH(Orders[[#This Row],[Customer ID]], customers!$A$1:$A$1001, 0))</f>
        <v>No</v>
      </c>
    </row>
    <row r="255" spans="1:16" x14ac:dyDescent="0.25">
      <c r="A255" s="2" t="s">
        <v>1917</v>
      </c>
      <c r="B255" s="3">
        <v>44523</v>
      </c>
      <c r="C255" s="2" t="s">
        <v>1918</v>
      </c>
      <c r="D255" t="s">
        <v>6162</v>
      </c>
      <c r="E255" s="2">
        <v>4</v>
      </c>
      <c r="F255" s="2" t="str">
        <f>IFERROR(INDEX(customers!B$1:B$1001, MATCH(C255, customers!A$1:A$1001, 0)), "Not Found")</f>
        <v>Leia Kernan</v>
      </c>
      <c r="G255" s="2" t="str">
        <f>IF(IFERROR(INDEX(customers!C$1:C$1001, MATCH(C255, customers!A$1:A$1001, 0)), "Not Found")=0,"",IFERROR(INDEX(customers!C$1:C$1001, MATCH(C255, customers!A$1:A$1001, 0)), "Not Found"))</f>
        <v>lkernan71@wsj.com</v>
      </c>
      <c r="H255" s="2" t="str">
        <f>IFERROR(INDEX(customers!G$1:G$1001, MATCH(C255, customers!A$1:A$1001, 0)), "Not Found")</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L255*E255</f>
        <v>58.2</v>
      </c>
      <c r="N255" t="str">
        <f>IF(I255="Rob","Robusta",IF(I255="Exc","Excelsa",IF(I255="Ara","Arabica",IF(I255="Lib","Laberica",""))))</f>
        <v>Laberica</v>
      </c>
      <c r="O255" t="str">
        <f t="shared" si="3"/>
        <v>Medium</v>
      </c>
      <c r="P255" t="str">
        <f>INDEX(customers!$I$1:$I$1001, MATCH(Orders[[#This Row],[Customer ID]], customers!$A$1:$A$1001, 0))</f>
        <v>No</v>
      </c>
    </row>
    <row r="256" spans="1:16" x14ac:dyDescent="0.25">
      <c r="A256" s="2" t="s">
        <v>1923</v>
      </c>
      <c r="B256" s="3">
        <v>44482</v>
      </c>
      <c r="C256" s="2" t="s">
        <v>1924</v>
      </c>
      <c r="D256" t="s">
        <v>6173</v>
      </c>
      <c r="E256" s="2">
        <v>4</v>
      </c>
      <c r="F256" s="2" t="str">
        <f>IFERROR(INDEX(customers!B$1:B$1001, MATCH(C256, customers!A$1:A$1001, 0)), "Not Found")</f>
        <v>Rosaline McLae</v>
      </c>
      <c r="G256" s="2" t="str">
        <f>IF(IFERROR(INDEX(customers!C$1:C$1001, MATCH(C256, customers!A$1:A$1001, 0)), "Not Found")=0,"",IFERROR(INDEX(customers!C$1:C$1001, MATCH(C256, customers!A$1:A$1001, 0)), "Not Found"))</f>
        <v>rmclae72@dailymotion.com</v>
      </c>
      <c r="H256" s="2" t="str">
        <f>IFERROR(INDEX(customers!G$1:G$1001, MATCH(C256, customers!A$1:A$1001, 0)), "Not Found")</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L256*E256</f>
        <v>28.679999999999996</v>
      </c>
      <c r="N256" t="str">
        <f>IF(I256="Rob","Robusta",IF(I256="Exc","Excelsa",IF(I256="Ara","Arabica",IF(I256="Lib","Laberica",""))))</f>
        <v>Robusta</v>
      </c>
      <c r="O256" t="str">
        <f t="shared" si="3"/>
        <v>Light</v>
      </c>
      <c r="P256" t="str">
        <f>INDEX(customers!$I$1:$I$1001, MATCH(Orders[[#This Row],[Customer ID]], customers!$A$1:$A$1001, 0))</f>
        <v>No</v>
      </c>
    </row>
    <row r="257" spans="1:16" x14ac:dyDescent="0.25">
      <c r="A257" s="2" t="s">
        <v>1928</v>
      </c>
      <c r="B257" s="3">
        <v>44439</v>
      </c>
      <c r="C257" s="2" t="s">
        <v>1929</v>
      </c>
      <c r="D257" t="s">
        <v>6173</v>
      </c>
      <c r="E257" s="2">
        <v>3</v>
      </c>
      <c r="F257" s="2" t="str">
        <f>IFERROR(INDEX(customers!B$1:B$1001, MATCH(C257, customers!A$1:A$1001, 0)), "Not Found")</f>
        <v>Cleve Blowfelde</v>
      </c>
      <c r="G257" s="2" t="str">
        <f>IF(IFERROR(INDEX(customers!C$1:C$1001, MATCH(C257, customers!A$1:A$1001, 0)), "Not Found")=0,"",IFERROR(INDEX(customers!C$1:C$1001, MATCH(C257, customers!A$1:A$1001, 0)), "Not Found"))</f>
        <v>cblowfelde73@ustream.tv</v>
      </c>
      <c r="H257" s="2" t="str">
        <f>IFERROR(INDEX(customers!G$1:G$1001, MATCH(C257, customers!A$1:A$1001, 0)), "Not Found")</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L257*E257</f>
        <v>21.509999999999998</v>
      </c>
      <c r="N257" t="str">
        <f>IF(I257="Rob","Robusta",IF(I257="Exc","Excelsa",IF(I257="Ara","Arabica",IF(I257="Lib","Laberica",""))))</f>
        <v>Robusta</v>
      </c>
      <c r="O257" t="str">
        <f t="shared" si="3"/>
        <v>Light</v>
      </c>
      <c r="P257" t="str">
        <f>INDEX(customers!$I$1:$I$1001, MATCH(Orders[[#This Row],[Customer ID]], customers!$A$1:$A$1001, 0))</f>
        <v>No</v>
      </c>
    </row>
    <row r="258" spans="1:16" x14ac:dyDescent="0.25">
      <c r="A258" s="2" t="s">
        <v>1934</v>
      </c>
      <c r="B258" s="3">
        <v>43846</v>
      </c>
      <c r="C258" s="2" t="s">
        <v>1935</v>
      </c>
      <c r="D258" t="s">
        <v>6160</v>
      </c>
      <c r="E258" s="2">
        <v>2</v>
      </c>
      <c r="F258" s="2" t="str">
        <f>IFERROR(INDEX(customers!B$1:B$1001, MATCH(C258, customers!A$1:A$1001, 0)), "Not Found")</f>
        <v>Zacharias Kiffe</v>
      </c>
      <c r="G258" s="2" t="str">
        <f>IF(IFERROR(INDEX(customers!C$1:C$1001, MATCH(C258, customers!A$1:A$1001, 0)), "Not Found")=0,"",IFERROR(INDEX(customers!C$1:C$1001, MATCH(C258, customers!A$1:A$1001, 0)), "Not Found"))</f>
        <v>zkiffe74@cyberchimps.com</v>
      </c>
      <c r="H258" s="2" t="str">
        <f>IFERROR(INDEX(customers!G$1:G$1001, MATCH(C258, customers!A$1:A$1001, 0)), "Not Found")</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L258*E258</f>
        <v>17.46</v>
      </c>
      <c r="N258" t="str">
        <f>IF(I258="Rob","Robusta",IF(I258="Exc","Excelsa",IF(I258="Ara","Arabica",IF(I258="Lib","Laberica",""))))</f>
        <v>Laberica</v>
      </c>
      <c r="O258" t="str">
        <f t="shared" si="3"/>
        <v>Medium</v>
      </c>
      <c r="P258" t="str">
        <f>INDEX(customers!$I$1:$I$1001, MATCH(Orders[[#This Row],[Customer ID]], customers!$A$1:$A$1001, 0))</f>
        <v>Yes</v>
      </c>
    </row>
    <row r="259" spans="1:16" x14ac:dyDescent="0.25">
      <c r="A259" s="2" t="s">
        <v>1940</v>
      </c>
      <c r="B259" s="3">
        <v>44676</v>
      </c>
      <c r="C259" s="2" t="s">
        <v>1941</v>
      </c>
      <c r="D259" t="s">
        <v>6185</v>
      </c>
      <c r="E259" s="2">
        <v>1</v>
      </c>
      <c r="F259" s="2" t="str">
        <f>IFERROR(INDEX(customers!B$1:B$1001, MATCH(C259, customers!A$1:A$1001, 0)), "Not Found")</f>
        <v>Denyse O'Calleran</v>
      </c>
      <c r="G259" s="2" t="str">
        <f>IF(IFERROR(INDEX(customers!C$1:C$1001, MATCH(C259, customers!A$1:A$1001, 0)), "Not Found")=0,"",IFERROR(INDEX(customers!C$1:C$1001, MATCH(C259, customers!A$1:A$1001, 0)), "Not Found"))</f>
        <v>docalleran75@ucla.edu</v>
      </c>
      <c r="H259" s="2" t="str">
        <f>IFERROR(INDEX(customers!G$1:G$1001, MATCH(C259, customers!A$1:A$1001, 0)), "Not Found")</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L259*E259</f>
        <v>27.945</v>
      </c>
      <c r="N259" t="str">
        <f>IF(I259="Rob","Robusta",IF(I259="Exc","Excelsa",IF(I259="Ara","Arabica",IF(I259="Lib","Laberica",""))))</f>
        <v>Excelsa</v>
      </c>
      <c r="O259" t="str">
        <f t="shared" ref="O259:O322" si="4">IF(J259="M","Medium",IF(J259="L","Light",IF(J259="D","Dark","")))</f>
        <v>Dark</v>
      </c>
      <c r="P259" t="str">
        <f>INDEX(customers!$I$1:$I$1001, MATCH(Orders[[#This Row],[Customer ID]], customers!$A$1:$A$1001, 0))</f>
        <v>Yes</v>
      </c>
    </row>
    <row r="260" spans="1:16" x14ac:dyDescent="0.25">
      <c r="A260" s="2" t="s">
        <v>1946</v>
      </c>
      <c r="B260" s="3">
        <v>44513</v>
      </c>
      <c r="C260" s="2" t="s">
        <v>1947</v>
      </c>
      <c r="D260" t="s">
        <v>6185</v>
      </c>
      <c r="E260" s="2">
        <v>5</v>
      </c>
      <c r="F260" s="2" t="str">
        <f>IFERROR(INDEX(customers!B$1:B$1001, MATCH(C260, customers!A$1:A$1001, 0)), "Not Found")</f>
        <v>Cobby Cromwell</v>
      </c>
      <c r="G260" s="2" t="str">
        <f>IF(IFERROR(INDEX(customers!C$1:C$1001, MATCH(C260, customers!A$1:A$1001, 0)), "Not Found")=0,"",IFERROR(INDEX(customers!C$1:C$1001, MATCH(C260, customers!A$1:A$1001, 0)), "Not Found"))</f>
        <v>ccromwell76@desdev.cn</v>
      </c>
      <c r="H260" s="2" t="str">
        <f>IFERROR(INDEX(customers!G$1:G$1001, MATCH(C260, customers!A$1:A$1001, 0)), "Not Found")</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L260*E260</f>
        <v>139.72499999999999</v>
      </c>
      <c r="N260" t="str">
        <f>IF(I260="Rob","Robusta",IF(I260="Exc","Excelsa",IF(I260="Ara","Arabica",IF(I260="Lib","Laberica",""))))</f>
        <v>Excelsa</v>
      </c>
      <c r="O260" t="str">
        <f t="shared" si="4"/>
        <v>Dark</v>
      </c>
      <c r="P260" t="str">
        <f>INDEX(customers!$I$1:$I$1001, MATCH(Orders[[#This Row],[Customer ID]], customers!$A$1:$A$1001, 0))</f>
        <v>No</v>
      </c>
    </row>
    <row r="261" spans="1:16" x14ac:dyDescent="0.25">
      <c r="A261" s="2" t="s">
        <v>1952</v>
      </c>
      <c r="B261" s="3">
        <v>44355</v>
      </c>
      <c r="C261" s="2" t="s">
        <v>1953</v>
      </c>
      <c r="D261" t="s">
        <v>6174</v>
      </c>
      <c r="E261" s="2">
        <v>2</v>
      </c>
      <c r="F261" s="2" t="str">
        <f>IFERROR(INDEX(customers!B$1:B$1001, MATCH(C261, customers!A$1:A$1001, 0)), "Not Found")</f>
        <v>Irv Hay</v>
      </c>
      <c r="G261" s="2" t="str">
        <f>IF(IFERROR(INDEX(customers!C$1:C$1001, MATCH(C261, customers!A$1:A$1001, 0)), "Not Found")=0,"",IFERROR(INDEX(customers!C$1:C$1001, MATCH(C261, customers!A$1:A$1001, 0)), "Not Found"))</f>
        <v>ihay77@lulu.com</v>
      </c>
      <c r="H261" s="2" t="str">
        <f>IFERROR(INDEX(customers!G$1:G$1001, MATCH(C261, customers!A$1:A$1001, 0)), "Not Found")</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L261*E261</f>
        <v>5.97</v>
      </c>
      <c r="N261" t="str">
        <f>IF(I261="Rob","Robusta",IF(I261="Exc","Excelsa",IF(I261="Ara","Arabica",IF(I261="Lib","Laberica",""))))</f>
        <v>Robusta</v>
      </c>
      <c r="O261" t="str">
        <f t="shared" si="4"/>
        <v>Medium</v>
      </c>
      <c r="P261" t="str">
        <f>INDEX(customers!$I$1:$I$1001, MATCH(Orders[[#This Row],[Customer ID]], customers!$A$1:$A$1001, 0))</f>
        <v>No</v>
      </c>
    </row>
    <row r="262" spans="1:16" x14ac:dyDescent="0.25">
      <c r="A262" s="2" t="s">
        <v>1958</v>
      </c>
      <c r="B262" s="3">
        <v>44156</v>
      </c>
      <c r="C262" s="2" t="s">
        <v>1959</v>
      </c>
      <c r="D262" t="s">
        <v>6142</v>
      </c>
      <c r="E262" s="2">
        <v>1</v>
      </c>
      <c r="F262" s="2" t="str">
        <f>IFERROR(INDEX(customers!B$1:B$1001, MATCH(C262, customers!A$1:A$1001, 0)), "Not Found")</f>
        <v>Tani Taffarello</v>
      </c>
      <c r="G262" s="2" t="str">
        <f>IF(IFERROR(INDEX(customers!C$1:C$1001, MATCH(C262, customers!A$1:A$1001, 0)), "Not Found")=0,"",IFERROR(INDEX(customers!C$1:C$1001, MATCH(C262, customers!A$1:A$1001, 0)), "Not Found"))</f>
        <v>ttaffarello78@sciencedaily.com</v>
      </c>
      <c r="H262" s="2" t="str">
        <f>IFERROR(INDEX(customers!G$1:G$1001, MATCH(C262, customers!A$1:A$1001, 0)), "Not Found")</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L262*E262</f>
        <v>27.484999999999996</v>
      </c>
      <c r="N262" t="str">
        <f>IF(I262="Rob","Robusta",IF(I262="Exc","Excelsa",IF(I262="Ara","Arabica",IF(I262="Lib","Laberica",""))))</f>
        <v>Robusta</v>
      </c>
      <c r="O262" t="str">
        <f t="shared" si="4"/>
        <v>Light</v>
      </c>
      <c r="P262" t="str">
        <f>INDEX(customers!$I$1:$I$1001, MATCH(Orders[[#This Row],[Customer ID]], customers!$A$1:$A$1001, 0))</f>
        <v>Yes</v>
      </c>
    </row>
    <row r="263" spans="1:16" x14ac:dyDescent="0.25">
      <c r="A263" s="2" t="s">
        <v>1963</v>
      </c>
      <c r="B263" s="3">
        <v>43538</v>
      </c>
      <c r="C263" s="2" t="s">
        <v>1964</v>
      </c>
      <c r="D263" t="s">
        <v>6179</v>
      </c>
      <c r="E263" s="2">
        <v>5</v>
      </c>
      <c r="F263" s="2" t="str">
        <f>IFERROR(INDEX(customers!B$1:B$1001, MATCH(C263, customers!A$1:A$1001, 0)), "Not Found")</f>
        <v>Monique Canty</v>
      </c>
      <c r="G263" s="2" t="str">
        <f>IF(IFERROR(INDEX(customers!C$1:C$1001, MATCH(C263, customers!A$1:A$1001, 0)), "Not Found")=0,"",IFERROR(INDEX(customers!C$1:C$1001, MATCH(C263, customers!A$1:A$1001, 0)), "Not Found"))</f>
        <v>mcanty79@jigsy.com</v>
      </c>
      <c r="H263" s="2" t="str">
        <f>IFERROR(INDEX(customers!G$1:G$1001, MATCH(C263, customers!A$1:A$1001, 0)), "Not Found")</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L263*E263</f>
        <v>59.75</v>
      </c>
      <c r="N263" t="str">
        <f>IF(I263="Rob","Robusta",IF(I263="Exc","Excelsa",IF(I263="Ara","Arabica",IF(I263="Lib","Laberica",""))))</f>
        <v>Robusta</v>
      </c>
      <c r="O263" t="str">
        <f t="shared" si="4"/>
        <v>Light</v>
      </c>
      <c r="P263" t="str">
        <f>INDEX(customers!$I$1:$I$1001, MATCH(Orders[[#This Row],[Customer ID]], customers!$A$1:$A$1001, 0))</f>
        <v>Yes</v>
      </c>
    </row>
    <row r="264" spans="1:16" x14ac:dyDescent="0.25">
      <c r="A264" s="2" t="s">
        <v>1969</v>
      </c>
      <c r="B264" s="3">
        <v>43693</v>
      </c>
      <c r="C264" s="2" t="s">
        <v>1970</v>
      </c>
      <c r="D264" t="s">
        <v>6141</v>
      </c>
      <c r="E264" s="2">
        <v>3</v>
      </c>
      <c r="F264" s="2" t="str">
        <f>IFERROR(INDEX(customers!B$1:B$1001, MATCH(C264, customers!A$1:A$1001, 0)), "Not Found")</f>
        <v>Javier Kopke</v>
      </c>
      <c r="G264" s="2" t="str">
        <f>IF(IFERROR(INDEX(customers!C$1:C$1001, MATCH(C264, customers!A$1:A$1001, 0)), "Not Found")=0,"",IFERROR(INDEX(customers!C$1:C$1001, MATCH(C264, customers!A$1:A$1001, 0)), "Not Found"))</f>
        <v>jkopke7a@auda.org.au</v>
      </c>
      <c r="H264" s="2" t="str">
        <f>IFERROR(INDEX(customers!G$1:G$1001, MATCH(C264, customers!A$1:A$1001, 0)), "Not Found")</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L264*E264</f>
        <v>41.25</v>
      </c>
      <c r="N264" t="str">
        <f>IF(I264="Rob","Robusta",IF(I264="Exc","Excelsa",IF(I264="Ara","Arabica",IF(I264="Lib","Laberica",""))))</f>
        <v>Excelsa</v>
      </c>
      <c r="O264" t="str">
        <f t="shared" si="4"/>
        <v>Medium</v>
      </c>
      <c r="P264" t="str">
        <f>INDEX(customers!$I$1:$I$1001, MATCH(Orders[[#This Row],[Customer ID]], customers!$A$1:$A$1001, 0))</f>
        <v>No</v>
      </c>
    </row>
    <row r="265" spans="1:16" x14ac:dyDescent="0.25">
      <c r="A265" s="2" t="s">
        <v>1975</v>
      </c>
      <c r="B265" s="3">
        <v>43577</v>
      </c>
      <c r="C265" s="2" t="s">
        <v>1976</v>
      </c>
      <c r="D265" t="s">
        <v>6181</v>
      </c>
      <c r="E265" s="2">
        <v>4</v>
      </c>
      <c r="F265" s="2" t="str">
        <f>IFERROR(INDEX(customers!B$1:B$1001, MATCH(C265, customers!A$1:A$1001, 0)), "Not Found")</f>
        <v>Mar McIver</v>
      </c>
      <c r="G265" s="2" t="str">
        <f>IF(IFERROR(INDEX(customers!C$1:C$1001, MATCH(C265, customers!A$1:A$1001, 0)), "Not Found")=0,"",IFERROR(INDEX(customers!C$1:C$1001, MATCH(C265, customers!A$1:A$1001, 0)), "Not Found"))</f>
        <v/>
      </c>
      <c r="H265" s="2" t="str">
        <f>IFERROR(INDEX(customers!G$1:G$1001, MATCH(C265, customers!A$1:A$1001, 0)), "Not Found")</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L265*E265</f>
        <v>133.85999999999999</v>
      </c>
      <c r="N265" t="str">
        <f>IF(I265="Rob","Robusta",IF(I265="Exc","Excelsa",IF(I265="Ara","Arabica",IF(I265="Lib","Laberica",""))))</f>
        <v>Laberica</v>
      </c>
      <c r="O265" t="str">
        <f t="shared" si="4"/>
        <v>Medium</v>
      </c>
      <c r="P265" t="str">
        <f>INDEX(customers!$I$1:$I$1001, MATCH(Orders[[#This Row],[Customer ID]], customers!$A$1:$A$1001, 0))</f>
        <v>No</v>
      </c>
    </row>
    <row r="266" spans="1:16" x14ac:dyDescent="0.25">
      <c r="A266" s="2" t="s">
        <v>1980</v>
      </c>
      <c r="B266" s="3">
        <v>44683</v>
      </c>
      <c r="C266" s="2" t="s">
        <v>1981</v>
      </c>
      <c r="D266" t="s">
        <v>6179</v>
      </c>
      <c r="E266" s="2">
        <v>5</v>
      </c>
      <c r="F266" s="2" t="str">
        <f>IFERROR(INDEX(customers!B$1:B$1001, MATCH(C266, customers!A$1:A$1001, 0)), "Not Found")</f>
        <v>Arabella Fransewich</v>
      </c>
      <c r="G266" s="2" t="str">
        <f>IF(IFERROR(INDEX(customers!C$1:C$1001, MATCH(C266, customers!A$1:A$1001, 0)), "Not Found")=0,"",IFERROR(INDEX(customers!C$1:C$1001, MATCH(C266, customers!A$1:A$1001, 0)), "Not Found"))</f>
        <v/>
      </c>
      <c r="H266" s="2" t="str">
        <f>IFERROR(INDEX(customers!G$1:G$1001, MATCH(C266, customers!A$1:A$1001, 0)), "Not Found")</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L266*E266</f>
        <v>59.75</v>
      </c>
      <c r="N266" t="str">
        <f>IF(I266="Rob","Robusta",IF(I266="Exc","Excelsa",IF(I266="Ara","Arabica",IF(I266="Lib","Laberica",""))))</f>
        <v>Robusta</v>
      </c>
      <c r="O266" t="str">
        <f t="shared" si="4"/>
        <v>Light</v>
      </c>
      <c r="P266" t="str">
        <f>INDEX(customers!$I$1:$I$1001, MATCH(Orders[[#This Row],[Customer ID]], customers!$A$1:$A$1001, 0))</f>
        <v>Yes</v>
      </c>
    </row>
    <row r="267" spans="1:16" x14ac:dyDescent="0.25">
      <c r="A267" s="2" t="s">
        <v>1986</v>
      </c>
      <c r="B267" s="3">
        <v>43872</v>
      </c>
      <c r="C267" s="2" t="s">
        <v>1987</v>
      </c>
      <c r="D267" t="s">
        <v>6158</v>
      </c>
      <c r="E267" s="2">
        <v>1</v>
      </c>
      <c r="F267" s="2" t="str">
        <f>IFERROR(INDEX(customers!B$1:B$1001, MATCH(C267, customers!A$1:A$1001, 0)), "Not Found")</f>
        <v>Violette Hellmore</v>
      </c>
      <c r="G267" s="2" t="str">
        <f>IF(IFERROR(INDEX(customers!C$1:C$1001, MATCH(C267, customers!A$1:A$1001, 0)), "Not Found")=0,"",IFERROR(INDEX(customers!C$1:C$1001, MATCH(C267, customers!A$1:A$1001, 0)), "Not Found"))</f>
        <v>vhellmore7d@bbc.co.uk</v>
      </c>
      <c r="H267" s="2" t="str">
        <f>IFERROR(INDEX(customers!G$1:G$1001, MATCH(C267, customers!A$1:A$1001, 0)), "Not Found")</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L267*E267</f>
        <v>5.97</v>
      </c>
      <c r="N267" t="str">
        <f>IF(I267="Rob","Robusta",IF(I267="Exc","Excelsa",IF(I267="Ara","Arabica",IF(I267="Lib","Laberica",""))))</f>
        <v>Arabica</v>
      </c>
      <c r="O267" t="str">
        <f t="shared" si="4"/>
        <v>Dark</v>
      </c>
      <c r="P267" t="str">
        <f>INDEX(customers!$I$1:$I$1001, MATCH(Orders[[#This Row],[Customer ID]], customers!$A$1:$A$1001, 0))</f>
        <v>Yes</v>
      </c>
    </row>
    <row r="268" spans="1:16" x14ac:dyDescent="0.25">
      <c r="A268" s="2" t="s">
        <v>1992</v>
      </c>
      <c r="B268" s="3">
        <v>44283</v>
      </c>
      <c r="C268" s="2" t="s">
        <v>1993</v>
      </c>
      <c r="D268" t="s">
        <v>6183</v>
      </c>
      <c r="E268" s="2">
        <v>2</v>
      </c>
      <c r="F268" s="2" t="str">
        <f>IFERROR(INDEX(customers!B$1:B$1001, MATCH(C268, customers!A$1:A$1001, 0)), "Not Found")</f>
        <v>Myles Seawright</v>
      </c>
      <c r="G268" s="2" t="str">
        <f>IF(IFERROR(INDEX(customers!C$1:C$1001, MATCH(C268, customers!A$1:A$1001, 0)), "Not Found")=0,"",IFERROR(INDEX(customers!C$1:C$1001, MATCH(C268, customers!A$1:A$1001, 0)), "Not Found"))</f>
        <v>mseawright7e@nbcnews.com</v>
      </c>
      <c r="H268" s="2" t="str">
        <f>IFERROR(INDEX(customers!G$1:G$1001, MATCH(C268, customers!A$1:A$1001, 0)), "Not Found")</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L268*E268</f>
        <v>24.3</v>
      </c>
      <c r="N268" t="str">
        <f>IF(I268="Rob","Robusta",IF(I268="Exc","Excelsa",IF(I268="Ara","Arabica",IF(I268="Lib","Laberica",""))))</f>
        <v>Excelsa</v>
      </c>
      <c r="O268" t="str">
        <f t="shared" si="4"/>
        <v>Dark</v>
      </c>
      <c r="P268" t="str">
        <f>INDEX(customers!$I$1:$I$1001, MATCH(Orders[[#This Row],[Customer ID]], customers!$A$1:$A$1001, 0))</f>
        <v>No</v>
      </c>
    </row>
    <row r="269" spans="1:16" x14ac:dyDescent="0.25">
      <c r="A269" s="2" t="s">
        <v>1998</v>
      </c>
      <c r="B269" s="3">
        <v>44324</v>
      </c>
      <c r="C269" s="2" t="s">
        <v>1999</v>
      </c>
      <c r="D269" t="s">
        <v>6153</v>
      </c>
      <c r="E269" s="2">
        <v>6</v>
      </c>
      <c r="F269" s="2" t="str">
        <f>IFERROR(INDEX(customers!B$1:B$1001, MATCH(C269, customers!A$1:A$1001, 0)), "Not Found")</f>
        <v>Silvana Northeast</v>
      </c>
      <c r="G269" s="2" t="str">
        <f>IF(IFERROR(INDEX(customers!C$1:C$1001, MATCH(C269, customers!A$1:A$1001, 0)), "Not Found")=0,"",IFERROR(INDEX(customers!C$1:C$1001, MATCH(C269, customers!A$1:A$1001, 0)), "Not Found"))</f>
        <v>snortheast7f@mashable.com</v>
      </c>
      <c r="H269" s="2" t="str">
        <f>IFERROR(INDEX(customers!G$1:G$1001, MATCH(C269, customers!A$1:A$1001, 0)), "Not Found")</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L269*E269</f>
        <v>21.87</v>
      </c>
      <c r="N269" t="str">
        <f>IF(I269="Rob","Robusta",IF(I269="Exc","Excelsa",IF(I269="Ara","Arabica",IF(I269="Lib","Laberica",""))))</f>
        <v>Excelsa</v>
      </c>
      <c r="O269" t="str">
        <f t="shared" si="4"/>
        <v>Dark</v>
      </c>
      <c r="P269" t="str">
        <f>INDEX(customers!$I$1:$I$1001, MATCH(Orders[[#This Row],[Customer ID]], customers!$A$1:$A$1001, 0))</f>
        <v>Yes</v>
      </c>
    </row>
    <row r="270" spans="1:16" x14ac:dyDescent="0.25">
      <c r="A270" s="2" t="s">
        <v>2004</v>
      </c>
      <c r="B270" s="3">
        <v>43790</v>
      </c>
      <c r="C270" s="2" t="s">
        <v>1672</v>
      </c>
      <c r="D270" t="s">
        <v>6147</v>
      </c>
      <c r="E270" s="2">
        <v>2</v>
      </c>
      <c r="F270" s="2" t="str">
        <f>IFERROR(INDEX(customers!B$1:B$1001, MATCH(C270, customers!A$1:A$1001, 0)), "Not Found")</f>
        <v>Anselma Attwater</v>
      </c>
      <c r="G270" s="2" t="str">
        <f>IF(IFERROR(INDEX(customers!C$1:C$1001, MATCH(C270, customers!A$1:A$1001, 0)), "Not Found")=0,"",IFERROR(INDEX(customers!C$1:C$1001, MATCH(C270, customers!A$1:A$1001, 0)), "Not Found"))</f>
        <v>aattwater5u@wikia.com</v>
      </c>
      <c r="H270" s="2" t="str">
        <f>IFERROR(INDEX(customers!G$1:G$1001, MATCH(C270, customers!A$1:A$1001, 0)), "Not Found")</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L270*E270</f>
        <v>19.899999999999999</v>
      </c>
      <c r="N270" t="str">
        <f>IF(I270="Rob","Robusta",IF(I270="Exc","Excelsa",IF(I270="Ara","Arabica",IF(I270="Lib","Laberica",""))))</f>
        <v>Arabica</v>
      </c>
      <c r="O270" t="str">
        <f t="shared" si="4"/>
        <v>Dark</v>
      </c>
      <c r="P270" t="str">
        <f>INDEX(customers!$I$1:$I$1001, MATCH(Orders[[#This Row],[Customer ID]], customers!$A$1:$A$1001, 0))</f>
        <v>Yes</v>
      </c>
    </row>
    <row r="271" spans="1:16" x14ac:dyDescent="0.25">
      <c r="A271" s="2" t="s">
        <v>2009</v>
      </c>
      <c r="B271" s="3">
        <v>44333</v>
      </c>
      <c r="C271" s="2" t="s">
        <v>2010</v>
      </c>
      <c r="D271" t="s">
        <v>6154</v>
      </c>
      <c r="E271" s="2">
        <v>2</v>
      </c>
      <c r="F271" s="2" t="str">
        <f>IFERROR(INDEX(customers!B$1:B$1001, MATCH(C271, customers!A$1:A$1001, 0)), "Not Found")</f>
        <v>Monica Fearon</v>
      </c>
      <c r="G271" s="2" t="str">
        <f>IF(IFERROR(INDEX(customers!C$1:C$1001, MATCH(C271, customers!A$1:A$1001, 0)), "Not Found")=0,"",IFERROR(INDEX(customers!C$1:C$1001, MATCH(C271, customers!A$1:A$1001, 0)), "Not Found"))</f>
        <v>mfearon7h@reverbnation.com</v>
      </c>
      <c r="H271" s="2" t="str">
        <f>IFERROR(INDEX(customers!G$1:G$1001, MATCH(C271, customers!A$1:A$1001, 0)), "Not Found")</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L271*E271</f>
        <v>5.97</v>
      </c>
      <c r="N271" t="str">
        <f>IF(I271="Rob","Robusta",IF(I271="Exc","Excelsa",IF(I271="Ara","Arabica",IF(I271="Lib","Laberica",""))))</f>
        <v>Arabica</v>
      </c>
      <c r="O271" t="str">
        <f t="shared" si="4"/>
        <v>Dark</v>
      </c>
      <c r="P271" t="str">
        <f>INDEX(customers!$I$1:$I$1001, MATCH(Orders[[#This Row],[Customer ID]], customers!$A$1:$A$1001, 0))</f>
        <v>No</v>
      </c>
    </row>
    <row r="272" spans="1:16" x14ac:dyDescent="0.25">
      <c r="A272" s="2" t="s">
        <v>2015</v>
      </c>
      <c r="B272" s="3">
        <v>43655</v>
      </c>
      <c r="C272" s="2" t="s">
        <v>2016</v>
      </c>
      <c r="D272" t="s">
        <v>6144</v>
      </c>
      <c r="E272" s="2">
        <v>1</v>
      </c>
      <c r="F272" s="2" t="str">
        <f>IFERROR(INDEX(customers!B$1:B$1001, MATCH(C272, customers!A$1:A$1001, 0)), "Not Found")</f>
        <v>Barney Chisnell</v>
      </c>
      <c r="G272" s="2" t="str">
        <f>IF(IFERROR(INDEX(customers!C$1:C$1001, MATCH(C272, customers!A$1:A$1001, 0)), "Not Found")=0,"",IFERROR(INDEX(customers!C$1:C$1001, MATCH(C272, customers!A$1:A$1001, 0)), "Not Found"))</f>
        <v/>
      </c>
      <c r="H272" s="2" t="str">
        <f>IFERROR(INDEX(customers!G$1:G$1001, MATCH(C272, customers!A$1:A$1001, 0)), "Not Found")</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L272*E272</f>
        <v>7.29</v>
      </c>
      <c r="N272" t="str">
        <f>IF(I272="Rob","Robusta",IF(I272="Exc","Excelsa",IF(I272="Ara","Arabica",IF(I272="Lib","Laberica",""))))</f>
        <v>Excelsa</v>
      </c>
      <c r="O272" t="str">
        <f t="shared" si="4"/>
        <v>Dark</v>
      </c>
      <c r="P272" t="str">
        <f>INDEX(customers!$I$1:$I$1001, MATCH(Orders[[#This Row],[Customer ID]], customers!$A$1:$A$1001, 0))</f>
        <v>Yes</v>
      </c>
    </row>
    <row r="273" spans="1:16" x14ac:dyDescent="0.25">
      <c r="A273" s="2" t="s">
        <v>2019</v>
      </c>
      <c r="B273" s="3">
        <v>43971</v>
      </c>
      <c r="C273" s="2" t="s">
        <v>2020</v>
      </c>
      <c r="D273" t="s">
        <v>6154</v>
      </c>
      <c r="E273" s="2">
        <v>4</v>
      </c>
      <c r="F273" s="2" t="str">
        <f>IFERROR(INDEX(customers!B$1:B$1001, MATCH(C273, customers!A$1:A$1001, 0)), "Not Found")</f>
        <v>Jasper Sisneros</v>
      </c>
      <c r="G273" s="2" t="str">
        <f>IF(IFERROR(INDEX(customers!C$1:C$1001, MATCH(C273, customers!A$1:A$1001, 0)), "Not Found")=0,"",IFERROR(INDEX(customers!C$1:C$1001, MATCH(C273, customers!A$1:A$1001, 0)), "Not Found"))</f>
        <v>jsisneros7j@a8.net</v>
      </c>
      <c r="H273" s="2" t="str">
        <f>IFERROR(INDEX(customers!G$1:G$1001, MATCH(C273, customers!A$1:A$1001, 0)), "Not Found")</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L273*E273</f>
        <v>11.94</v>
      </c>
      <c r="N273" t="str">
        <f>IF(I273="Rob","Robusta",IF(I273="Exc","Excelsa",IF(I273="Ara","Arabica",IF(I273="Lib","Laberica",""))))</f>
        <v>Arabica</v>
      </c>
      <c r="O273" t="str">
        <f t="shared" si="4"/>
        <v>Dark</v>
      </c>
      <c r="P273" t="str">
        <f>INDEX(customers!$I$1:$I$1001, MATCH(Orders[[#This Row],[Customer ID]], customers!$A$1:$A$1001, 0))</f>
        <v>Yes</v>
      </c>
    </row>
    <row r="274" spans="1:16" x14ac:dyDescent="0.25">
      <c r="A274" s="2" t="s">
        <v>2025</v>
      </c>
      <c r="B274" s="3">
        <v>44435</v>
      </c>
      <c r="C274" s="2" t="s">
        <v>2026</v>
      </c>
      <c r="D274" t="s">
        <v>6179</v>
      </c>
      <c r="E274" s="2">
        <v>6</v>
      </c>
      <c r="F274" s="2" t="str">
        <f>IFERROR(INDEX(customers!B$1:B$1001, MATCH(C274, customers!A$1:A$1001, 0)), "Not Found")</f>
        <v>Zachariah Carlson</v>
      </c>
      <c r="G274" s="2" t="str">
        <f>IF(IFERROR(INDEX(customers!C$1:C$1001, MATCH(C274, customers!A$1:A$1001, 0)), "Not Found")=0,"",IFERROR(INDEX(customers!C$1:C$1001, MATCH(C274, customers!A$1:A$1001, 0)), "Not Found"))</f>
        <v>zcarlson7k@bigcartel.com</v>
      </c>
      <c r="H274" s="2" t="str">
        <f>IFERROR(INDEX(customers!G$1:G$1001, MATCH(C274, customers!A$1:A$1001, 0)), "Not Found")</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L274*E274</f>
        <v>71.699999999999989</v>
      </c>
      <c r="N274" t="str">
        <f>IF(I274="Rob","Robusta",IF(I274="Exc","Excelsa",IF(I274="Ara","Arabica",IF(I274="Lib","Laberica",""))))</f>
        <v>Robusta</v>
      </c>
      <c r="O274" t="str">
        <f t="shared" si="4"/>
        <v>Light</v>
      </c>
      <c r="P274" t="str">
        <f>INDEX(customers!$I$1:$I$1001, MATCH(Orders[[#This Row],[Customer ID]], customers!$A$1:$A$1001, 0))</f>
        <v>Yes</v>
      </c>
    </row>
    <row r="275" spans="1:16" x14ac:dyDescent="0.25">
      <c r="A275" s="2" t="s">
        <v>2032</v>
      </c>
      <c r="B275" s="3">
        <v>44681</v>
      </c>
      <c r="C275" s="2" t="s">
        <v>2033</v>
      </c>
      <c r="D275" t="s">
        <v>6167</v>
      </c>
      <c r="E275" s="2">
        <v>2</v>
      </c>
      <c r="F275" s="2" t="str">
        <f>IFERROR(INDEX(customers!B$1:B$1001, MATCH(C275, customers!A$1:A$1001, 0)), "Not Found")</f>
        <v>Warner Maddox</v>
      </c>
      <c r="G275" s="2" t="str">
        <f>IF(IFERROR(INDEX(customers!C$1:C$1001, MATCH(C275, customers!A$1:A$1001, 0)), "Not Found")=0,"",IFERROR(INDEX(customers!C$1:C$1001, MATCH(C275, customers!A$1:A$1001, 0)), "Not Found"))</f>
        <v>wmaddox7l@timesonline.co.uk</v>
      </c>
      <c r="H275" s="2" t="str">
        <f>IFERROR(INDEX(customers!G$1:G$1001, MATCH(C275, customers!A$1:A$1001, 0)), "Not Found")</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L275*E275</f>
        <v>7.77</v>
      </c>
      <c r="N275" t="str">
        <f>IF(I275="Rob","Robusta",IF(I275="Exc","Excelsa",IF(I275="Ara","Arabica",IF(I275="Lib","Laberica",""))))</f>
        <v>Arabica</v>
      </c>
      <c r="O275" t="str">
        <f t="shared" si="4"/>
        <v>Light</v>
      </c>
      <c r="P275" t="str">
        <f>INDEX(customers!$I$1:$I$1001, MATCH(Orders[[#This Row],[Customer ID]], customers!$A$1:$A$1001, 0))</f>
        <v>No</v>
      </c>
    </row>
    <row r="276" spans="1:16" x14ac:dyDescent="0.25">
      <c r="A276" s="2" t="s">
        <v>2038</v>
      </c>
      <c r="B276" s="3">
        <v>43985</v>
      </c>
      <c r="C276" s="2" t="s">
        <v>2039</v>
      </c>
      <c r="D276" t="s">
        <v>6175</v>
      </c>
      <c r="E276" s="2">
        <v>1</v>
      </c>
      <c r="F276" s="2" t="str">
        <f>IFERROR(INDEX(customers!B$1:B$1001, MATCH(C276, customers!A$1:A$1001, 0)), "Not Found")</f>
        <v>Donnie Hedlestone</v>
      </c>
      <c r="G276" s="2" t="str">
        <f>IF(IFERROR(INDEX(customers!C$1:C$1001, MATCH(C276, customers!A$1:A$1001, 0)), "Not Found")=0,"",IFERROR(INDEX(customers!C$1:C$1001, MATCH(C276, customers!A$1:A$1001, 0)), "Not Found"))</f>
        <v>dhedlestone7m@craigslist.org</v>
      </c>
      <c r="H276" s="2" t="str">
        <f>IFERROR(INDEX(customers!G$1:G$1001, MATCH(C276, customers!A$1:A$1001, 0)), "Not Found")</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L276*E276</f>
        <v>25.874999999999996</v>
      </c>
      <c r="N276" t="str">
        <f>IF(I276="Rob","Robusta",IF(I276="Exc","Excelsa",IF(I276="Ara","Arabica",IF(I276="Lib","Laberica",""))))</f>
        <v>Arabica</v>
      </c>
      <c r="O276" t="str">
        <f t="shared" si="4"/>
        <v>Medium</v>
      </c>
      <c r="P276" t="str">
        <f>INDEX(customers!$I$1:$I$1001, MATCH(Orders[[#This Row],[Customer ID]], customers!$A$1:$A$1001, 0))</f>
        <v>No</v>
      </c>
    </row>
    <row r="277" spans="1:16" x14ac:dyDescent="0.25">
      <c r="A277" s="2" t="s">
        <v>2044</v>
      </c>
      <c r="B277" s="3">
        <v>44725</v>
      </c>
      <c r="C277" s="2" t="s">
        <v>2045</v>
      </c>
      <c r="D277" t="s">
        <v>6148</v>
      </c>
      <c r="E277" s="2">
        <v>6</v>
      </c>
      <c r="F277" s="2" t="str">
        <f>IFERROR(INDEX(customers!B$1:B$1001, MATCH(C277, customers!A$1:A$1001, 0)), "Not Found")</f>
        <v>Teddi Crowthe</v>
      </c>
      <c r="G277" s="2" t="str">
        <f>IF(IFERROR(INDEX(customers!C$1:C$1001, MATCH(C277, customers!A$1:A$1001, 0)), "Not Found")=0,"",IFERROR(INDEX(customers!C$1:C$1001, MATCH(C277, customers!A$1:A$1001, 0)), "Not Found"))</f>
        <v>tcrowthe7n@europa.eu</v>
      </c>
      <c r="H277" s="2" t="str">
        <f>IFERROR(INDEX(customers!G$1:G$1001, MATCH(C277, customers!A$1:A$1001, 0)), "Not Found")</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L277*E277</f>
        <v>204.92999999999995</v>
      </c>
      <c r="N277" t="str">
        <f>IF(I277="Rob","Robusta",IF(I277="Exc","Excelsa",IF(I277="Ara","Arabica",IF(I277="Lib","Laberica",""))))</f>
        <v>Excelsa</v>
      </c>
      <c r="O277" t="str">
        <f t="shared" si="4"/>
        <v>Light</v>
      </c>
      <c r="P277" t="str">
        <f>INDEX(customers!$I$1:$I$1001, MATCH(Orders[[#This Row],[Customer ID]], customers!$A$1:$A$1001, 0))</f>
        <v>No</v>
      </c>
    </row>
    <row r="278" spans="1:16" x14ac:dyDescent="0.25">
      <c r="A278" s="2" t="s">
        <v>2050</v>
      </c>
      <c r="B278" s="3">
        <v>43992</v>
      </c>
      <c r="C278" s="2" t="s">
        <v>2051</v>
      </c>
      <c r="D278" t="s">
        <v>6142</v>
      </c>
      <c r="E278" s="2">
        <v>4</v>
      </c>
      <c r="F278" s="2" t="str">
        <f>IFERROR(INDEX(customers!B$1:B$1001, MATCH(C278, customers!A$1:A$1001, 0)), "Not Found")</f>
        <v>Dorelia Bury</v>
      </c>
      <c r="G278" s="2" t="str">
        <f>IF(IFERROR(INDEX(customers!C$1:C$1001, MATCH(C278, customers!A$1:A$1001, 0)), "Not Found")=0,"",IFERROR(INDEX(customers!C$1:C$1001, MATCH(C278, customers!A$1:A$1001, 0)), "Not Found"))</f>
        <v>dbury7o@tinyurl.com</v>
      </c>
      <c r="H278" s="2" t="str">
        <f>IFERROR(INDEX(customers!G$1:G$1001, MATCH(C278, customers!A$1:A$1001, 0)), "Not Found")</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L278*E278</f>
        <v>109.93999999999998</v>
      </c>
      <c r="N278" t="str">
        <f>IF(I278="Rob","Robusta",IF(I278="Exc","Excelsa",IF(I278="Ara","Arabica",IF(I278="Lib","Laberica",""))))</f>
        <v>Robusta</v>
      </c>
      <c r="O278" t="str">
        <f t="shared" si="4"/>
        <v>Light</v>
      </c>
      <c r="P278" t="str">
        <f>INDEX(customers!$I$1:$I$1001, MATCH(Orders[[#This Row],[Customer ID]], customers!$A$1:$A$1001, 0))</f>
        <v>Yes</v>
      </c>
    </row>
    <row r="279" spans="1:16" x14ac:dyDescent="0.25">
      <c r="A279" s="2" t="s">
        <v>2056</v>
      </c>
      <c r="B279" s="3">
        <v>44183</v>
      </c>
      <c r="C279" s="2" t="s">
        <v>2057</v>
      </c>
      <c r="D279" t="s">
        <v>6171</v>
      </c>
      <c r="E279" s="2">
        <v>6</v>
      </c>
      <c r="F279" s="2" t="str">
        <f>IFERROR(INDEX(customers!B$1:B$1001, MATCH(C279, customers!A$1:A$1001, 0)), "Not Found")</f>
        <v>Gussy Broadbear</v>
      </c>
      <c r="G279" s="2" t="str">
        <f>IF(IFERROR(INDEX(customers!C$1:C$1001, MATCH(C279, customers!A$1:A$1001, 0)), "Not Found")=0,"",IFERROR(INDEX(customers!C$1:C$1001, MATCH(C279, customers!A$1:A$1001, 0)), "Not Found"))</f>
        <v>gbroadbear7p@omniture.com</v>
      </c>
      <c r="H279" s="2" t="str">
        <f>IFERROR(INDEX(customers!G$1:G$1001, MATCH(C279, customers!A$1:A$1001, 0)), "Not Found")</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L279*E279</f>
        <v>89.1</v>
      </c>
      <c r="N279" t="str">
        <f>IF(I279="Rob","Robusta",IF(I279="Exc","Excelsa",IF(I279="Ara","Arabica",IF(I279="Lib","Laberica",""))))</f>
        <v>Excelsa</v>
      </c>
      <c r="O279" t="str">
        <f t="shared" si="4"/>
        <v>Light</v>
      </c>
      <c r="P279" t="str">
        <f>INDEX(customers!$I$1:$I$1001, MATCH(Orders[[#This Row],[Customer ID]], customers!$A$1:$A$1001, 0))</f>
        <v>No</v>
      </c>
    </row>
    <row r="280" spans="1:16" x14ac:dyDescent="0.25">
      <c r="A280" s="2" t="s">
        <v>2062</v>
      </c>
      <c r="B280" s="3">
        <v>43708</v>
      </c>
      <c r="C280" s="2" t="s">
        <v>2063</v>
      </c>
      <c r="D280" t="s">
        <v>6167</v>
      </c>
      <c r="E280" s="2">
        <v>2</v>
      </c>
      <c r="F280" s="2" t="str">
        <f>IFERROR(INDEX(customers!B$1:B$1001, MATCH(C280, customers!A$1:A$1001, 0)), "Not Found")</f>
        <v>Emlynne Palfrey</v>
      </c>
      <c r="G280" s="2" t="str">
        <f>IF(IFERROR(INDEX(customers!C$1:C$1001, MATCH(C280, customers!A$1:A$1001, 0)), "Not Found")=0,"",IFERROR(INDEX(customers!C$1:C$1001, MATCH(C280, customers!A$1:A$1001, 0)), "Not Found"))</f>
        <v>epalfrey7q@devhub.com</v>
      </c>
      <c r="H280" s="2" t="str">
        <f>IFERROR(INDEX(customers!G$1:G$1001, MATCH(C280, customers!A$1:A$1001, 0)), "Not Found")</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L280*E280</f>
        <v>7.77</v>
      </c>
      <c r="N280" t="str">
        <f>IF(I280="Rob","Robusta",IF(I280="Exc","Excelsa",IF(I280="Ara","Arabica",IF(I280="Lib","Laberica",""))))</f>
        <v>Arabica</v>
      </c>
      <c r="O280" t="str">
        <f t="shared" si="4"/>
        <v>Light</v>
      </c>
      <c r="P280" t="str">
        <f>INDEX(customers!$I$1:$I$1001, MATCH(Orders[[#This Row],[Customer ID]], customers!$A$1:$A$1001, 0))</f>
        <v>Yes</v>
      </c>
    </row>
    <row r="281" spans="1:16" x14ac:dyDescent="0.25">
      <c r="A281" s="2" t="s">
        <v>2068</v>
      </c>
      <c r="B281" s="3">
        <v>43521</v>
      </c>
      <c r="C281" s="2" t="s">
        <v>2069</v>
      </c>
      <c r="D281" t="s">
        <v>6181</v>
      </c>
      <c r="E281" s="2">
        <v>1</v>
      </c>
      <c r="F281" s="2" t="str">
        <f>IFERROR(INDEX(customers!B$1:B$1001, MATCH(C281, customers!A$1:A$1001, 0)), "Not Found")</f>
        <v>Parsifal Metrick</v>
      </c>
      <c r="G281" s="2" t="str">
        <f>IF(IFERROR(INDEX(customers!C$1:C$1001, MATCH(C281, customers!A$1:A$1001, 0)), "Not Found")=0,"",IFERROR(INDEX(customers!C$1:C$1001, MATCH(C281, customers!A$1:A$1001, 0)), "Not Found"))</f>
        <v>pmetrick7r@rakuten.co.jp</v>
      </c>
      <c r="H281" s="2" t="str">
        <f>IFERROR(INDEX(customers!G$1:G$1001, MATCH(C281, customers!A$1:A$1001, 0)), "Not Found")</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L281*E281</f>
        <v>33.464999999999996</v>
      </c>
      <c r="N281" t="str">
        <f>IF(I281="Rob","Robusta",IF(I281="Exc","Excelsa",IF(I281="Ara","Arabica",IF(I281="Lib","Laberica",""))))</f>
        <v>Laberica</v>
      </c>
      <c r="O281" t="str">
        <f t="shared" si="4"/>
        <v>Medium</v>
      </c>
      <c r="P281" t="str">
        <f>INDEX(customers!$I$1:$I$1001, MATCH(Orders[[#This Row],[Customer ID]], customers!$A$1:$A$1001, 0))</f>
        <v>Yes</v>
      </c>
    </row>
    <row r="282" spans="1:16" x14ac:dyDescent="0.25">
      <c r="A282" s="2" t="s">
        <v>2074</v>
      </c>
      <c r="B282" s="3">
        <v>44234</v>
      </c>
      <c r="C282" s="2" t="s">
        <v>2075</v>
      </c>
      <c r="D282" t="s">
        <v>6139</v>
      </c>
      <c r="E282" s="2">
        <v>5</v>
      </c>
      <c r="F282" s="2" t="str">
        <f>IFERROR(INDEX(customers!B$1:B$1001, MATCH(C282, customers!A$1:A$1001, 0)), "Not Found")</f>
        <v>Christopher Grieveson</v>
      </c>
      <c r="G282" s="2" t="str">
        <f>IF(IFERROR(INDEX(customers!C$1:C$1001, MATCH(C282, customers!A$1:A$1001, 0)), "Not Found")=0,"",IFERROR(INDEX(customers!C$1:C$1001, MATCH(C282, customers!A$1:A$1001, 0)), "Not Found"))</f>
        <v/>
      </c>
      <c r="H282" s="2" t="str">
        <f>IFERROR(INDEX(customers!G$1:G$1001, MATCH(C282, customers!A$1:A$1001, 0)), "Not Found")</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L282*E282</f>
        <v>41.25</v>
      </c>
      <c r="N282" t="str">
        <f>IF(I282="Rob","Robusta",IF(I282="Exc","Excelsa",IF(I282="Ara","Arabica",IF(I282="Lib","Laberica",""))))</f>
        <v>Excelsa</v>
      </c>
      <c r="O282" t="str">
        <f t="shared" si="4"/>
        <v>Medium</v>
      </c>
      <c r="P282" t="str">
        <f>INDEX(customers!$I$1:$I$1001, MATCH(Orders[[#This Row],[Customer ID]], customers!$A$1:$A$1001, 0))</f>
        <v>Yes</v>
      </c>
    </row>
    <row r="283" spans="1:16" x14ac:dyDescent="0.25">
      <c r="A283" s="2" t="s">
        <v>2079</v>
      </c>
      <c r="B283" s="3">
        <v>44210</v>
      </c>
      <c r="C283" s="2" t="s">
        <v>2080</v>
      </c>
      <c r="D283" t="s">
        <v>6171</v>
      </c>
      <c r="E283" s="2">
        <v>4</v>
      </c>
      <c r="F283" s="2" t="str">
        <f>IFERROR(INDEX(customers!B$1:B$1001, MATCH(C283, customers!A$1:A$1001, 0)), "Not Found")</f>
        <v>Karlan Karby</v>
      </c>
      <c r="G283" s="2" t="str">
        <f>IF(IFERROR(INDEX(customers!C$1:C$1001, MATCH(C283, customers!A$1:A$1001, 0)), "Not Found")=0,"",IFERROR(INDEX(customers!C$1:C$1001, MATCH(C283, customers!A$1:A$1001, 0)), "Not Found"))</f>
        <v>kkarby7t@sbwire.com</v>
      </c>
      <c r="H283" s="2" t="str">
        <f>IFERROR(INDEX(customers!G$1:G$1001, MATCH(C283, customers!A$1:A$1001, 0)), "Not Found")</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L283*E283</f>
        <v>59.4</v>
      </c>
      <c r="N283" t="str">
        <f>IF(I283="Rob","Robusta",IF(I283="Exc","Excelsa",IF(I283="Ara","Arabica",IF(I283="Lib","Laberica",""))))</f>
        <v>Excelsa</v>
      </c>
      <c r="O283" t="str">
        <f t="shared" si="4"/>
        <v>Light</v>
      </c>
      <c r="P283" t="str">
        <f>INDEX(customers!$I$1:$I$1001, MATCH(Orders[[#This Row],[Customer ID]], customers!$A$1:$A$1001, 0))</f>
        <v>Yes</v>
      </c>
    </row>
    <row r="284" spans="1:16" x14ac:dyDescent="0.25">
      <c r="A284" s="2" t="s">
        <v>2085</v>
      </c>
      <c r="B284" s="3">
        <v>43520</v>
      </c>
      <c r="C284" s="2" t="s">
        <v>2086</v>
      </c>
      <c r="D284" t="s">
        <v>6180</v>
      </c>
      <c r="E284" s="2">
        <v>1</v>
      </c>
      <c r="F284" s="2" t="str">
        <f>IFERROR(INDEX(customers!B$1:B$1001, MATCH(C284, customers!A$1:A$1001, 0)), "Not Found")</f>
        <v>Flory Crumpe</v>
      </c>
      <c r="G284" s="2" t="str">
        <f>IF(IFERROR(INDEX(customers!C$1:C$1001, MATCH(C284, customers!A$1:A$1001, 0)), "Not Found")=0,"",IFERROR(INDEX(customers!C$1:C$1001, MATCH(C284, customers!A$1:A$1001, 0)), "Not Found"))</f>
        <v>fcrumpe7u@ftc.gov</v>
      </c>
      <c r="H284" s="2" t="str">
        <f>IFERROR(INDEX(customers!G$1:G$1001, MATCH(C284, customers!A$1:A$1001, 0)), "Not Found")</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L284*E284</f>
        <v>7.77</v>
      </c>
      <c r="N284" t="str">
        <f>IF(I284="Rob","Robusta",IF(I284="Exc","Excelsa",IF(I284="Ara","Arabica",IF(I284="Lib","Laberica",""))))</f>
        <v>Arabica</v>
      </c>
      <c r="O284" t="str">
        <f t="shared" si="4"/>
        <v>Light</v>
      </c>
      <c r="P284" t="str">
        <f>INDEX(customers!$I$1:$I$1001, MATCH(Orders[[#This Row],[Customer ID]], customers!$A$1:$A$1001, 0))</f>
        <v>No</v>
      </c>
    </row>
    <row r="285" spans="1:16" x14ac:dyDescent="0.25">
      <c r="A285" s="2" t="s">
        <v>2091</v>
      </c>
      <c r="B285" s="3">
        <v>43639</v>
      </c>
      <c r="C285" s="2" t="s">
        <v>2092</v>
      </c>
      <c r="D285" t="s">
        <v>6172</v>
      </c>
      <c r="E285" s="2">
        <v>1</v>
      </c>
      <c r="F285" s="2" t="str">
        <f>IFERROR(INDEX(customers!B$1:B$1001, MATCH(C285, customers!A$1:A$1001, 0)), "Not Found")</f>
        <v>Amity Chatto</v>
      </c>
      <c r="G285" s="2" t="str">
        <f>IF(IFERROR(INDEX(customers!C$1:C$1001, MATCH(C285, customers!A$1:A$1001, 0)), "Not Found")=0,"",IFERROR(INDEX(customers!C$1:C$1001, MATCH(C285, customers!A$1:A$1001, 0)), "Not Found"))</f>
        <v>achatto7v@sakura.ne.jp</v>
      </c>
      <c r="H285" s="2" t="str">
        <f>IFERROR(INDEX(customers!G$1:G$1001, MATCH(C285, customers!A$1:A$1001, 0)), "Not Found")</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L285*E285</f>
        <v>5.3699999999999992</v>
      </c>
      <c r="N285" t="str">
        <f>IF(I285="Rob","Robusta",IF(I285="Exc","Excelsa",IF(I285="Ara","Arabica",IF(I285="Lib","Laberica",""))))</f>
        <v>Robusta</v>
      </c>
      <c r="O285" t="str">
        <f t="shared" si="4"/>
        <v>Dark</v>
      </c>
      <c r="P285" t="str">
        <f>INDEX(customers!$I$1:$I$1001, MATCH(Orders[[#This Row],[Customer ID]], customers!$A$1:$A$1001, 0))</f>
        <v>Yes</v>
      </c>
    </row>
    <row r="286" spans="1:16" x14ac:dyDescent="0.25">
      <c r="A286" s="2" t="s">
        <v>2097</v>
      </c>
      <c r="B286" s="3">
        <v>43960</v>
      </c>
      <c r="C286" s="2" t="s">
        <v>2098</v>
      </c>
      <c r="D286" t="s">
        <v>6166</v>
      </c>
      <c r="E286" s="2">
        <v>3</v>
      </c>
      <c r="F286" s="2" t="str">
        <f>IFERROR(INDEX(customers!B$1:B$1001, MATCH(C286, customers!A$1:A$1001, 0)), "Not Found")</f>
        <v>Nanine McCarthy</v>
      </c>
      <c r="G286" s="2" t="str">
        <f>IF(IFERROR(INDEX(customers!C$1:C$1001, MATCH(C286, customers!A$1:A$1001, 0)), "Not Found")=0,"",IFERROR(INDEX(customers!C$1:C$1001, MATCH(C286, customers!A$1:A$1001, 0)), "Not Found"))</f>
        <v/>
      </c>
      <c r="H286" s="2" t="str">
        <f>IFERROR(INDEX(customers!G$1:G$1001, MATCH(C286, customers!A$1:A$1001, 0)), "Not Found")</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L286*E286</f>
        <v>94.874999999999986</v>
      </c>
      <c r="N286" t="str">
        <f>IF(I286="Rob","Robusta",IF(I286="Exc","Excelsa",IF(I286="Ara","Arabica",IF(I286="Lib","Laberica",""))))</f>
        <v>Excelsa</v>
      </c>
      <c r="O286" t="str">
        <f t="shared" si="4"/>
        <v>Medium</v>
      </c>
      <c r="P286" t="str">
        <f>INDEX(customers!$I$1:$I$1001, MATCH(Orders[[#This Row],[Customer ID]], customers!$A$1:$A$1001, 0))</f>
        <v>No</v>
      </c>
    </row>
    <row r="287" spans="1:16" x14ac:dyDescent="0.25">
      <c r="A287" s="2" t="s">
        <v>2102</v>
      </c>
      <c r="B287" s="3">
        <v>44030</v>
      </c>
      <c r="C287" s="2" t="s">
        <v>2103</v>
      </c>
      <c r="D287" t="s">
        <v>6164</v>
      </c>
      <c r="E287" s="2">
        <v>1</v>
      </c>
      <c r="F287" s="2" t="str">
        <f>IFERROR(INDEX(customers!B$1:B$1001, MATCH(C287, customers!A$1:A$1001, 0)), "Not Found")</f>
        <v>Lyndsey Megany</v>
      </c>
      <c r="G287" s="2" t="str">
        <f>IF(IFERROR(INDEX(customers!C$1:C$1001, MATCH(C287, customers!A$1:A$1001, 0)), "Not Found")=0,"",IFERROR(INDEX(customers!C$1:C$1001, MATCH(C287, customers!A$1:A$1001, 0)), "Not Found"))</f>
        <v/>
      </c>
      <c r="H287" s="2" t="str">
        <f>IFERROR(INDEX(customers!G$1:G$1001, MATCH(C287, customers!A$1:A$1001, 0)), "Not Found")</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L287*E287</f>
        <v>36.454999999999998</v>
      </c>
      <c r="N287" t="str">
        <f>IF(I287="Rob","Robusta",IF(I287="Exc","Excelsa",IF(I287="Ara","Arabica",IF(I287="Lib","Laberica",""))))</f>
        <v>Laberica</v>
      </c>
      <c r="O287" t="str">
        <f t="shared" si="4"/>
        <v>Light</v>
      </c>
      <c r="P287" t="str">
        <f>INDEX(customers!$I$1:$I$1001, MATCH(Orders[[#This Row],[Customer ID]], customers!$A$1:$A$1001, 0))</f>
        <v>No</v>
      </c>
    </row>
    <row r="288" spans="1:16" x14ac:dyDescent="0.25">
      <c r="A288" s="2" t="s">
        <v>2107</v>
      </c>
      <c r="B288" s="3">
        <v>43755</v>
      </c>
      <c r="C288" s="2" t="s">
        <v>2108</v>
      </c>
      <c r="D288" t="s">
        <v>6152</v>
      </c>
      <c r="E288" s="2">
        <v>4</v>
      </c>
      <c r="F288" s="2" t="str">
        <f>IFERROR(INDEX(customers!B$1:B$1001, MATCH(C288, customers!A$1:A$1001, 0)), "Not Found")</f>
        <v>Byram Mergue</v>
      </c>
      <c r="G288" s="2" t="str">
        <f>IF(IFERROR(INDEX(customers!C$1:C$1001, MATCH(C288, customers!A$1:A$1001, 0)), "Not Found")=0,"",IFERROR(INDEX(customers!C$1:C$1001, MATCH(C288, customers!A$1:A$1001, 0)), "Not Found"))</f>
        <v>bmergue7y@umn.edu</v>
      </c>
      <c r="H288" s="2" t="str">
        <f>IFERROR(INDEX(customers!G$1:G$1001, MATCH(C288, customers!A$1:A$1001, 0)), "Not Found")</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L288*E288</f>
        <v>13.5</v>
      </c>
      <c r="N288" t="str">
        <f>IF(I288="Rob","Robusta",IF(I288="Exc","Excelsa",IF(I288="Ara","Arabica",IF(I288="Lib","Laberica",""))))</f>
        <v>Arabica</v>
      </c>
      <c r="O288" t="str">
        <f t="shared" si="4"/>
        <v>Medium</v>
      </c>
      <c r="P288" t="str">
        <f>INDEX(customers!$I$1:$I$1001, MATCH(Orders[[#This Row],[Customer ID]], customers!$A$1:$A$1001, 0))</f>
        <v>Yes</v>
      </c>
    </row>
    <row r="289" spans="1:16" x14ac:dyDescent="0.25">
      <c r="A289" s="2" t="s">
        <v>2112</v>
      </c>
      <c r="B289" s="3">
        <v>44697</v>
      </c>
      <c r="C289" s="2" t="s">
        <v>2113</v>
      </c>
      <c r="D289" t="s">
        <v>6178</v>
      </c>
      <c r="E289" s="2">
        <v>4</v>
      </c>
      <c r="F289" s="2" t="str">
        <f>IFERROR(INDEX(customers!B$1:B$1001, MATCH(C289, customers!A$1:A$1001, 0)), "Not Found")</f>
        <v>Kerr Patise</v>
      </c>
      <c r="G289" s="2" t="str">
        <f>IF(IFERROR(INDEX(customers!C$1:C$1001, MATCH(C289, customers!A$1:A$1001, 0)), "Not Found")=0,"",IFERROR(INDEX(customers!C$1:C$1001, MATCH(C289, customers!A$1:A$1001, 0)), "Not Found"))</f>
        <v>kpatise7z@jigsy.com</v>
      </c>
      <c r="H289" s="2" t="str">
        <f>IFERROR(INDEX(customers!G$1:G$1001, MATCH(C289, customers!A$1:A$1001, 0)), "Not Found")</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L289*E289</f>
        <v>14.339999999999998</v>
      </c>
      <c r="N289" t="str">
        <f>IF(I289="Rob","Robusta",IF(I289="Exc","Excelsa",IF(I289="Ara","Arabica",IF(I289="Lib","Laberica",""))))</f>
        <v>Robusta</v>
      </c>
      <c r="O289" t="str">
        <f t="shared" si="4"/>
        <v>Light</v>
      </c>
      <c r="P289" t="str">
        <f>INDEX(customers!$I$1:$I$1001, MATCH(Orders[[#This Row],[Customer ID]], customers!$A$1:$A$1001, 0))</f>
        <v>No</v>
      </c>
    </row>
    <row r="290" spans="1:16" x14ac:dyDescent="0.25">
      <c r="A290" s="2" t="s">
        <v>2118</v>
      </c>
      <c r="B290" s="3">
        <v>44279</v>
      </c>
      <c r="C290" s="2" t="s">
        <v>2119</v>
      </c>
      <c r="D290" t="s">
        <v>6139</v>
      </c>
      <c r="E290" s="2">
        <v>1</v>
      </c>
      <c r="F290" s="2" t="str">
        <f>IFERROR(INDEX(customers!B$1:B$1001, MATCH(C290, customers!A$1:A$1001, 0)), "Not Found")</f>
        <v>Mathew Goulter</v>
      </c>
      <c r="G290" s="2" t="str">
        <f>IF(IFERROR(INDEX(customers!C$1:C$1001, MATCH(C290, customers!A$1:A$1001, 0)), "Not Found")=0,"",IFERROR(INDEX(customers!C$1:C$1001, MATCH(C290, customers!A$1:A$1001, 0)), "Not Found"))</f>
        <v/>
      </c>
      <c r="H290" s="2" t="str">
        <f>IFERROR(INDEX(customers!G$1:G$1001, MATCH(C290, customers!A$1:A$1001, 0)), "Not Found")</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L290*E290</f>
        <v>8.25</v>
      </c>
      <c r="N290" t="str">
        <f>IF(I290="Rob","Robusta",IF(I290="Exc","Excelsa",IF(I290="Ara","Arabica",IF(I290="Lib","Laberica",""))))</f>
        <v>Excelsa</v>
      </c>
      <c r="O290" t="str">
        <f t="shared" si="4"/>
        <v>Medium</v>
      </c>
      <c r="P290" t="str">
        <f>INDEX(customers!$I$1:$I$1001, MATCH(Orders[[#This Row],[Customer ID]], customers!$A$1:$A$1001, 0))</f>
        <v>Yes</v>
      </c>
    </row>
    <row r="291" spans="1:16" x14ac:dyDescent="0.25">
      <c r="A291" s="2" t="s">
        <v>2123</v>
      </c>
      <c r="B291" s="3">
        <v>43772</v>
      </c>
      <c r="C291" s="2" t="s">
        <v>2124</v>
      </c>
      <c r="D291" t="s">
        <v>6163</v>
      </c>
      <c r="E291" s="2">
        <v>5</v>
      </c>
      <c r="F291" s="2" t="str">
        <f>IFERROR(INDEX(customers!B$1:B$1001, MATCH(C291, customers!A$1:A$1001, 0)), "Not Found")</f>
        <v>Marris Grcic</v>
      </c>
      <c r="G291" s="2" t="str">
        <f>IF(IFERROR(INDEX(customers!C$1:C$1001, MATCH(C291, customers!A$1:A$1001, 0)), "Not Found")=0,"",IFERROR(INDEX(customers!C$1:C$1001, MATCH(C291, customers!A$1:A$1001, 0)), "Not Found"))</f>
        <v/>
      </c>
      <c r="H291" s="2" t="str">
        <f>IFERROR(INDEX(customers!G$1:G$1001, MATCH(C291, customers!A$1:A$1001, 0)), "Not Found")</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L291*E291</f>
        <v>13.424999999999997</v>
      </c>
      <c r="N291" t="str">
        <f>IF(I291="Rob","Robusta",IF(I291="Exc","Excelsa",IF(I291="Ara","Arabica",IF(I291="Lib","Laberica",""))))</f>
        <v>Robusta</v>
      </c>
      <c r="O291" t="str">
        <f t="shared" si="4"/>
        <v>Dark</v>
      </c>
      <c r="P291" t="str">
        <f>INDEX(customers!$I$1:$I$1001, MATCH(Orders[[#This Row],[Customer ID]], customers!$A$1:$A$1001, 0))</f>
        <v>Yes</v>
      </c>
    </row>
    <row r="292" spans="1:16" x14ac:dyDescent="0.25">
      <c r="A292" s="2" t="s">
        <v>2127</v>
      </c>
      <c r="B292" s="3">
        <v>44497</v>
      </c>
      <c r="C292" s="2" t="s">
        <v>2128</v>
      </c>
      <c r="D292" t="s">
        <v>6147</v>
      </c>
      <c r="E292" s="2">
        <v>5</v>
      </c>
      <c r="F292" s="2" t="str">
        <f>IFERROR(INDEX(customers!B$1:B$1001, MATCH(C292, customers!A$1:A$1001, 0)), "Not Found")</f>
        <v>Domeniga Duke</v>
      </c>
      <c r="G292" s="2" t="str">
        <f>IF(IFERROR(INDEX(customers!C$1:C$1001, MATCH(C292, customers!A$1:A$1001, 0)), "Not Found")=0,"",IFERROR(INDEX(customers!C$1:C$1001, MATCH(C292, customers!A$1:A$1001, 0)), "Not Found"))</f>
        <v>dduke82@vkontakte.ru</v>
      </c>
      <c r="H292" s="2" t="str">
        <f>IFERROR(INDEX(customers!G$1:G$1001, MATCH(C292, customers!A$1:A$1001, 0)), "Not Found")</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L292*E292</f>
        <v>49.75</v>
      </c>
      <c r="N292" t="str">
        <f>IF(I292="Rob","Robusta",IF(I292="Exc","Excelsa",IF(I292="Ara","Arabica",IF(I292="Lib","Laberica",""))))</f>
        <v>Arabica</v>
      </c>
      <c r="O292" t="str">
        <f t="shared" si="4"/>
        <v>Dark</v>
      </c>
      <c r="P292" t="str">
        <f>INDEX(customers!$I$1:$I$1001, MATCH(Orders[[#This Row],[Customer ID]], customers!$A$1:$A$1001, 0))</f>
        <v>No</v>
      </c>
    </row>
    <row r="293" spans="1:16" x14ac:dyDescent="0.25">
      <c r="A293" s="2" t="s">
        <v>2133</v>
      </c>
      <c r="B293" s="3">
        <v>44181</v>
      </c>
      <c r="C293" s="2" t="s">
        <v>2134</v>
      </c>
      <c r="D293" t="s">
        <v>6139</v>
      </c>
      <c r="E293" s="2">
        <v>2</v>
      </c>
      <c r="F293" s="2" t="str">
        <f>IFERROR(INDEX(customers!B$1:B$1001, MATCH(C293, customers!A$1:A$1001, 0)), "Not Found")</f>
        <v>Violante Skouling</v>
      </c>
      <c r="G293" s="2" t="str">
        <f>IF(IFERROR(INDEX(customers!C$1:C$1001, MATCH(C293, customers!A$1:A$1001, 0)), "Not Found")=0,"",IFERROR(INDEX(customers!C$1:C$1001, MATCH(C293, customers!A$1:A$1001, 0)), "Not Found"))</f>
        <v/>
      </c>
      <c r="H293" s="2" t="str">
        <f>IFERROR(INDEX(customers!G$1:G$1001, MATCH(C293, customers!A$1:A$1001, 0)), "Not Found")</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L293*E293</f>
        <v>16.5</v>
      </c>
      <c r="N293" t="str">
        <f>IF(I293="Rob","Robusta",IF(I293="Exc","Excelsa",IF(I293="Ara","Arabica",IF(I293="Lib","Laberica",""))))</f>
        <v>Excelsa</v>
      </c>
      <c r="O293" t="str">
        <f t="shared" si="4"/>
        <v>Medium</v>
      </c>
      <c r="P293" t="str">
        <f>INDEX(customers!$I$1:$I$1001, MATCH(Orders[[#This Row],[Customer ID]], customers!$A$1:$A$1001, 0))</f>
        <v>No</v>
      </c>
    </row>
    <row r="294" spans="1:16" x14ac:dyDescent="0.25">
      <c r="A294" s="2" t="s">
        <v>2137</v>
      </c>
      <c r="B294" s="3">
        <v>44529</v>
      </c>
      <c r="C294" s="2" t="s">
        <v>2138</v>
      </c>
      <c r="D294" t="s">
        <v>6158</v>
      </c>
      <c r="E294" s="2">
        <v>3</v>
      </c>
      <c r="F294" s="2" t="str">
        <f>IFERROR(INDEX(customers!B$1:B$1001, MATCH(C294, customers!A$1:A$1001, 0)), "Not Found")</f>
        <v>Isidore Hussey</v>
      </c>
      <c r="G294" s="2" t="str">
        <f>IF(IFERROR(INDEX(customers!C$1:C$1001, MATCH(C294, customers!A$1:A$1001, 0)), "Not Found")=0,"",IFERROR(INDEX(customers!C$1:C$1001, MATCH(C294, customers!A$1:A$1001, 0)), "Not Found"))</f>
        <v>ihussey84@mapy.cz</v>
      </c>
      <c r="H294" s="2" t="str">
        <f>IFERROR(INDEX(customers!G$1:G$1001, MATCH(C294, customers!A$1:A$1001, 0)), "Not Found")</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L294*E294</f>
        <v>17.91</v>
      </c>
      <c r="N294" t="str">
        <f>IF(I294="Rob","Robusta",IF(I294="Exc","Excelsa",IF(I294="Ara","Arabica",IF(I294="Lib","Laberica",""))))</f>
        <v>Arabica</v>
      </c>
      <c r="O294" t="str">
        <f t="shared" si="4"/>
        <v>Dark</v>
      </c>
      <c r="P294" t="str">
        <f>INDEX(customers!$I$1:$I$1001, MATCH(Orders[[#This Row],[Customer ID]], customers!$A$1:$A$1001, 0))</f>
        <v>No</v>
      </c>
    </row>
    <row r="295" spans="1:16" x14ac:dyDescent="0.25">
      <c r="A295" s="2" t="s">
        <v>2142</v>
      </c>
      <c r="B295" s="3">
        <v>44275</v>
      </c>
      <c r="C295" s="2" t="s">
        <v>2143</v>
      </c>
      <c r="D295" t="s">
        <v>6158</v>
      </c>
      <c r="E295" s="2">
        <v>5</v>
      </c>
      <c r="F295" s="2" t="str">
        <f>IFERROR(INDEX(customers!B$1:B$1001, MATCH(C295, customers!A$1:A$1001, 0)), "Not Found")</f>
        <v>Cassie Pinkerton</v>
      </c>
      <c r="G295" s="2" t="str">
        <f>IF(IFERROR(INDEX(customers!C$1:C$1001, MATCH(C295, customers!A$1:A$1001, 0)), "Not Found")=0,"",IFERROR(INDEX(customers!C$1:C$1001, MATCH(C295, customers!A$1:A$1001, 0)), "Not Found"))</f>
        <v>cpinkerton85@upenn.edu</v>
      </c>
      <c r="H295" s="2" t="str">
        <f>IFERROR(INDEX(customers!G$1:G$1001, MATCH(C295, customers!A$1:A$1001, 0)), "Not Found")</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L295*E295</f>
        <v>29.849999999999998</v>
      </c>
      <c r="N295" t="str">
        <f>IF(I295="Rob","Robusta",IF(I295="Exc","Excelsa",IF(I295="Ara","Arabica",IF(I295="Lib","Laberica",""))))</f>
        <v>Arabica</v>
      </c>
      <c r="O295" t="str">
        <f t="shared" si="4"/>
        <v>Dark</v>
      </c>
      <c r="P295" t="str">
        <f>INDEX(customers!$I$1:$I$1001, MATCH(Orders[[#This Row],[Customer ID]], customers!$A$1:$A$1001, 0))</f>
        <v>No</v>
      </c>
    </row>
    <row r="296" spans="1:16" x14ac:dyDescent="0.25">
      <c r="A296" s="2" t="s">
        <v>2148</v>
      </c>
      <c r="B296" s="3">
        <v>44659</v>
      </c>
      <c r="C296" s="2" t="s">
        <v>2149</v>
      </c>
      <c r="D296" t="s">
        <v>6171</v>
      </c>
      <c r="E296" s="2">
        <v>3</v>
      </c>
      <c r="F296" s="2" t="str">
        <f>IFERROR(INDEX(customers!B$1:B$1001, MATCH(C296, customers!A$1:A$1001, 0)), "Not Found")</f>
        <v>Micki Fero</v>
      </c>
      <c r="G296" s="2" t="str">
        <f>IF(IFERROR(INDEX(customers!C$1:C$1001, MATCH(C296, customers!A$1:A$1001, 0)), "Not Found")=0,"",IFERROR(INDEX(customers!C$1:C$1001, MATCH(C296, customers!A$1:A$1001, 0)), "Not Found"))</f>
        <v/>
      </c>
      <c r="H296" s="2" t="str">
        <f>IFERROR(INDEX(customers!G$1:G$1001, MATCH(C296, customers!A$1:A$1001, 0)), "Not Found")</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L296*E296</f>
        <v>44.55</v>
      </c>
      <c r="N296" t="str">
        <f>IF(I296="Rob","Robusta",IF(I296="Exc","Excelsa",IF(I296="Ara","Arabica",IF(I296="Lib","Laberica",""))))</f>
        <v>Excelsa</v>
      </c>
      <c r="O296" t="str">
        <f t="shared" si="4"/>
        <v>Light</v>
      </c>
      <c r="P296" t="str">
        <f>INDEX(customers!$I$1:$I$1001, MATCH(Orders[[#This Row],[Customer ID]], customers!$A$1:$A$1001, 0))</f>
        <v>No</v>
      </c>
    </row>
    <row r="297" spans="1:16" x14ac:dyDescent="0.25">
      <c r="A297" s="2" t="s">
        <v>2153</v>
      </c>
      <c r="B297" s="3">
        <v>44057</v>
      </c>
      <c r="C297" s="2" t="s">
        <v>2154</v>
      </c>
      <c r="D297" t="s">
        <v>6141</v>
      </c>
      <c r="E297" s="2">
        <v>2</v>
      </c>
      <c r="F297" s="2" t="str">
        <f>IFERROR(INDEX(customers!B$1:B$1001, MATCH(C297, customers!A$1:A$1001, 0)), "Not Found")</f>
        <v>Cybill Graddell</v>
      </c>
      <c r="G297" s="2" t="str">
        <f>IF(IFERROR(INDEX(customers!C$1:C$1001, MATCH(C297, customers!A$1:A$1001, 0)), "Not Found")=0,"",IFERROR(INDEX(customers!C$1:C$1001, MATCH(C297, customers!A$1:A$1001, 0)), "Not Found"))</f>
        <v/>
      </c>
      <c r="H297" s="2" t="str">
        <f>IFERROR(INDEX(customers!G$1:G$1001, MATCH(C297, customers!A$1:A$1001, 0)), "Not Found")</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L297*E297</f>
        <v>27.5</v>
      </c>
      <c r="N297" t="str">
        <f>IF(I297="Rob","Robusta",IF(I297="Exc","Excelsa",IF(I297="Ara","Arabica",IF(I297="Lib","Laberica",""))))</f>
        <v>Excelsa</v>
      </c>
      <c r="O297" t="str">
        <f t="shared" si="4"/>
        <v>Medium</v>
      </c>
      <c r="P297" t="str">
        <f>INDEX(customers!$I$1:$I$1001, MATCH(Orders[[#This Row],[Customer ID]], customers!$A$1:$A$1001, 0))</f>
        <v>No</v>
      </c>
    </row>
    <row r="298" spans="1:16" x14ac:dyDescent="0.25">
      <c r="A298" s="2" t="s">
        <v>2157</v>
      </c>
      <c r="B298" s="3">
        <v>43597</v>
      </c>
      <c r="C298" s="2" t="s">
        <v>2158</v>
      </c>
      <c r="D298" t="s">
        <v>6146</v>
      </c>
      <c r="E298" s="2">
        <v>6</v>
      </c>
      <c r="F298" s="2" t="str">
        <f>IFERROR(INDEX(customers!B$1:B$1001, MATCH(C298, customers!A$1:A$1001, 0)), "Not Found")</f>
        <v>Dorian Vizor</v>
      </c>
      <c r="G298" s="2" t="str">
        <f>IF(IFERROR(INDEX(customers!C$1:C$1001, MATCH(C298, customers!A$1:A$1001, 0)), "Not Found")=0,"",IFERROR(INDEX(customers!C$1:C$1001, MATCH(C298, customers!A$1:A$1001, 0)), "Not Found"))</f>
        <v>dvizor88@furl.net</v>
      </c>
      <c r="H298" s="2" t="str">
        <f>IFERROR(INDEX(customers!G$1:G$1001, MATCH(C298, customers!A$1:A$1001, 0)), "Not Found")</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L298*E298</f>
        <v>35.82</v>
      </c>
      <c r="N298" t="str">
        <f>IF(I298="Rob","Robusta",IF(I298="Exc","Excelsa",IF(I298="Ara","Arabica",IF(I298="Lib","Laberica",""))))</f>
        <v>Robusta</v>
      </c>
      <c r="O298" t="str">
        <f t="shared" si="4"/>
        <v>Medium</v>
      </c>
      <c r="P298" t="str">
        <f>INDEX(customers!$I$1:$I$1001, MATCH(Orders[[#This Row],[Customer ID]], customers!$A$1:$A$1001, 0))</f>
        <v>Yes</v>
      </c>
    </row>
    <row r="299" spans="1:16" x14ac:dyDescent="0.25">
      <c r="A299" s="2" t="s">
        <v>2163</v>
      </c>
      <c r="B299" s="3">
        <v>44258</v>
      </c>
      <c r="C299" s="2" t="s">
        <v>2164</v>
      </c>
      <c r="D299" t="s">
        <v>6172</v>
      </c>
      <c r="E299" s="2">
        <v>3</v>
      </c>
      <c r="F299" s="2" t="str">
        <f>IFERROR(INDEX(customers!B$1:B$1001, MATCH(C299, customers!A$1:A$1001, 0)), "Not Found")</f>
        <v>Eddi Sedgebeer</v>
      </c>
      <c r="G299" s="2" t="str">
        <f>IF(IFERROR(INDEX(customers!C$1:C$1001, MATCH(C299, customers!A$1:A$1001, 0)), "Not Found")=0,"",IFERROR(INDEX(customers!C$1:C$1001, MATCH(C299, customers!A$1:A$1001, 0)), "Not Found"))</f>
        <v>esedgebeer89@oaic.gov.au</v>
      </c>
      <c r="H299" s="2" t="str">
        <f>IFERROR(INDEX(customers!G$1:G$1001, MATCH(C299, customers!A$1:A$1001, 0)), "Not Found")</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L299*E299</f>
        <v>16.11</v>
      </c>
      <c r="N299" t="str">
        <f>IF(I299="Rob","Robusta",IF(I299="Exc","Excelsa",IF(I299="Ara","Arabica",IF(I299="Lib","Laberica",""))))</f>
        <v>Robusta</v>
      </c>
      <c r="O299" t="str">
        <f t="shared" si="4"/>
        <v>Dark</v>
      </c>
      <c r="P299" t="str">
        <f>INDEX(customers!$I$1:$I$1001, MATCH(Orders[[#This Row],[Customer ID]], customers!$A$1:$A$1001, 0))</f>
        <v>Yes</v>
      </c>
    </row>
    <row r="300" spans="1:16" x14ac:dyDescent="0.25">
      <c r="A300" s="2" t="s">
        <v>2169</v>
      </c>
      <c r="B300" s="3">
        <v>43872</v>
      </c>
      <c r="C300" s="2" t="s">
        <v>2170</v>
      </c>
      <c r="D300" t="s">
        <v>6184</v>
      </c>
      <c r="E300" s="2">
        <v>6</v>
      </c>
      <c r="F300" s="2" t="str">
        <f>IFERROR(INDEX(customers!B$1:B$1001, MATCH(C300, customers!A$1:A$1001, 0)), "Not Found")</f>
        <v>Ken Lestrange</v>
      </c>
      <c r="G300" s="2" t="str">
        <f>IF(IFERROR(INDEX(customers!C$1:C$1001, MATCH(C300, customers!A$1:A$1001, 0)), "Not Found")=0,"",IFERROR(INDEX(customers!C$1:C$1001, MATCH(C300, customers!A$1:A$1001, 0)), "Not Found"))</f>
        <v>klestrange8a@lulu.com</v>
      </c>
      <c r="H300" s="2" t="str">
        <f>IFERROR(INDEX(customers!G$1:G$1001, MATCH(C300, customers!A$1:A$1001, 0)), "Not Found")</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L300*E300</f>
        <v>26.73</v>
      </c>
      <c r="N300" t="str">
        <f>IF(I300="Rob","Robusta",IF(I300="Exc","Excelsa",IF(I300="Ara","Arabica",IF(I300="Lib","Laberica",""))))</f>
        <v>Excelsa</v>
      </c>
      <c r="O300" t="str">
        <f t="shared" si="4"/>
        <v>Light</v>
      </c>
      <c r="P300" t="str">
        <f>INDEX(customers!$I$1:$I$1001, MATCH(Orders[[#This Row],[Customer ID]], customers!$A$1:$A$1001, 0))</f>
        <v>Yes</v>
      </c>
    </row>
    <row r="301" spans="1:16" x14ac:dyDescent="0.25">
      <c r="A301" s="2" t="s">
        <v>2175</v>
      </c>
      <c r="B301" s="3">
        <v>43582</v>
      </c>
      <c r="C301" s="2" t="s">
        <v>2176</v>
      </c>
      <c r="D301" t="s">
        <v>6148</v>
      </c>
      <c r="E301" s="2">
        <v>6</v>
      </c>
      <c r="F301" s="2" t="str">
        <f>IFERROR(INDEX(customers!B$1:B$1001, MATCH(C301, customers!A$1:A$1001, 0)), "Not Found")</f>
        <v>Lacee Tanti</v>
      </c>
      <c r="G301" s="2" t="str">
        <f>IF(IFERROR(INDEX(customers!C$1:C$1001, MATCH(C301, customers!A$1:A$1001, 0)), "Not Found")=0,"",IFERROR(INDEX(customers!C$1:C$1001, MATCH(C301, customers!A$1:A$1001, 0)), "Not Found"))</f>
        <v>ltanti8b@techcrunch.com</v>
      </c>
      <c r="H301" s="2" t="str">
        <f>IFERROR(INDEX(customers!G$1:G$1001, MATCH(C301, customers!A$1:A$1001, 0)), "Not Found")</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L301*E301</f>
        <v>204.92999999999995</v>
      </c>
      <c r="N301" t="str">
        <f>IF(I301="Rob","Robusta",IF(I301="Exc","Excelsa",IF(I301="Ara","Arabica",IF(I301="Lib","Laberica",""))))</f>
        <v>Excelsa</v>
      </c>
      <c r="O301" t="str">
        <f t="shared" si="4"/>
        <v>Light</v>
      </c>
      <c r="P301" t="str">
        <f>INDEX(customers!$I$1:$I$1001, MATCH(Orders[[#This Row],[Customer ID]], customers!$A$1:$A$1001, 0))</f>
        <v>Yes</v>
      </c>
    </row>
    <row r="302" spans="1:16" x14ac:dyDescent="0.25">
      <c r="A302" s="2" t="s">
        <v>2181</v>
      </c>
      <c r="B302" s="3">
        <v>44646</v>
      </c>
      <c r="C302" s="2" t="s">
        <v>2182</v>
      </c>
      <c r="D302" t="s">
        <v>6140</v>
      </c>
      <c r="E302" s="2">
        <v>3</v>
      </c>
      <c r="F302" s="2" t="str">
        <f>IFERROR(INDEX(customers!B$1:B$1001, MATCH(C302, customers!A$1:A$1001, 0)), "Not Found")</f>
        <v>Arel De Lasci</v>
      </c>
      <c r="G302" s="2" t="str">
        <f>IF(IFERROR(INDEX(customers!C$1:C$1001, MATCH(C302, customers!A$1:A$1001, 0)), "Not Found")=0,"",IFERROR(INDEX(customers!C$1:C$1001, MATCH(C302, customers!A$1:A$1001, 0)), "Not Found"))</f>
        <v>ade8c@1und1.de</v>
      </c>
      <c r="H302" s="2" t="str">
        <f>IFERROR(INDEX(customers!G$1:G$1001, MATCH(C302, customers!A$1:A$1001, 0)), "Not Found")</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L302*E302</f>
        <v>38.849999999999994</v>
      </c>
      <c r="N302" t="str">
        <f>IF(I302="Rob","Robusta",IF(I302="Exc","Excelsa",IF(I302="Ara","Arabica",IF(I302="Lib","Laberica",""))))</f>
        <v>Arabica</v>
      </c>
      <c r="O302" t="str">
        <f t="shared" si="4"/>
        <v>Light</v>
      </c>
      <c r="P302" t="str">
        <f>INDEX(customers!$I$1:$I$1001, MATCH(Orders[[#This Row],[Customer ID]], customers!$A$1:$A$1001, 0))</f>
        <v>Yes</v>
      </c>
    </row>
    <row r="303" spans="1:16" x14ac:dyDescent="0.25">
      <c r="A303" s="2" t="s">
        <v>2187</v>
      </c>
      <c r="B303" s="3">
        <v>44102</v>
      </c>
      <c r="C303" s="2" t="s">
        <v>2188</v>
      </c>
      <c r="D303" t="s">
        <v>6150</v>
      </c>
      <c r="E303" s="2">
        <v>4</v>
      </c>
      <c r="F303" s="2" t="str">
        <f>IFERROR(INDEX(customers!B$1:B$1001, MATCH(C303, customers!A$1:A$1001, 0)), "Not Found")</f>
        <v>Trescha Jedrachowicz</v>
      </c>
      <c r="G303" s="2" t="str">
        <f>IF(IFERROR(INDEX(customers!C$1:C$1001, MATCH(C303, customers!A$1:A$1001, 0)), "Not Found")=0,"",IFERROR(INDEX(customers!C$1:C$1001, MATCH(C303, customers!A$1:A$1001, 0)), "Not Found"))</f>
        <v>tjedrachowicz8d@acquirethisname.com</v>
      </c>
      <c r="H303" s="2" t="str">
        <f>IFERROR(INDEX(customers!G$1:G$1001, MATCH(C303, customers!A$1:A$1001, 0)), "Not Found")</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L303*E303</f>
        <v>15.54</v>
      </c>
      <c r="N303" t="str">
        <f>IF(I303="Rob","Robusta",IF(I303="Exc","Excelsa",IF(I303="Ara","Arabica",IF(I303="Lib","Laberica",""))))</f>
        <v>Laberica</v>
      </c>
      <c r="O303" t="str">
        <f t="shared" si="4"/>
        <v>Dark</v>
      </c>
      <c r="P303" t="str">
        <f>INDEX(customers!$I$1:$I$1001, MATCH(Orders[[#This Row],[Customer ID]], customers!$A$1:$A$1001, 0))</f>
        <v>Yes</v>
      </c>
    </row>
    <row r="304" spans="1:16" x14ac:dyDescent="0.25">
      <c r="A304" s="2" t="s">
        <v>2193</v>
      </c>
      <c r="B304" s="3">
        <v>43762</v>
      </c>
      <c r="C304" s="2" t="s">
        <v>2194</v>
      </c>
      <c r="D304" t="s">
        <v>6157</v>
      </c>
      <c r="E304" s="2">
        <v>1</v>
      </c>
      <c r="F304" s="2" t="str">
        <f>IFERROR(INDEX(customers!B$1:B$1001, MATCH(C304, customers!A$1:A$1001, 0)), "Not Found")</f>
        <v>Perkin Stonner</v>
      </c>
      <c r="G304" s="2" t="str">
        <f>IF(IFERROR(INDEX(customers!C$1:C$1001, MATCH(C304, customers!A$1:A$1001, 0)), "Not Found")=0,"",IFERROR(INDEX(customers!C$1:C$1001, MATCH(C304, customers!A$1:A$1001, 0)), "Not Found"))</f>
        <v>pstonner8e@moonfruit.com</v>
      </c>
      <c r="H304" s="2" t="str">
        <f>IFERROR(INDEX(customers!G$1:G$1001, MATCH(C304, customers!A$1:A$1001, 0)), "Not Found")</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L304*E304</f>
        <v>6.75</v>
      </c>
      <c r="N304" t="str">
        <f>IF(I304="Rob","Robusta",IF(I304="Exc","Excelsa",IF(I304="Ara","Arabica",IF(I304="Lib","Laberica",""))))</f>
        <v>Arabica</v>
      </c>
      <c r="O304" t="str">
        <f t="shared" si="4"/>
        <v>Medium</v>
      </c>
      <c r="P304" t="str">
        <f>INDEX(customers!$I$1:$I$1001, MATCH(Orders[[#This Row],[Customer ID]], customers!$A$1:$A$1001, 0))</f>
        <v>No</v>
      </c>
    </row>
    <row r="305" spans="1:16" x14ac:dyDescent="0.25">
      <c r="A305" s="2" t="s">
        <v>2199</v>
      </c>
      <c r="B305" s="3">
        <v>44412</v>
      </c>
      <c r="C305" s="2" t="s">
        <v>2200</v>
      </c>
      <c r="D305" t="s">
        <v>6185</v>
      </c>
      <c r="E305" s="2">
        <v>4</v>
      </c>
      <c r="F305" s="2" t="str">
        <f>IFERROR(INDEX(customers!B$1:B$1001, MATCH(C305, customers!A$1:A$1001, 0)), "Not Found")</f>
        <v>Darrin Tingly</v>
      </c>
      <c r="G305" s="2" t="str">
        <f>IF(IFERROR(INDEX(customers!C$1:C$1001, MATCH(C305, customers!A$1:A$1001, 0)), "Not Found")=0,"",IFERROR(INDEX(customers!C$1:C$1001, MATCH(C305, customers!A$1:A$1001, 0)), "Not Found"))</f>
        <v>dtingly8f@goo.ne.jp</v>
      </c>
      <c r="H305" s="2" t="str">
        <f>IFERROR(INDEX(customers!G$1:G$1001, MATCH(C305, customers!A$1:A$1001, 0)), "Not Found")</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L305*E305</f>
        <v>111.78</v>
      </c>
      <c r="N305" t="str">
        <f>IF(I305="Rob","Robusta",IF(I305="Exc","Excelsa",IF(I305="Ara","Arabica",IF(I305="Lib","Laberica",""))))</f>
        <v>Excelsa</v>
      </c>
      <c r="O305" t="str">
        <f t="shared" si="4"/>
        <v>Dark</v>
      </c>
      <c r="P305" t="str">
        <f>INDEX(customers!$I$1:$I$1001, MATCH(Orders[[#This Row],[Customer ID]], customers!$A$1:$A$1001, 0))</f>
        <v>Yes</v>
      </c>
    </row>
    <row r="306" spans="1:16" x14ac:dyDescent="0.25">
      <c r="A306" s="2" t="s">
        <v>2204</v>
      </c>
      <c r="B306" s="3">
        <v>43828</v>
      </c>
      <c r="C306" s="2" t="s">
        <v>2245</v>
      </c>
      <c r="D306" t="s">
        <v>6167</v>
      </c>
      <c r="E306" s="2">
        <v>1</v>
      </c>
      <c r="F306" s="2" t="str">
        <f>IFERROR(INDEX(customers!B$1:B$1001, MATCH(C306, customers!A$1:A$1001, 0)), "Not Found")</f>
        <v>Claudetta Rushe</v>
      </c>
      <c r="G306" s="2" t="str">
        <f>IF(IFERROR(INDEX(customers!C$1:C$1001, MATCH(C306, customers!A$1:A$1001, 0)), "Not Found")=0,"",IFERROR(INDEX(customers!C$1:C$1001, MATCH(C306, customers!A$1:A$1001, 0)), "Not Found"))</f>
        <v>crushe8n@about.me</v>
      </c>
      <c r="H306" s="2" t="str">
        <f>IFERROR(INDEX(customers!G$1:G$1001, MATCH(C306, customers!A$1:A$1001, 0)), "Not Found")</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L306*E306</f>
        <v>3.8849999999999998</v>
      </c>
      <c r="N306" t="str">
        <f>IF(I306="Rob","Robusta",IF(I306="Exc","Excelsa",IF(I306="Ara","Arabica",IF(I306="Lib","Laberica",""))))</f>
        <v>Arabica</v>
      </c>
      <c r="O306" t="str">
        <f t="shared" si="4"/>
        <v>Light</v>
      </c>
      <c r="P306" t="str">
        <f>INDEX(customers!$I$1:$I$1001, MATCH(Orders[[#This Row],[Customer ID]], customers!$A$1:$A$1001, 0))</f>
        <v>Yes</v>
      </c>
    </row>
    <row r="307" spans="1:16" x14ac:dyDescent="0.25">
      <c r="A307" s="2" t="s">
        <v>2209</v>
      </c>
      <c r="B307" s="3">
        <v>43796</v>
      </c>
      <c r="C307" s="2" t="s">
        <v>2210</v>
      </c>
      <c r="D307" t="s">
        <v>6159</v>
      </c>
      <c r="E307" s="2">
        <v>5</v>
      </c>
      <c r="F307" s="2" t="str">
        <f>IFERROR(INDEX(customers!B$1:B$1001, MATCH(C307, customers!A$1:A$1001, 0)), "Not Found")</f>
        <v>Benn Checci</v>
      </c>
      <c r="G307" s="2" t="str">
        <f>IF(IFERROR(INDEX(customers!C$1:C$1001, MATCH(C307, customers!A$1:A$1001, 0)), "Not Found")=0,"",IFERROR(INDEX(customers!C$1:C$1001, MATCH(C307, customers!A$1:A$1001, 0)), "Not Found"))</f>
        <v>bchecci8h@usa.gov</v>
      </c>
      <c r="H307" s="2" t="str">
        <f>IFERROR(INDEX(customers!G$1:G$1001, MATCH(C307, customers!A$1:A$1001, 0)), "Not Found")</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L307*E307</f>
        <v>21.825000000000003</v>
      </c>
      <c r="N307" t="str">
        <f>IF(I307="Rob","Robusta",IF(I307="Exc","Excelsa",IF(I307="Ara","Arabica",IF(I307="Lib","Laberica",""))))</f>
        <v>Laberica</v>
      </c>
      <c r="O307" t="str">
        <f t="shared" si="4"/>
        <v>Medium</v>
      </c>
      <c r="P307" t="str">
        <f>INDEX(customers!$I$1:$I$1001, MATCH(Orders[[#This Row],[Customer ID]], customers!$A$1:$A$1001, 0))</f>
        <v>No</v>
      </c>
    </row>
    <row r="308" spans="1:16" x14ac:dyDescent="0.25">
      <c r="A308" s="2" t="s">
        <v>2215</v>
      </c>
      <c r="B308" s="3">
        <v>43890</v>
      </c>
      <c r="C308" s="2" t="s">
        <v>2216</v>
      </c>
      <c r="D308" t="s">
        <v>6174</v>
      </c>
      <c r="E308" s="2">
        <v>5</v>
      </c>
      <c r="F308" s="2" t="str">
        <f>IFERROR(INDEX(customers!B$1:B$1001, MATCH(C308, customers!A$1:A$1001, 0)), "Not Found")</f>
        <v>Janifer Bagot</v>
      </c>
      <c r="G308" s="2" t="str">
        <f>IF(IFERROR(INDEX(customers!C$1:C$1001, MATCH(C308, customers!A$1:A$1001, 0)), "Not Found")=0,"",IFERROR(INDEX(customers!C$1:C$1001, MATCH(C308, customers!A$1:A$1001, 0)), "Not Found"))</f>
        <v>jbagot8i@mac.com</v>
      </c>
      <c r="H308" s="2" t="str">
        <f>IFERROR(INDEX(customers!G$1:G$1001, MATCH(C308, customers!A$1:A$1001, 0)), "Not Found")</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L308*E308</f>
        <v>14.924999999999999</v>
      </c>
      <c r="N308" t="str">
        <f>IF(I308="Rob","Robusta",IF(I308="Exc","Excelsa",IF(I308="Ara","Arabica",IF(I308="Lib","Laberica",""))))</f>
        <v>Robusta</v>
      </c>
      <c r="O308" t="str">
        <f t="shared" si="4"/>
        <v>Medium</v>
      </c>
      <c r="P308" t="str">
        <f>INDEX(customers!$I$1:$I$1001, MATCH(Orders[[#This Row],[Customer ID]], customers!$A$1:$A$1001, 0))</f>
        <v>No</v>
      </c>
    </row>
    <row r="309" spans="1:16" x14ac:dyDescent="0.25">
      <c r="A309" s="2" t="s">
        <v>2221</v>
      </c>
      <c r="B309" s="3">
        <v>44227</v>
      </c>
      <c r="C309" s="2" t="s">
        <v>2222</v>
      </c>
      <c r="D309" t="s">
        <v>6155</v>
      </c>
      <c r="E309" s="2">
        <v>3</v>
      </c>
      <c r="F309" s="2" t="str">
        <f>IFERROR(INDEX(customers!B$1:B$1001, MATCH(C309, customers!A$1:A$1001, 0)), "Not Found")</f>
        <v>Ermin Beeble</v>
      </c>
      <c r="G309" s="2" t="str">
        <f>IF(IFERROR(INDEX(customers!C$1:C$1001, MATCH(C309, customers!A$1:A$1001, 0)), "Not Found")=0,"",IFERROR(INDEX(customers!C$1:C$1001, MATCH(C309, customers!A$1:A$1001, 0)), "Not Found"))</f>
        <v>ebeeble8j@soundcloud.com</v>
      </c>
      <c r="H309" s="2" t="str">
        <f>IFERROR(INDEX(customers!G$1:G$1001, MATCH(C309, customers!A$1:A$1001, 0)), "Not Found")</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L309*E309</f>
        <v>33.75</v>
      </c>
      <c r="N309" t="str">
        <f>IF(I309="Rob","Robusta",IF(I309="Exc","Excelsa",IF(I309="Ara","Arabica",IF(I309="Lib","Laberica",""))))</f>
        <v>Arabica</v>
      </c>
      <c r="O309" t="str">
        <f t="shared" si="4"/>
        <v>Medium</v>
      </c>
      <c r="P309" t="str">
        <f>INDEX(customers!$I$1:$I$1001, MATCH(Orders[[#This Row],[Customer ID]], customers!$A$1:$A$1001, 0))</f>
        <v>Yes</v>
      </c>
    </row>
    <row r="310" spans="1:16" x14ac:dyDescent="0.25">
      <c r="A310" s="2" t="s">
        <v>2227</v>
      </c>
      <c r="B310" s="3">
        <v>44729</v>
      </c>
      <c r="C310" s="2" t="s">
        <v>2228</v>
      </c>
      <c r="D310" t="s">
        <v>6155</v>
      </c>
      <c r="E310" s="2">
        <v>3</v>
      </c>
      <c r="F310" s="2" t="str">
        <f>IFERROR(INDEX(customers!B$1:B$1001, MATCH(C310, customers!A$1:A$1001, 0)), "Not Found")</f>
        <v>Cos Fluin</v>
      </c>
      <c r="G310" s="2" t="str">
        <f>IF(IFERROR(INDEX(customers!C$1:C$1001, MATCH(C310, customers!A$1:A$1001, 0)), "Not Found")=0,"",IFERROR(INDEX(customers!C$1:C$1001, MATCH(C310, customers!A$1:A$1001, 0)), "Not Found"))</f>
        <v>cfluin8k@flickr.com</v>
      </c>
      <c r="H310" s="2" t="str">
        <f>IFERROR(INDEX(customers!G$1:G$1001, MATCH(C310, customers!A$1:A$1001, 0)), "Not Found")</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L310*E310</f>
        <v>33.75</v>
      </c>
      <c r="N310" t="str">
        <f>IF(I310="Rob","Robusta",IF(I310="Exc","Excelsa",IF(I310="Ara","Arabica",IF(I310="Lib","Laberica",""))))</f>
        <v>Arabica</v>
      </c>
      <c r="O310" t="str">
        <f t="shared" si="4"/>
        <v>Medium</v>
      </c>
      <c r="P310" t="str">
        <f>INDEX(customers!$I$1:$I$1001, MATCH(Orders[[#This Row],[Customer ID]], customers!$A$1:$A$1001, 0))</f>
        <v>No</v>
      </c>
    </row>
    <row r="311" spans="1:16" x14ac:dyDescent="0.25">
      <c r="A311" s="2" t="s">
        <v>2232</v>
      </c>
      <c r="B311" s="3">
        <v>43864</v>
      </c>
      <c r="C311" s="2" t="s">
        <v>2233</v>
      </c>
      <c r="D311" t="s">
        <v>6159</v>
      </c>
      <c r="E311" s="2">
        <v>6</v>
      </c>
      <c r="F311" s="2" t="str">
        <f>IFERROR(INDEX(customers!B$1:B$1001, MATCH(C311, customers!A$1:A$1001, 0)), "Not Found")</f>
        <v>Eveleen Bletsor</v>
      </c>
      <c r="G311" s="2" t="str">
        <f>IF(IFERROR(INDEX(customers!C$1:C$1001, MATCH(C311, customers!A$1:A$1001, 0)), "Not Found")=0,"",IFERROR(INDEX(customers!C$1:C$1001, MATCH(C311, customers!A$1:A$1001, 0)), "Not Found"))</f>
        <v>ebletsor8l@vinaora.com</v>
      </c>
      <c r="H311" s="2" t="str">
        <f>IFERROR(INDEX(customers!G$1:G$1001, MATCH(C311, customers!A$1:A$1001, 0)), "Not Found")</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L311*E311</f>
        <v>26.19</v>
      </c>
      <c r="N311" t="str">
        <f>IF(I311="Rob","Robusta",IF(I311="Exc","Excelsa",IF(I311="Ara","Arabica",IF(I311="Lib","Laberica",""))))</f>
        <v>Laberica</v>
      </c>
      <c r="O311" t="str">
        <f t="shared" si="4"/>
        <v>Medium</v>
      </c>
      <c r="P311" t="str">
        <f>INDEX(customers!$I$1:$I$1001, MATCH(Orders[[#This Row],[Customer ID]], customers!$A$1:$A$1001, 0))</f>
        <v>Yes</v>
      </c>
    </row>
    <row r="312" spans="1:16" x14ac:dyDescent="0.25">
      <c r="A312" s="2" t="s">
        <v>2238</v>
      </c>
      <c r="B312" s="3">
        <v>44586</v>
      </c>
      <c r="C312" s="2" t="s">
        <v>2239</v>
      </c>
      <c r="D312" t="s">
        <v>6171</v>
      </c>
      <c r="E312" s="2">
        <v>1</v>
      </c>
      <c r="F312" s="2" t="str">
        <f>IFERROR(INDEX(customers!B$1:B$1001, MATCH(C312, customers!A$1:A$1001, 0)), "Not Found")</f>
        <v>Paola Brydell</v>
      </c>
      <c r="G312" s="2" t="str">
        <f>IF(IFERROR(INDEX(customers!C$1:C$1001, MATCH(C312, customers!A$1:A$1001, 0)), "Not Found")=0,"",IFERROR(INDEX(customers!C$1:C$1001, MATCH(C312, customers!A$1:A$1001, 0)), "Not Found"))</f>
        <v>pbrydell8m@bloglovin.com</v>
      </c>
      <c r="H312" s="2" t="str">
        <f>IFERROR(INDEX(customers!G$1:G$1001, MATCH(C312, customers!A$1:A$1001, 0)), "Not Found")</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L312*E312</f>
        <v>14.85</v>
      </c>
      <c r="N312" t="str">
        <f>IF(I312="Rob","Robusta",IF(I312="Exc","Excelsa",IF(I312="Ara","Arabica",IF(I312="Lib","Laberica",""))))</f>
        <v>Excelsa</v>
      </c>
      <c r="O312" t="str">
        <f t="shared" si="4"/>
        <v>Light</v>
      </c>
      <c r="P312" t="str">
        <f>INDEX(customers!$I$1:$I$1001, MATCH(Orders[[#This Row],[Customer ID]], customers!$A$1:$A$1001, 0))</f>
        <v>No</v>
      </c>
    </row>
    <row r="313" spans="1:16" x14ac:dyDescent="0.25">
      <c r="A313" s="2" t="s">
        <v>2244</v>
      </c>
      <c r="B313" s="3">
        <v>43951</v>
      </c>
      <c r="C313" s="2" t="s">
        <v>2245</v>
      </c>
      <c r="D313" t="s">
        <v>6166</v>
      </c>
      <c r="E313" s="2">
        <v>6</v>
      </c>
      <c r="F313" s="2" t="str">
        <f>IFERROR(INDEX(customers!B$1:B$1001, MATCH(C313, customers!A$1:A$1001, 0)), "Not Found")</f>
        <v>Claudetta Rushe</v>
      </c>
      <c r="G313" s="2" t="str">
        <f>IF(IFERROR(INDEX(customers!C$1:C$1001, MATCH(C313, customers!A$1:A$1001, 0)), "Not Found")=0,"",IFERROR(INDEX(customers!C$1:C$1001, MATCH(C313, customers!A$1:A$1001, 0)), "Not Found"))</f>
        <v>crushe8n@about.me</v>
      </c>
      <c r="H313" s="2" t="str">
        <f>IFERROR(INDEX(customers!G$1:G$1001, MATCH(C313, customers!A$1:A$1001, 0)), "Not Found")</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L313*E313</f>
        <v>189.74999999999997</v>
      </c>
      <c r="N313" t="str">
        <f>IF(I313="Rob","Robusta",IF(I313="Exc","Excelsa",IF(I313="Ara","Arabica",IF(I313="Lib","Laberica",""))))</f>
        <v>Excelsa</v>
      </c>
      <c r="O313" t="str">
        <f t="shared" si="4"/>
        <v>Medium</v>
      </c>
      <c r="P313" t="str">
        <f>INDEX(customers!$I$1:$I$1001, MATCH(Orders[[#This Row],[Customer ID]], customers!$A$1:$A$1001, 0))</f>
        <v>Yes</v>
      </c>
    </row>
    <row r="314" spans="1:16" x14ac:dyDescent="0.25">
      <c r="A314" s="2" t="s">
        <v>2250</v>
      </c>
      <c r="B314" s="3">
        <v>44317</v>
      </c>
      <c r="C314" s="2" t="s">
        <v>2251</v>
      </c>
      <c r="D314" t="s">
        <v>6146</v>
      </c>
      <c r="E314" s="2">
        <v>1</v>
      </c>
      <c r="F314" s="2" t="str">
        <f>IFERROR(INDEX(customers!B$1:B$1001, MATCH(C314, customers!A$1:A$1001, 0)), "Not Found")</f>
        <v>Natka Leethem</v>
      </c>
      <c r="G314" s="2" t="str">
        <f>IF(IFERROR(INDEX(customers!C$1:C$1001, MATCH(C314, customers!A$1:A$1001, 0)), "Not Found")=0,"",IFERROR(INDEX(customers!C$1:C$1001, MATCH(C314, customers!A$1:A$1001, 0)), "Not Found"))</f>
        <v>nleethem8o@mac.com</v>
      </c>
      <c r="H314" s="2" t="str">
        <f>IFERROR(INDEX(customers!G$1:G$1001, MATCH(C314, customers!A$1:A$1001, 0)), "Not Found")</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L314*E314</f>
        <v>5.97</v>
      </c>
      <c r="N314" t="str">
        <f>IF(I314="Rob","Robusta",IF(I314="Exc","Excelsa",IF(I314="Ara","Arabica",IF(I314="Lib","Laberica",""))))</f>
        <v>Robusta</v>
      </c>
      <c r="O314" t="str">
        <f t="shared" si="4"/>
        <v>Medium</v>
      </c>
      <c r="P314" t="str">
        <f>INDEX(customers!$I$1:$I$1001, MATCH(Orders[[#This Row],[Customer ID]], customers!$A$1:$A$1001, 0))</f>
        <v>Yes</v>
      </c>
    </row>
    <row r="315" spans="1:16" x14ac:dyDescent="0.25">
      <c r="A315" s="2" t="s">
        <v>2256</v>
      </c>
      <c r="B315" s="3">
        <v>44497</v>
      </c>
      <c r="C315" s="2" t="s">
        <v>2257</v>
      </c>
      <c r="D315" t="s">
        <v>6138</v>
      </c>
      <c r="E315" s="2">
        <v>3</v>
      </c>
      <c r="F315" s="2" t="str">
        <f>IFERROR(INDEX(customers!B$1:B$1001, MATCH(C315, customers!A$1:A$1001, 0)), "Not Found")</f>
        <v>Ailene Nesfield</v>
      </c>
      <c r="G315" s="2" t="str">
        <f>IF(IFERROR(INDEX(customers!C$1:C$1001, MATCH(C315, customers!A$1:A$1001, 0)), "Not Found")=0,"",IFERROR(INDEX(customers!C$1:C$1001, MATCH(C315, customers!A$1:A$1001, 0)), "Not Found"))</f>
        <v>anesfield8p@people.com.cn</v>
      </c>
      <c r="H315" s="2" t="str">
        <f>IFERROR(INDEX(customers!G$1:G$1001, MATCH(C315, customers!A$1:A$1001, 0)), "Not Found")</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L315*E315</f>
        <v>29.849999999999998</v>
      </c>
      <c r="N315" t="str">
        <f>IF(I315="Rob","Robusta",IF(I315="Exc","Excelsa",IF(I315="Ara","Arabica",IF(I315="Lib","Laberica",""))))</f>
        <v>Robusta</v>
      </c>
      <c r="O315" t="str">
        <f t="shared" si="4"/>
        <v>Medium</v>
      </c>
      <c r="P315" t="str">
        <f>INDEX(customers!$I$1:$I$1001, MATCH(Orders[[#This Row],[Customer ID]], customers!$A$1:$A$1001, 0))</f>
        <v>Yes</v>
      </c>
    </row>
    <row r="316" spans="1:16" x14ac:dyDescent="0.25">
      <c r="A316" s="2" t="s">
        <v>2262</v>
      </c>
      <c r="B316" s="3">
        <v>44437</v>
      </c>
      <c r="C316" s="2" t="s">
        <v>2263</v>
      </c>
      <c r="D316" t="s">
        <v>6177</v>
      </c>
      <c r="E316" s="2">
        <v>5</v>
      </c>
      <c r="F316" s="2" t="str">
        <f>IFERROR(INDEX(customers!B$1:B$1001, MATCH(C316, customers!A$1:A$1001, 0)), "Not Found")</f>
        <v>Stacy Pickworth</v>
      </c>
      <c r="G316" s="2" t="str">
        <f>IF(IFERROR(INDEX(customers!C$1:C$1001, MATCH(C316, customers!A$1:A$1001, 0)), "Not Found")=0,"",IFERROR(INDEX(customers!C$1:C$1001, MATCH(C316, customers!A$1:A$1001, 0)), "Not Found"))</f>
        <v/>
      </c>
      <c r="H316" s="2" t="str">
        <f>IFERROR(INDEX(customers!G$1:G$1001, MATCH(C316, customers!A$1:A$1001, 0)), "Not Found")</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L316*E316</f>
        <v>44.75</v>
      </c>
      <c r="N316" t="str">
        <f>IF(I316="Rob","Robusta",IF(I316="Exc","Excelsa",IF(I316="Ara","Arabica",IF(I316="Lib","Laberica",""))))</f>
        <v>Robusta</v>
      </c>
      <c r="O316" t="str">
        <f t="shared" si="4"/>
        <v>Dark</v>
      </c>
      <c r="P316" t="str">
        <f>INDEX(customers!$I$1:$I$1001, MATCH(Orders[[#This Row],[Customer ID]], customers!$A$1:$A$1001, 0))</f>
        <v>No</v>
      </c>
    </row>
    <row r="317" spans="1:16" x14ac:dyDescent="0.25">
      <c r="A317" s="2" t="s">
        <v>2267</v>
      </c>
      <c r="B317" s="3">
        <v>43826</v>
      </c>
      <c r="C317" s="2" t="s">
        <v>2268</v>
      </c>
      <c r="D317" t="s">
        <v>6148</v>
      </c>
      <c r="E317" s="2">
        <v>1</v>
      </c>
      <c r="F317" s="2" t="str">
        <f>IFERROR(INDEX(customers!B$1:B$1001, MATCH(C317, customers!A$1:A$1001, 0)), "Not Found")</f>
        <v>Melli Brockway</v>
      </c>
      <c r="G317" s="2" t="str">
        <f>IF(IFERROR(INDEX(customers!C$1:C$1001, MATCH(C317, customers!A$1:A$1001, 0)), "Not Found")=0,"",IFERROR(INDEX(customers!C$1:C$1001, MATCH(C317, customers!A$1:A$1001, 0)), "Not Found"))</f>
        <v>mbrockway8r@ibm.com</v>
      </c>
      <c r="H317" s="2" t="str">
        <f>IFERROR(INDEX(customers!G$1:G$1001, MATCH(C317, customers!A$1:A$1001, 0)), "Not Found")</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L317*E317</f>
        <v>34.154999999999994</v>
      </c>
      <c r="N317" t="str">
        <f>IF(I317="Rob","Robusta",IF(I317="Exc","Excelsa",IF(I317="Ara","Arabica",IF(I317="Lib","Laberica",""))))</f>
        <v>Excelsa</v>
      </c>
      <c r="O317" t="str">
        <f t="shared" si="4"/>
        <v>Light</v>
      </c>
      <c r="P317" t="str">
        <f>INDEX(customers!$I$1:$I$1001, MATCH(Orders[[#This Row],[Customer ID]], customers!$A$1:$A$1001, 0))</f>
        <v>Yes</v>
      </c>
    </row>
    <row r="318" spans="1:16" x14ac:dyDescent="0.25">
      <c r="A318" s="2" t="s">
        <v>2273</v>
      </c>
      <c r="B318" s="3">
        <v>43641</v>
      </c>
      <c r="C318" s="2" t="s">
        <v>2274</v>
      </c>
      <c r="D318" t="s">
        <v>6148</v>
      </c>
      <c r="E318" s="2">
        <v>6</v>
      </c>
      <c r="F318" s="2" t="str">
        <f>IFERROR(INDEX(customers!B$1:B$1001, MATCH(C318, customers!A$1:A$1001, 0)), "Not Found")</f>
        <v>Nanny Lush</v>
      </c>
      <c r="G318" s="2" t="str">
        <f>IF(IFERROR(INDEX(customers!C$1:C$1001, MATCH(C318, customers!A$1:A$1001, 0)), "Not Found")=0,"",IFERROR(INDEX(customers!C$1:C$1001, MATCH(C318, customers!A$1:A$1001, 0)), "Not Found"))</f>
        <v>nlush8s@dedecms.com</v>
      </c>
      <c r="H318" s="2" t="str">
        <f>IFERROR(INDEX(customers!G$1:G$1001, MATCH(C318, customers!A$1:A$1001, 0)), "Not Found")</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L318*E318</f>
        <v>204.92999999999995</v>
      </c>
      <c r="N318" t="str">
        <f>IF(I318="Rob","Robusta",IF(I318="Exc","Excelsa",IF(I318="Ara","Arabica",IF(I318="Lib","Laberica",""))))</f>
        <v>Excelsa</v>
      </c>
      <c r="O318" t="str">
        <f t="shared" si="4"/>
        <v>Light</v>
      </c>
      <c r="P318" t="str">
        <f>INDEX(customers!$I$1:$I$1001, MATCH(Orders[[#This Row],[Customer ID]], customers!$A$1:$A$1001, 0))</f>
        <v>No</v>
      </c>
    </row>
    <row r="319" spans="1:16" x14ac:dyDescent="0.25">
      <c r="A319" s="2" t="s">
        <v>2279</v>
      </c>
      <c r="B319" s="3">
        <v>43526</v>
      </c>
      <c r="C319" s="2" t="s">
        <v>2280</v>
      </c>
      <c r="D319" t="s">
        <v>6144</v>
      </c>
      <c r="E319" s="2">
        <v>3</v>
      </c>
      <c r="F319" s="2" t="str">
        <f>IFERROR(INDEX(customers!B$1:B$1001, MATCH(C319, customers!A$1:A$1001, 0)), "Not Found")</f>
        <v>Selma McMillian</v>
      </c>
      <c r="G319" s="2" t="str">
        <f>IF(IFERROR(INDEX(customers!C$1:C$1001, MATCH(C319, customers!A$1:A$1001, 0)), "Not Found")=0,"",IFERROR(INDEX(customers!C$1:C$1001, MATCH(C319, customers!A$1:A$1001, 0)), "Not Found"))</f>
        <v>smcmillian8t@csmonitor.com</v>
      </c>
      <c r="H319" s="2" t="str">
        <f>IFERROR(INDEX(customers!G$1:G$1001, MATCH(C319, customers!A$1:A$1001, 0)), "Not Found")</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L319*E319</f>
        <v>21.87</v>
      </c>
      <c r="N319" t="str">
        <f>IF(I319="Rob","Robusta",IF(I319="Exc","Excelsa",IF(I319="Ara","Arabica",IF(I319="Lib","Laberica",""))))</f>
        <v>Excelsa</v>
      </c>
      <c r="O319" t="str">
        <f t="shared" si="4"/>
        <v>Dark</v>
      </c>
      <c r="P319" t="str">
        <f>INDEX(customers!$I$1:$I$1001, MATCH(Orders[[#This Row],[Customer ID]], customers!$A$1:$A$1001, 0))</f>
        <v>No</v>
      </c>
    </row>
    <row r="320" spans="1:16" x14ac:dyDescent="0.25">
      <c r="A320" s="2" t="s">
        <v>2285</v>
      </c>
      <c r="B320" s="3">
        <v>44563</v>
      </c>
      <c r="C320" s="2" t="s">
        <v>2286</v>
      </c>
      <c r="D320" t="s">
        <v>6175</v>
      </c>
      <c r="E320" s="2">
        <v>2</v>
      </c>
      <c r="F320" s="2" t="str">
        <f>IFERROR(INDEX(customers!B$1:B$1001, MATCH(C320, customers!A$1:A$1001, 0)), "Not Found")</f>
        <v>Tess Bennison</v>
      </c>
      <c r="G320" s="2" t="str">
        <f>IF(IFERROR(INDEX(customers!C$1:C$1001, MATCH(C320, customers!A$1:A$1001, 0)), "Not Found")=0,"",IFERROR(INDEX(customers!C$1:C$1001, MATCH(C320, customers!A$1:A$1001, 0)), "Not Found"))</f>
        <v>tbennison8u@google.cn</v>
      </c>
      <c r="H320" s="2" t="str">
        <f>IFERROR(INDEX(customers!G$1:G$1001, MATCH(C320, customers!A$1:A$1001, 0)), "Not Found")</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L320*E320</f>
        <v>51.749999999999993</v>
      </c>
      <c r="N320" t="str">
        <f>IF(I320="Rob","Robusta",IF(I320="Exc","Excelsa",IF(I320="Ara","Arabica",IF(I320="Lib","Laberica",""))))</f>
        <v>Arabica</v>
      </c>
      <c r="O320" t="str">
        <f t="shared" si="4"/>
        <v>Medium</v>
      </c>
      <c r="P320" t="str">
        <f>INDEX(customers!$I$1:$I$1001, MATCH(Orders[[#This Row],[Customer ID]], customers!$A$1:$A$1001, 0))</f>
        <v>Yes</v>
      </c>
    </row>
    <row r="321" spans="1:16" x14ac:dyDescent="0.25">
      <c r="A321" s="2" t="s">
        <v>2291</v>
      </c>
      <c r="B321" s="3">
        <v>43676</v>
      </c>
      <c r="C321" s="2" t="s">
        <v>2292</v>
      </c>
      <c r="D321" t="s">
        <v>6156</v>
      </c>
      <c r="E321" s="2">
        <v>2</v>
      </c>
      <c r="F321" s="2" t="str">
        <f>IFERROR(INDEX(customers!B$1:B$1001, MATCH(C321, customers!A$1:A$1001, 0)), "Not Found")</f>
        <v>Gabie Tweed</v>
      </c>
      <c r="G321" s="2" t="str">
        <f>IF(IFERROR(INDEX(customers!C$1:C$1001, MATCH(C321, customers!A$1:A$1001, 0)), "Not Found")=0,"",IFERROR(INDEX(customers!C$1:C$1001, MATCH(C321, customers!A$1:A$1001, 0)), "Not Found"))</f>
        <v>gtweed8v@yolasite.com</v>
      </c>
      <c r="H321" s="2" t="str">
        <f>IFERROR(INDEX(customers!G$1:G$1001, MATCH(C321, customers!A$1:A$1001, 0)), "Not Found")</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L321*E321</f>
        <v>8.25</v>
      </c>
      <c r="N321" t="str">
        <f>IF(I321="Rob","Robusta",IF(I321="Exc","Excelsa",IF(I321="Ara","Arabica",IF(I321="Lib","Laberica",""))))</f>
        <v>Excelsa</v>
      </c>
      <c r="O321" t="str">
        <f t="shared" si="4"/>
        <v>Medium</v>
      </c>
      <c r="P321" t="str">
        <f>INDEX(customers!$I$1:$I$1001, MATCH(Orders[[#This Row],[Customer ID]], customers!$A$1:$A$1001, 0))</f>
        <v>Yes</v>
      </c>
    </row>
    <row r="322" spans="1:16" x14ac:dyDescent="0.25">
      <c r="A322" s="2" t="s">
        <v>2291</v>
      </c>
      <c r="B322" s="3">
        <v>43676</v>
      </c>
      <c r="C322" s="2" t="s">
        <v>2292</v>
      </c>
      <c r="D322" t="s">
        <v>6167</v>
      </c>
      <c r="E322" s="2">
        <v>5</v>
      </c>
      <c r="F322" s="2" t="str">
        <f>IFERROR(INDEX(customers!B$1:B$1001, MATCH(C322, customers!A$1:A$1001, 0)), "Not Found")</f>
        <v>Gabie Tweed</v>
      </c>
      <c r="G322" s="2" t="str">
        <f>IF(IFERROR(INDEX(customers!C$1:C$1001, MATCH(C322, customers!A$1:A$1001, 0)), "Not Found")=0,"",IFERROR(INDEX(customers!C$1:C$1001, MATCH(C322, customers!A$1:A$1001, 0)), "Not Found"))</f>
        <v>gtweed8v@yolasite.com</v>
      </c>
      <c r="H322" s="2" t="str">
        <f>IFERROR(INDEX(customers!G$1:G$1001, MATCH(C322, customers!A$1:A$1001, 0)), "Not Found")</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L322*E322</f>
        <v>19.424999999999997</v>
      </c>
      <c r="N322" t="str">
        <f>IF(I322="Rob","Robusta",IF(I322="Exc","Excelsa",IF(I322="Ara","Arabica",IF(I322="Lib","Laberica",""))))</f>
        <v>Arabica</v>
      </c>
      <c r="O322" t="str">
        <f t="shared" si="4"/>
        <v>Light</v>
      </c>
      <c r="P322" t="str">
        <f>INDEX(customers!$I$1:$I$1001, MATCH(Orders[[#This Row],[Customer ID]], customers!$A$1:$A$1001, 0))</f>
        <v>Yes</v>
      </c>
    </row>
    <row r="323" spans="1:16" x14ac:dyDescent="0.25">
      <c r="A323" s="2" t="s">
        <v>2301</v>
      </c>
      <c r="B323" s="3">
        <v>44170</v>
      </c>
      <c r="C323" s="2" t="s">
        <v>2302</v>
      </c>
      <c r="D323" t="s">
        <v>6152</v>
      </c>
      <c r="E323" s="2">
        <v>6</v>
      </c>
      <c r="F323" s="2" t="str">
        <f>IFERROR(INDEX(customers!B$1:B$1001, MATCH(C323, customers!A$1:A$1001, 0)), "Not Found")</f>
        <v>Gaile Goggin</v>
      </c>
      <c r="G323" s="2" t="str">
        <f>IF(IFERROR(INDEX(customers!C$1:C$1001, MATCH(C323, customers!A$1:A$1001, 0)), "Not Found")=0,"",IFERROR(INDEX(customers!C$1:C$1001, MATCH(C323, customers!A$1:A$1001, 0)), "Not Found"))</f>
        <v>ggoggin8x@wix.com</v>
      </c>
      <c r="H323" s="2" t="str">
        <f>IFERROR(INDEX(customers!G$1:G$1001, MATCH(C323, customers!A$1:A$1001, 0)), "Not Found")</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L323*E323</f>
        <v>20.25</v>
      </c>
      <c r="N323" t="str">
        <f>IF(I323="Rob","Robusta",IF(I323="Exc","Excelsa",IF(I323="Ara","Arabica",IF(I323="Lib","Laberica",""))))</f>
        <v>Arabica</v>
      </c>
      <c r="O323" t="str">
        <f t="shared" ref="O323:O386" si="5">IF(J323="M","Medium",IF(J323="L","Light",IF(J323="D","Dark","")))</f>
        <v>Medium</v>
      </c>
      <c r="P323" t="str">
        <f>INDEX(customers!$I$1:$I$1001, MATCH(Orders[[#This Row],[Customer ID]], customers!$A$1:$A$1001, 0))</f>
        <v>Yes</v>
      </c>
    </row>
    <row r="324" spans="1:16" x14ac:dyDescent="0.25">
      <c r="A324" s="2" t="s">
        <v>2307</v>
      </c>
      <c r="B324" s="3">
        <v>44182</v>
      </c>
      <c r="C324" s="2" t="s">
        <v>2308</v>
      </c>
      <c r="D324" t="s">
        <v>6169</v>
      </c>
      <c r="E324" s="2">
        <v>3</v>
      </c>
      <c r="F324" s="2" t="str">
        <f>IFERROR(INDEX(customers!B$1:B$1001, MATCH(C324, customers!A$1:A$1001, 0)), "Not Found")</f>
        <v>Skylar Jeyness</v>
      </c>
      <c r="G324" s="2" t="str">
        <f>IF(IFERROR(INDEX(customers!C$1:C$1001, MATCH(C324, customers!A$1:A$1001, 0)), "Not Found")=0,"",IFERROR(INDEX(customers!C$1:C$1001, MATCH(C324, customers!A$1:A$1001, 0)), "Not Found"))</f>
        <v>sjeyness8y@biglobe.ne.jp</v>
      </c>
      <c r="H324" s="2" t="str">
        <f>IFERROR(INDEX(customers!G$1:G$1001, MATCH(C324, customers!A$1:A$1001, 0)), "Not Found")</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L324*E324</f>
        <v>23.31</v>
      </c>
      <c r="N324" t="str">
        <f>IF(I324="Rob","Robusta",IF(I324="Exc","Excelsa",IF(I324="Ara","Arabica",IF(I324="Lib","Laberica",""))))</f>
        <v>Laberica</v>
      </c>
      <c r="O324" t="str">
        <f t="shared" si="5"/>
        <v>Dark</v>
      </c>
      <c r="P324" t="str">
        <f>INDEX(customers!$I$1:$I$1001, MATCH(Orders[[#This Row],[Customer ID]], customers!$A$1:$A$1001, 0))</f>
        <v>No</v>
      </c>
    </row>
    <row r="325" spans="1:16" x14ac:dyDescent="0.25">
      <c r="A325" s="2" t="s">
        <v>2313</v>
      </c>
      <c r="B325" s="3">
        <v>44373</v>
      </c>
      <c r="C325" s="2" t="s">
        <v>2314</v>
      </c>
      <c r="D325" t="s">
        <v>6153</v>
      </c>
      <c r="E325" s="2">
        <v>5</v>
      </c>
      <c r="F325" s="2" t="str">
        <f>IFERROR(INDEX(customers!B$1:B$1001, MATCH(C325, customers!A$1:A$1001, 0)), "Not Found")</f>
        <v>Donica Bonhome</v>
      </c>
      <c r="G325" s="2" t="str">
        <f>IF(IFERROR(INDEX(customers!C$1:C$1001, MATCH(C325, customers!A$1:A$1001, 0)), "Not Found")=0,"",IFERROR(INDEX(customers!C$1:C$1001, MATCH(C325, customers!A$1:A$1001, 0)), "Not Found"))</f>
        <v>dbonhome8z@shinystat.com</v>
      </c>
      <c r="H325" s="2" t="str">
        <f>IFERROR(INDEX(customers!G$1:G$1001, MATCH(C325, customers!A$1:A$1001, 0)), "Not Found")</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L325*E325</f>
        <v>18.225000000000001</v>
      </c>
      <c r="N325" t="str">
        <f>IF(I325="Rob","Robusta",IF(I325="Exc","Excelsa",IF(I325="Ara","Arabica",IF(I325="Lib","Laberica",""))))</f>
        <v>Excelsa</v>
      </c>
      <c r="O325" t="str">
        <f t="shared" si="5"/>
        <v>Dark</v>
      </c>
      <c r="P325" t="str">
        <f>INDEX(customers!$I$1:$I$1001, MATCH(Orders[[#This Row],[Customer ID]], customers!$A$1:$A$1001, 0))</f>
        <v>Yes</v>
      </c>
    </row>
    <row r="326" spans="1:16" x14ac:dyDescent="0.25">
      <c r="A326" s="2" t="s">
        <v>2319</v>
      </c>
      <c r="B326" s="3">
        <v>43666</v>
      </c>
      <c r="C326" s="2" t="s">
        <v>2320</v>
      </c>
      <c r="D326" t="s">
        <v>6141</v>
      </c>
      <c r="E326" s="2">
        <v>1</v>
      </c>
      <c r="F326" s="2" t="str">
        <f>IFERROR(INDEX(customers!B$1:B$1001, MATCH(C326, customers!A$1:A$1001, 0)), "Not Found")</f>
        <v>Diena Peetermann</v>
      </c>
      <c r="G326" s="2" t="str">
        <f>IF(IFERROR(INDEX(customers!C$1:C$1001, MATCH(C326, customers!A$1:A$1001, 0)), "Not Found")=0,"",IFERROR(INDEX(customers!C$1:C$1001, MATCH(C326, customers!A$1:A$1001, 0)), "Not Found"))</f>
        <v/>
      </c>
      <c r="H326" s="2" t="str">
        <f>IFERROR(INDEX(customers!G$1:G$1001, MATCH(C326, customers!A$1:A$1001, 0)), "Not Found")</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L326*E326</f>
        <v>13.75</v>
      </c>
      <c r="N326" t="str">
        <f>IF(I326="Rob","Robusta",IF(I326="Exc","Excelsa",IF(I326="Ara","Arabica",IF(I326="Lib","Laberica",""))))</f>
        <v>Excelsa</v>
      </c>
      <c r="O326" t="str">
        <f t="shared" si="5"/>
        <v>Medium</v>
      </c>
      <c r="P326" t="str">
        <f>INDEX(customers!$I$1:$I$1001, MATCH(Orders[[#This Row],[Customer ID]], customers!$A$1:$A$1001, 0))</f>
        <v>No</v>
      </c>
    </row>
    <row r="327" spans="1:16" x14ac:dyDescent="0.25">
      <c r="A327" s="2" t="s">
        <v>2324</v>
      </c>
      <c r="B327" s="3">
        <v>44756</v>
      </c>
      <c r="C327" s="2" t="s">
        <v>2325</v>
      </c>
      <c r="D327" t="s">
        <v>6182</v>
      </c>
      <c r="E327" s="2">
        <v>1</v>
      </c>
      <c r="F327" s="2" t="str">
        <f>IFERROR(INDEX(customers!B$1:B$1001, MATCH(C327, customers!A$1:A$1001, 0)), "Not Found")</f>
        <v>Trina Le Sarr</v>
      </c>
      <c r="G327" s="2" t="str">
        <f>IF(IFERROR(INDEX(customers!C$1:C$1001, MATCH(C327, customers!A$1:A$1001, 0)), "Not Found")=0,"",IFERROR(INDEX(customers!C$1:C$1001, MATCH(C327, customers!A$1:A$1001, 0)), "Not Found"))</f>
        <v>tle91@epa.gov</v>
      </c>
      <c r="H327" s="2" t="str">
        <f>IFERROR(INDEX(customers!G$1:G$1001, MATCH(C327, customers!A$1:A$1001, 0)), "Not Found")</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L327*E327</f>
        <v>29.784999999999997</v>
      </c>
      <c r="N327" t="str">
        <f>IF(I327="Rob","Robusta",IF(I327="Exc","Excelsa",IF(I327="Ara","Arabica",IF(I327="Lib","Laberica",""))))</f>
        <v>Arabica</v>
      </c>
      <c r="O327" t="str">
        <f t="shared" si="5"/>
        <v>Light</v>
      </c>
      <c r="P327" t="str">
        <f>INDEX(customers!$I$1:$I$1001, MATCH(Orders[[#This Row],[Customer ID]], customers!$A$1:$A$1001, 0))</f>
        <v>Yes</v>
      </c>
    </row>
    <row r="328" spans="1:16" x14ac:dyDescent="0.25">
      <c r="A328" s="2" t="s">
        <v>2330</v>
      </c>
      <c r="B328" s="3">
        <v>44057</v>
      </c>
      <c r="C328" s="2" t="s">
        <v>2331</v>
      </c>
      <c r="D328" t="s">
        <v>6177</v>
      </c>
      <c r="E328" s="2">
        <v>5</v>
      </c>
      <c r="F328" s="2" t="str">
        <f>IFERROR(INDEX(customers!B$1:B$1001, MATCH(C328, customers!A$1:A$1001, 0)), "Not Found")</f>
        <v>Flynn Antony</v>
      </c>
      <c r="G328" s="2" t="str">
        <f>IF(IFERROR(INDEX(customers!C$1:C$1001, MATCH(C328, customers!A$1:A$1001, 0)), "Not Found")=0,"",IFERROR(INDEX(customers!C$1:C$1001, MATCH(C328, customers!A$1:A$1001, 0)), "Not Found"))</f>
        <v/>
      </c>
      <c r="H328" s="2" t="str">
        <f>IFERROR(INDEX(customers!G$1:G$1001, MATCH(C328, customers!A$1:A$1001, 0)), "Not Found")</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L328*E328</f>
        <v>44.75</v>
      </c>
      <c r="N328" t="str">
        <f>IF(I328="Rob","Robusta",IF(I328="Exc","Excelsa",IF(I328="Ara","Arabica",IF(I328="Lib","Laberica",""))))</f>
        <v>Robusta</v>
      </c>
      <c r="O328" t="str">
        <f t="shared" si="5"/>
        <v>Dark</v>
      </c>
      <c r="P328" t="str">
        <f>INDEX(customers!$I$1:$I$1001, MATCH(Orders[[#This Row],[Customer ID]], customers!$A$1:$A$1001, 0))</f>
        <v>No</v>
      </c>
    </row>
    <row r="329" spans="1:16" x14ac:dyDescent="0.25">
      <c r="A329" s="2" t="s">
        <v>2335</v>
      </c>
      <c r="B329" s="3">
        <v>43579</v>
      </c>
      <c r="C329" s="2" t="s">
        <v>2336</v>
      </c>
      <c r="D329" t="s">
        <v>6177</v>
      </c>
      <c r="E329" s="2">
        <v>5</v>
      </c>
      <c r="F329" s="2" t="str">
        <f>IFERROR(INDEX(customers!B$1:B$1001, MATCH(C329, customers!A$1:A$1001, 0)), "Not Found")</f>
        <v>Baudoin Alldridge</v>
      </c>
      <c r="G329" s="2" t="str">
        <f>IF(IFERROR(INDEX(customers!C$1:C$1001, MATCH(C329, customers!A$1:A$1001, 0)), "Not Found")=0,"",IFERROR(INDEX(customers!C$1:C$1001, MATCH(C329, customers!A$1:A$1001, 0)), "Not Found"))</f>
        <v>balldridge93@yandex.ru</v>
      </c>
      <c r="H329" s="2" t="str">
        <f>IFERROR(INDEX(customers!G$1:G$1001, MATCH(C329, customers!A$1:A$1001, 0)), "Not Found")</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L329*E329</f>
        <v>44.75</v>
      </c>
      <c r="N329" t="str">
        <f>IF(I329="Rob","Robusta",IF(I329="Exc","Excelsa",IF(I329="Ara","Arabica",IF(I329="Lib","Laberica",""))))</f>
        <v>Robusta</v>
      </c>
      <c r="O329" t="str">
        <f t="shared" si="5"/>
        <v>Dark</v>
      </c>
      <c r="P329" t="str">
        <f>INDEX(customers!$I$1:$I$1001, MATCH(Orders[[#This Row],[Customer ID]], customers!$A$1:$A$1001, 0))</f>
        <v>Yes</v>
      </c>
    </row>
    <row r="330" spans="1:16" x14ac:dyDescent="0.25">
      <c r="A330" s="2" t="s">
        <v>2341</v>
      </c>
      <c r="B330" s="3">
        <v>43620</v>
      </c>
      <c r="C330" s="2" t="s">
        <v>2342</v>
      </c>
      <c r="D330" t="s">
        <v>6161</v>
      </c>
      <c r="E330" s="2">
        <v>4</v>
      </c>
      <c r="F330" s="2" t="str">
        <f>IFERROR(INDEX(customers!B$1:B$1001, MATCH(C330, customers!A$1:A$1001, 0)), "Not Found")</f>
        <v>Homer Dulany</v>
      </c>
      <c r="G330" s="2" t="str">
        <f>IF(IFERROR(INDEX(customers!C$1:C$1001, MATCH(C330, customers!A$1:A$1001, 0)), "Not Found")=0,"",IFERROR(INDEX(customers!C$1:C$1001, MATCH(C330, customers!A$1:A$1001, 0)), "Not Found"))</f>
        <v/>
      </c>
      <c r="H330" s="2" t="str">
        <f>IFERROR(INDEX(customers!G$1:G$1001, MATCH(C330, customers!A$1:A$1001, 0)), "Not Found")</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L330*E330</f>
        <v>38.04</v>
      </c>
      <c r="N330" t="str">
        <f>IF(I330="Rob","Robusta",IF(I330="Exc","Excelsa",IF(I330="Ara","Arabica",IF(I330="Lib","Laberica",""))))</f>
        <v>Laberica</v>
      </c>
      <c r="O330" t="str">
        <f t="shared" si="5"/>
        <v>Light</v>
      </c>
      <c r="P330" t="str">
        <f>INDEX(customers!$I$1:$I$1001, MATCH(Orders[[#This Row],[Customer ID]], customers!$A$1:$A$1001, 0))</f>
        <v>Yes</v>
      </c>
    </row>
    <row r="331" spans="1:16" x14ac:dyDescent="0.25">
      <c r="A331" s="2" t="s">
        <v>2346</v>
      </c>
      <c r="B331" s="3">
        <v>44781</v>
      </c>
      <c r="C331" s="2" t="s">
        <v>2347</v>
      </c>
      <c r="D331" t="s">
        <v>6172</v>
      </c>
      <c r="E331" s="2">
        <v>4</v>
      </c>
      <c r="F331" s="2" t="str">
        <f>IFERROR(INDEX(customers!B$1:B$1001, MATCH(C331, customers!A$1:A$1001, 0)), "Not Found")</f>
        <v>Lisa Goodger</v>
      </c>
      <c r="G331" s="2" t="str">
        <f>IF(IFERROR(INDEX(customers!C$1:C$1001, MATCH(C331, customers!A$1:A$1001, 0)), "Not Found")=0,"",IFERROR(INDEX(customers!C$1:C$1001, MATCH(C331, customers!A$1:A$1001, 0)), "Not Found"))</f>
        <v>lgoodger95@guardian.co.uk</v>
      </c>
      <c r="H331" s="2" t="str">
        <f>IFERROR(INDEX(customers!G$1:G$1001, MATCH(C331, customers!A$1:A$1001, 0)), "Not Found")</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L331*E331</f>
        <v>21.479999999999997</v>
      </c>
      <c r="N331" t="str">
        <f>IF(I331="Rob","Robusta",IF(I331="Exc","Excelsa",IF(I331="Ara","Arabica",IF(I331="Lib","Laberica",""))))</f>
        <v>Robusta</v>
      </c>
      <c r="O331" t="str">
        <f t="shared" si="5"/>
        <v>Dark</v>
      </c>
      <c r="P331" t="str">
        <f>INDEX(customers!$I$1:$I$1001, MATCH(Orders[[#This Row],[Customer ID]], customers!$A$1:$A$1001, 0))</f>
        <v>Yes</v>
      </c>
    </row>
    <row r="332" spans="1:16" x14ac:dyDescent="0.25">
      <c r="A332" s="2" t="s">
        <v>2351</v>
      </c>
      <c r="B332" s="3">
        <v>43782</v>
      </c>
      <c r="C332" s="2" t="s">
        <v>2280</v>
      </c>
      <c r="D332" t="s">
        <v>6172</v>
      </c>
      <c r="E332" s="2">
        <v>3</v>
      </c>
      <c r="F332" s="2" t="str">
        <f>IFERROR(INDEX(customers!B$1:B$1001, MATCH(C332, customers!A$1:A$1001, 0)), "Not Found")</f>
        <v>Selma McMillian</v>
      </c>
      <c r="G332" s="2" t="str">
        <f>IF(IFERROR(INDEX(customers!C$1:C$1001, MATCH(C332, customers!A$1:A$1001, 0)), "Not Found")=0,"",IFERROR(INDEX(customers!C$1:C$1001, MATCH(C332, customers!A$1:A$1001, 0)), "Not Found"))</f>
        <v>smcmillian8t@csmonitor.com</v>
      </c>
      <c r="H332" s="2" t="str">
        <f>IFERROR(INDEX(customers!G$1:G$1001, MATCH(C332, customers!A$1:A$1001, 0)), "Not Found")</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L332*E332</f>
        <v>16.11</v>
      </c>
      <c r="N332" t="str">
        <f>IF(I332="Rob","Robusta",IF(I332="Exc","Excelsa",IF(I332="Ara","Arabica",IF(I332="Lib","Laberica",""))))</f>
        <v>Robusta</v>
      </c>
      <c r="O332" t="str">
        <f t="shared" si="5"/>
        <v>Dark</v>
      </c>
      <c r="P332" t="str">
        <f>INDEX(customers!$I$1:$I$1001, MATCH(Orders[[#This Row],[Customer ID]], customers!$A$1:$A$1001, 0))</f>
        <v>No</v>
      </c>
    </row>
    <row r="333" spans="1:16" x14ac:dyDescent="0.25">
      <c r="A333" s="2" t="s">
        <v>2357</v>
      </c>
      <c r="B333" s="3">
        <v>43989</v>
      </c>
      <c r="C333" s="2" t="s">
        <v>2358</v>
      </c>
      <c r="D333" t="s">
        <v>6151</v>
      </c>
      <c r="E333" s="2">
        <v>1</v>
      </c>
      <c r="F333" s="2" t="str">
        <f>IFERROR(INDEX(customers!B$1:B$1001, MATCH(C333, customers!A$1:A$1001, 0)), "Not Found")</f>
        <v>Corine Drewett</v>
      </c>
      <c r="G333" s="2" t="str">
        <f>IF(IFERROR(INDEX(customers!C$1:C$1001, MATCH(C333, customers!A$1:A$1001, 0)), "Not Found")=0,"",IFERROR(INDEX(customers!C$1:C$1001, MATCH(C333, customers!A$1:A$1001, 0)), "Not Found"))</f>
        <v>cdrewett97@wikipedia.org</v>
      </c>
      <c r="H333" s="2" t="str">
        <f>IFERROR(INDEX(customers!G$1:G$1001, MATCH(C333, customers!A$1:A$1001, 0)), "Not Found")</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L333*E333</f>
        <v>22.884999999999998</v>
      </c>
      <c r="N333" t="str">
        <f>IF(I333="Rob","Robusta",IF(I333="Exc","Excelsa",IF(I333="Ara","Arabica",IF(I333="Lib","Laberica",""))))</f>
        <v>Robusta</v>
      </c>
      <c r="O333" t="str">
        <f t="shared" si="5"/>
        <v>Medium</v>
      </c>
      <c r="P333" t="str">
        <f>INDEX(customers!$I$1:$I$1001, MATCH(Orders[[#This Row],[Customer ID]], customers!$A$1:$A$1001, 0))</f>
        <v>Yes</v>
      </c>
    </row>
    <row r="334" spans="1:16" x14ac:dyDescent="0.25">
      <c r="A334" s="2" t="s">
        <v>2363</v>
      </c>
      <c r="B334" s="3">
        <v>43689</v>
      </c>
      <c r="C334" s="2" t="s">
        <v>2364</v>
      </c>
      <c r="D334" t="s">
        <v>6158</v>
      </c>
      <c r="E334" s="2">
        <v>3</v>
      </c>
      <c r="F334" s="2" t="str">
        <f>IFERROR(INDEX(customers!B$1:B$1001, MATCH(C334, customers!A$1:A$1001, 0)), "Not Found")</f>
        <v>Quinn Parsons</v>
      </c>
      <c r="G334" s="2" t="str">
        <f>IF(IFERROR(INDEX(customers!C$1:C$1001, MATCH(C334, customers!A$1:A$1001, 0)), "Not Found")=0,"",IFERROR(INDEX(customers!C$1:C$1001, MATCH(C334, customers!A$1:A$1001, 0)), "Not Found"))</f>
        <v>qparsons98@blogtalkradio.com</v>
      </c>
      <c r="H334" s="2" t="str">
        <f>IFERROR(INDEX(customers!G$1:G$1001, MATCH(C334, customers!A$1:A$1001, 0)), "Not Found")</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L334*E334</f>
        <v>17.91</v>
      </c>
      <c r="N334" t="str">
        <f>IF(I334="Rob","Robusta",IF(I334="Exc","Excelsa",IF(I334="Ara","Arabica",IF(I334="Lib","Laberica",""))))</f>
        <v>Arabica</v>
      </c>
      <c r="O334" t="str">
        <f t="shared" si="5"/>
        <v>Dark</v>
      </c>
      <c r="P334" t="str">
        <f>INDEX(customers!$I$1:$I$1001, MATCH(Orders[[#This Row],[Customer ID]], customers!$A$1:$A$1001, 0))</f>
        <v>Yes</v>
      </c>
    </row>
    <row r="335" spans="1:16" x14ac:dyDescent="0.25">
      <c r="A335" s="2" t="s">
        <v>2369</v>
      </c>
      <c r="B335" s="3">
        <v>43712</v>
      </c>
      <c r="C335" s="2" t="s">
        <v>2370</v>
      </c>
      <c r="D335" t="s">
        <v>6146</v>
      </c>
      <c r="E335" s="2">
        <v>4</v>
      </c>
      <c r="F335" s="2" t="str">
        <f>IFERROR(INDEX(customers!B$1:B$1001, MATCH(C335, customers!A$1:A$1001, 0)), "Not Found")</f>
        <v>Vivyan Ceely</v>
      </c>
      <c r="G335" s="2" t="str">
        <f>IF(IFERROR(INDEX(customers!C$1:C$1001, MATCH(C335, customers!A$1:A$1001, 0)), "Not Found")=0,"",IFERROR(INDEX(customers!C$1:C$1001, MATCH(C335, customers!A$1:A$1001, 0)), "Not Found"))</f>
        <v>vceely99@auda.org.au</v>
      </c>
      <c r="H335" s="2" t="str">
        <f>IFERROR(INDEX(customers!G$1:G$1001, MATCH(C335, customers!A$1:A$1001, 0)), "Not Found")</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L335*E335</f>
        <v>23.88</v>
      </c>
      <c r="N335" t="str">
        <f>IF(I335="Rob","Robusta",IF(I335="Exc","Excelsa",IF(I335="Ara","Arabica",IF(I335="Lib","Laberica",""))))</f>
        <v>Robusta</v>
      </c>
      <c r="O335" t="str">
        <f t="shared" si="5"/>
        <v>Medium</v>
      </c>
      <c r="P335" t="str">
        <f>INDEX(customers!$I$1:$I$1001, MATCH(Orders[[#This Row],[Customer ID]], customers!$A$1:$A$1001, 0))</f>
        <v>Yes</v>
      </c>
    </row>
    <row r="336" spans="1:16" x14ac:dyDescent="0.25">
      <c r="A336" s="2" t="s">
        <v>2375</v>
      </c>
      <c r="B336" s="3">
        <v>43742</v>
      </c>
      <c r="C336" s="2" t="s">
        <v>2376</v>
      </c>
      <c r="D336" t="s">
        <v>6179</v>
      </c>
      <c r="E336" s="2">
        <v>5</v>
      </c>
      <c r="F336" s="2" t="str">
        <f>IFERROR(INDEX(customers!B$1:B$1001, MATCH(C336, customers!A$1:A$1001, 0)), "Not Found")</f>
        <v>Elonore Goodings</v>
      </c>
      <c r="G336" s="2" t="str">
        <f>IF(IFERROR(INDEX(customers!C$1:C$1001, MATCH(C336, customers!A$1:A$1001, 0)), "Not Found")=0,"",IFERROR(INDEX(customers!C$1:C$1001, MATCH(C336, customers!A$1:A$1001, 0)), "Not Found"))</f>
        <v/>
      </c>
      <c r="H336" s="2" t="str">
        <f>IFERROR(INDEX(customers!G$1:G$1001, MATCH(C336, customers!A$1:A$1001, 0)), "Not Found")</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L336*E336</f>
        <v>59.75</v>
      </c>
      <c r="N336" t="str">
        <f>IF(I336="Rob","Robusta",IF(I336="Exc","Excelsa",IF(I336="Ara","Arabica",IF(I336="Lib","Laberica",""))))</f>
        <v>Robusta</v>
      </c>
      <c r="O336" t="str">
        <f t="shared" si="5"/>
        <v>Light</v>
      </c>
      <c r="P336" t="str">
        <f>INDEX(customers!$I$1:$I$1001, MATCH(Orders[[#This Row],[Customer ID]], customers!$A$1:$A$1001, 0))</f>
        <v>No</v>
      </c>
    </row>
    <row r="337" spans="1:16" x14ac:dyDescent="0.25">
      <c r="A337" s="2" t="s">
        <v>2379</v>
      </c>
      <c r="B337" s="3">
        <v>43885</v>
      </c>
      <c r="C337" s="2" t="s">
        <v>2380</v>
      </c>
      <c r="D337" t="s">
        <v>6145</v>
      </c>
      <c r="E337" s="2">
        <v>6</v>
      </c>
      <c r="F337" s="2" t="str">
        <f>IFERROR(INDEX(customers!B$1:B$1001, MATCH(C337, customers!A$1:A$1001, 0)), "Not Found")</f>
        <v>Clement Vasiliev</v>
      </c>
      <c r="G337" s="2" t="str">
        <f>IF(IFERROR(INDEX(customers!C$1:C$1001, MATCH(C337, customers!A$1:A$1001, 0)), "Not Found")=0,"",IFERROR(INDEX(customers!C$1:C$1001, MATCH(C337, customers!A$1:A$1001, 0)), "Not Found"))</f>
        <v>cvasiliev9b@discuz.net</v>
      </c>
      <c r="H337" s="2" t="str">
        <f>IFERROR(INDEX(customers!G$1:G$1001, MATCH(C337, customers!A$1:A$1001, 0)), "Not Found")</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L337*E337</f>
        <v>28.53</v>
      </c>
      <c r="N337" t="str">
        <f>IF(I337="Rob","Robusta",IF(I337="Exc","Excelsa",IF(I337="Ara","Arabica",IF(I337="Lib","Laberica",""))))</f>
        <v>Laberica</v>
      </c>
      <c r="O337" t="str">
        <f t="shared" si="5"/>
        <v>Light</v>
      </c>
      <c r="P337" t="str">
        <f>INDEX(customers!$I$1:$I$1001, MATCH(Orders[[#This Row],[Customer ID]], customers!$A$1:$A$1001, 0))</f>
        <v>Yes</v>
      </c>
    </row>
    <row r="338" spans="1:16" x14ac:dyDescent="0.25">
      <c r="A338" s="2" t="s">
        <v>2385</v>
      </c>
      <c r="B338" s="3">
        <v>44434</v>
      </c>
      <c r="C338" s="2" t="s">
        <v>2386</v>
      </c>
      <c r="D338" t="s">
        <v>6155</v>
      </c>
      <c r="E338" s="2">
        <v>4</v>
      </c>
      <c r="F338" s="2" t="str">
        <f>IFERROR(INDEX(customers!B$1:B$1001, MATCH(C338, customers!A$1:A$1001, 0)), "Not Found")</f>
        <v>Terencio O'Moylan</v>
      </c>
      <c r="G338" s="2" t="str">
        <f>IF(IFERROR(INDEX(customers!C$1:C$1001, MATCH(C338, customers!A$1:A$1001, 0)), "Not Found")=0,"",IFERROR(INDEX(customers!C$1:C$1001, MATCH(C338, customers!A$1:A$1001, 0)), "Not Found"))</f>
        <v>tomoylan9c@liveinternet.ru</v>
      </c>
      <c r="H338" s="2" t="str">
        <f>IFERROR(INDEX(customers!G$1:G$1001, MATCH(C338, customers!A$1:A$1001, 0)), "Not Found")</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L338*E338</f>
        <v>45</v>
      </c>
      <c r="N338" t="str">
        <f>IF(I338="Rob","Robusta",IF(I338="Exc","Excelsa",IF(I338="Ara","Arabica",IF(I338="Lib","Laberica",""))))</f>
        <v>Arabica</v>
      </c>
      <c r="O338" t="str">
        <f t="shared" si="5"/>
        <v>Medium</v>
      </c>
      <c r="P338" t="str">
        <f>INDEX(customers!$I$1:$I$1001, MATCH(Orders[[#This Row],[Customer ID]], customers!$A$1:$A$1001, 0))</f>
        <v>No</v>
      </c>
    </row>
    <row r="339" spans="1:16" x14ac:dyDescent="0.25">
      <c r="A339" s="2" t="s">
        <v>2391</v>
      </c>
      <c r="B339" s="3">
        <v>44472</v>
      </c>
      <c r="C339" s="2" t="s">
        <v>2331</v>
      </c>
      <c r="D339" t="s">
        <v>6185</v>
      </c>
      <c r="E339" s="2">
        <v>2</v>
      </c>
      <c r="F339" s="2" t="str">
        <f>IFERROR(INDEX(customers!B$1:B$1001, MATCH(C339, customers!A$1:A$1001, 0)), "Not Found")</f>
        <v>Flynn Antony</v>
      </c>
      <c r="G339" s="2" t="str">
        <f>IF(IFERROR(INDEX(customers!C$1:C$1001, MATCH(C339, customers!A$1:A$1001, 0)), "Not Found")=0,"",IFERROR(INDEX(customers!C$1:C$1001, MATCH(C339, customers!A$1:A$1001, 0)), "Not Found"))</f>
        <v/>
      </c>
      <c r="H339" s="2" t="str">
        <f>IFERROR(INDEX(customers!G$1:G$1001, MATCH(C339, customers!A$1:A$1001, 0)), "Not Found")</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L339*E339</f>
        <v>55.89</v>
      </c>
      <c r="N339" t="str">
        <f>IF(I339="Rob","Robusta",IF(I339="Exc","Excelsa",IF(I339="Ara","Arabica",IF(I339="Lib","Laberica",""))))</f>
        <v>Excelsa</v>
      </c>
      <c r="O339" t="str">
        <f t="shared" si="5"/>
        <v>Dark</v>
      </c>
      <c r="P339" t="str">
        <f>INDEX(customers!$I$1:$I$1001, MATCH(Orders[[#This Row],[Customer ID]], customers!$A$1:$A$1001, 0))</f>
        <v>No</v>
      </c>
    </row>
    <row r="340" spans="1:16" x14ac:dyDescent="0.25">
      <c r="A340" s="2" t="s">
        <v>2396</v>
      </c>
      <c r="B340" s="3">
        <v>43995</v>
      </c>
      <c r="C340" s="2" t="s">
        <v>2397</v>
      </c>
      <c r="D340" t="s">
        <v>6171</v>
      </c>
      <c r="E340" s="2">
        <v>4</v>
      </c>
      <c r="F340" s="2" t="str">
        <f>IFERROR(INDEX(customers!B$1:B$1001, MATCH(C340, customers!A$1:A$1001, 0)), "Not Found")</f>
        <v>Wyatan Fetherston</v>
      </c>
      <c r="G340" s="2" t="str">
        <f>IF(IFERROR(INDEX(customers!C$1:C$1001, MATCH(C340, customers!A$1:A$1001, 0)), "Not Found")=0,"",IFERROR(INDEX(customers!C$1:C$1001, MATCH(C340, customers!A$1:A$1001, 0)), "Not Found"))</f>
        <v>wfetherston9e@constantcontact.com</v>
      </c>
      <c r="H340" s="2" t="str">
        <f>IFERROR(INDEX(customers!G$1:G$1001, MATCH(C340, customers!A$1:A$1001, 0)), "Not Found")</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L340*E340</f>
        <v>59.4</v>
      </c>
      <c r="N340" t="str">
        <f>IF(I340="Rob","Robusta",IF(I340="Exc","Excelsa",IF(I340="Ara","Arabica",IF(I340="Lib","Laberica",""))))</f>
        <v>Excelsa</v>
      </c>
      <c r="O340" t="str">
        <f t="shared" si="5"/>
        <v>Light</v>
      </c>
      <c r="P340" t="str">
        <f>INDEX(customers!$I$1:$I$1001, MATCH(Orders[[#This Row],[Customer ID]], customers!$A$1:$A$1001, 0))</f>
        <v>No</v>
      </c>
    </row>
    <row r="341" spans="1:16" x14ac:dyDescent="0.25">
      <c r="A341" s="2" t="s">
        <v>2402</v>
      </c>
      <c r="B341" s="3">
        <v>44256</v>
      </c>
      <c r="C341" s="2" t="s">
        <v>2403</v>
      </c>
      <c r="D341" t="s">
        <v>6153</v>
      </c>
      <c r="E341" s="2">
        <v>2</v>
      </c>
      <c r="F341" s="2" t="str">
        <f>IFERROR(INDEX(customers!B$1:B$1001, MATCH(C341, customers!A$1:A$1001, 0)), "Not Found")</f>
        <v>Emmaline Rasmus</v>
      </c>
      <c r="G341" s="2" t="str">
        <f>IF(IFERROR(INDEX(customers!C$1:C$1001, MATCH(C341, customers!A$1:A$1001, 0)), "Not Found")=0,"",IFERROR(INDEX(customers!C$1:C$1001, MATCH(C341, customers!A$1:A$1001, 0)), "Not Found"))</f>
        <v>erasmus9f@techcrunch.com</v>
      </c>
      <c r="H341" s="2" t="str">
        <f>IFERROR(INDEX(customers!G$1:G$1001, MATCH(C341, customers!A$1:A$1001, 0)), "Not Found")</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L341*E341</f>
        <v>7.29</v>
      </c>
      <c r="N341" t="str">
        <f>IF(I341="Rob","Robusta",IF(I341="Exc","Excelsa",IF(I341="Ara","Arabica",IF(I341="Lib","Laberica",""))))</f>
        <v>Excelsa</v>
      </c>
      <c r="O341" t="str">
        <f t="shared" si="5"/>
        <v>Dark</v>
      </c>
      <c r="P341" t="str">
        <f>INDEX(customers!$I$1:$I$1001, MATCH(Orders[[#This Row],[Customer ID]], customers!$A$1:$A$1001, 0))</f>
        <v>Yes</v>
      </c>
    </row>
    <row r="342" spans="1:16" x14ac:dyDescent="0.25">
      <c r="A342" s="2" t="s">
        <v>2408</v>
      </c>
      <c r="B342" s="3">
        <v>43528</v>
      </c>
      <c r="C342" s="2" t="s">
        <v>2409</v>
      </c>
      <c r="D342" t="s">
        <v>6144</v>
      </c>
      <c r="E342" s="2">
        <v>1</v>
      </c>
      <c r="F342" s="2" t="str">
        <f>IFERROR(INDEX(customers!B$1:B$1001, MATCH(C342, customers!A$1:A$1001, 0)), "Not Found")</f>
        <v>Wesley Giorgioni</v>
      </c>
      <c r="G342" s="2" t="str">
        <f>IF(IFERROR(INDEX(customers!C$1:C$1001, MATCH(C342, customers!A$1:A$1001, 0)), "Not Found")=0,"",IFERROR(INDEX(customers!C$1:C$1001, MATCH(C342, customers!A$1:A$1001, 0)), "Not Found"))</f>
        <v>wgiorgioni9g@wikipedia.org</v>
      </c>
      <c r="H342" s="2" t="str">
        <f>IFERROR(INDEX(customers!G$1:G$1001, MATCH(C342, customers!A$1:A$1001, 0)), "Not Found")</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L342*E342</f>
        <v>7.29</v>
      </c>
      <c r="N342" t="str">
        <f>IF(I342="Rob","Robusta",IF(I342="Exc","Excelsa",IF(I342="Ara","Arabica",IF(I342="Lib","Laberica",""))))</f>
        <v>Excelsa</v>
      </c>
      <c r="O342" t="str">
        <f t="shared" si="5"/>
        <v>Dark</v>
      </c>
      <c r="P342" t="str">
        <f>INDEX(customers!$I$1:$I$1001, MATCH(Orders[[#This Row],[Customer ID]], customers!$A$1:$A$1001, 0))</f>
        <v>Yes</v>
      </c>
    </row>
    <row r="343" spans="1:16" x14ac:dyDescent="0.25">
      <c r="A343" s="2" t="s">
        <v>2414</v>
      </c>
      <c r="B343" s="3">
        <v>43751</v>
      </c>
      <c r="C343" s="2" t="s">
        <v>2415</v>
      </c>
      <c r="D343" t="s">
        <v>6176</v>
      </c>
      <c r="E343" s="2">
        <v>2</v>
      </c>
      <c r="F343" s="2" t="str">
        <f>IFERROR(INDEX(customers!B$1:B$1001, MATCH(C343, customers!A$1:A$1001, 0)), "Not Found")</f>
        <v>Lucienne Scargle</v>
      </c>
      <c r="G343" s="2" t="str">
        <f>IF(IFERROR(INDEX(customers!C$1:C$1001, MATCH(C343, customers!A$1:A$1001, 0)), "Not Found")=0,"",IFERROR(INDEX(customers!C$1:C$1001, MATCH(C343, customers!A$1:A$1001, 0)), "Not Found"))</f>
        <v>lscargle9h@myspace.com</v>
      </c>
      <c r="H343" s="2" t="str">
        <f>IFERROR(INDEX(customers!G$1:G$1001, MATCH(C343, customers!A$1:A$1001, 0)), "Not Found")</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L343*E343</f>
        <v>17.82</v>
      </c>
      <c r="N343" t="str">
        <f>IF(I343="Rob","Robusta",IF(I343="Exc","Excelsa",IF(I343="Ara","Arabica",IF(I343="Lib","Laberica",""))))</f>
        <v>Excelsa</v>
      </c>
      <c r="O343" t="str">
        <f t="shared" si="5"/>
        <v>Light</v>
      </c>
      <c r="P343" t="str">
        <f>INDEX(customers!$I$1:$I$1001, MATCH(Orders[[#This Row],[Customer ID]], customers!$A$1:$A$1001, 0))</f>
        <v>No</v>
      </c>
    </row>
    <row r="344" spans="1:16" x14ac:dyDescent="0.25">
      <c r="A344" s="2" t="s">
        <v>2414</v>
      </c>
      <c r="B344" s="3">
        <v>43751</v>
      </c>
      <c r="C344" s="2" t="s">
        <v>2415</v>
      </c>
      <c r="D344" t="s">
        <v>6169</v>
      </c>
      <c r="E344" s="2">
        <v>5</v>
      </c>
      <c r="F344" s="2" t="str">
        <f>IFERROR(INDEX(customers!B$1:B$1001, MATCH(C344, customers!A$1:A$1001, 0)), "Not Found")</f>
        <v>Lucienne Scargle</v>
      </c>
      <c r="G344" s="2" t="str">
        <f>IF(IFERROR(INDEX(customers!C$1:C$1001, MATCH(C344, customers!A$1:A$1001, 0)), "Not Found")=0,"",IFERROR(INDEX(customers!C$1:C$1001, MATCH(C344, customers!A$1:A$1001, 0)), "Not Found"))</f>
        <v>lscargle9h@myspace.com</v>
      </c>
      <c r="H344" s="2" t="str">
        <f>IFERROR(INDEX(customers!G$1:G$1001, MATCH(C344, customers!A$1:A$1001, 0)), "Not Found")</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L344*E344</f>
        <v>38.849999999999994</v>
      </c>
      <c r="N344" t="str">
        <f>IF(I344="Rob","Robusta",IF(I344="Exc","Excelsa",IF(I344="Ara","Arabica",IF(I344="Lib","Laberica",""))))</f>
        <v>Laberica</v>
      </c>
      <c r="O344" t="str">
        <f t="shared" si="5"/>
        <v>Dark</v>
      </c>
      <c r="P344" t="str">
        <f>INDEX(customers!$I$1:$I$1001, MATCH(Orders[[#This Row],[Customer ID]], customers!$A$1:$A$1001, 0))</f>
        <v>No</v>
      </c>
    </row>
    <row r="345" spans="1:16" x14ac:dyDescent="0.25">
      <c r="A345" s="2" t="s">
        <v>2424</v>
      </c>
      <c r="B345" s="3">
        <v>43692</v>
      </c>
      <c r="C345" s="2" t="s">
        <v>2425</v>
      </c>
      <c r="D345" t="s">
        <v>6172</v>
      </c>
      <c r="E345" s="2">
        <v>6</v>
      </c>
      <c r="F345" s="2" t="str">
        <f>IFERROR(INDEX(customers!B$1:B$1001, MATCH(C345, customers!A$1:A$1001, 0)), "Not Found")</f>
        <v>Noam Climance</v>
      </c>
      <c r="G345" s="2" t="str">
        <f>IF(IFERROR(INDEX(customers!C$1:C$1001, MATCH(C345, customers!A$1:A$1001, 0)), "Not Found")=0,"",IFERROR(INDEX(customers!C$1:C$1001, MATCH(C345, customers!A$1:A$1001, 0)), "Not Found"))</f>
        <v>nclimance9j@europa.eu</v>
      </c>
      <c r="H345" s="2" t="str">
        <f>IFERROR(INDEX(customers!G$1:G$1001, MATCH(C345, customers!A$1:A$1001, 0)), "Not Found")</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L345*E345</f>
        <v>32.22</v>
      </c>
      <c r="N345" t="str">
        <f>IF(I345="Rob","Robusta",IF(I345="Exc","Excelsa",IF(I345="Ara","Arabica",IF(I345="Lib","Laberica",""))))</f>
        <v>Robusta</v>
      </c>
      <c r="O345" t="str">
        <f t="shared" si="5"/>
        <v>Dark</v>
      </c>
      <c r="P345" t="str">
        <f>INDEX(customers!$I$1:$I$1001, MATCH(Orders[[#This Row],[Customer ID]], customers!$A$1:$A$1001, 0))</f>
        <v>No</v>
      </c>
    </row>
    <row r="346" spans="1:16" x14ac:dyDescent="0.25">
      <c r="A346" s="2" t="s">
        <v>2429</v>
      </c>
      <c r="B346" s="3">
        <v>44529</v>
      </c>
      <c r="C346" s="2" t="s">
        <v>2430</v>
      </c>
      <c r="D346" t="s">
        <v>6138</v>
      </c>
      <c r="E346" s="2">
        <v>2</v>
      </c>
      <c r="F346" s="2" t="str">
        <f>IFERROR(INDEX(customers!B$1:B$1001, MATCH(C346, customers!A$1:A$1001, 0)), "Not Found")</f>
        <v>Catarina Donn</v>
      </c>
      <c r="G346" s="2" t="str">
        <f>IF(IFERROR(INDEX(customers!C$1:C$1001, MATCH(C346, customers!A$1:A$1001, 0)), "Not Found")=0,"",IFERROR(INDEX(customers!C$1:C$1001, MATCH(C346, customers!A$1:A$1001, 0)), "Not Found"))</f>
        <v/>
      </c>
      <c r="H346" s="2" t="str">
        <f>IFERROR(INDEX(customers!G$1:G$1001, MATCH(C346, customers!A$1:A$1001, 0)), "Not Found")</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L346*E346</f>
        <v>19.899999999999999</v>
      </c>
      <c r="N346" t="str">
        <f>IF(I346="Rob","Robusta",IF(I346="Exc","Excelsa",IF(I346="Ara","Arabica",IF(I346="Lib","Laberica",""))))</f>
        <v>Robusta</v>
      </c>
      <c r="O346" t="str">
        <f t="shared" si="5"/>
        <v>Medium</v>
      </c>
      <c r="P346" t="str">
        <f>INDEX(customers!$I$1:$I$1001, MATCH(Orders[[#This Row],[Customer ID]], customers!$A$1:$A$1001, 0))</f>
        <v>Yes</v>
      </c>
    </row>
    <row r="347" spans="1:16" x14ac:dyDescent="0.25">
      <c r="A347" s="2" t="s">
        <v>2434</v>
      </c>
      <c r="B347" s="3">
        <v>43849</v>
      </c>
      <c r="C347" s="2" t="s">
        <v>2435</v>
      </c>
      <c r="D347" t="s">
        <v>6179</v>
      </c>
      <c r="E347" s="2">
        <v>5</v>
      </c>
      <c r="F347" s="2" t="str">
        <f>IFERROR(INDEX(customers!B$1:B$1001, MATCH(C347, customers!A$1:A$1001, 0)), "Not Found")</f>
        <v>Ameline Snazle</v>
      </c>
      <c r="G347" s="2" t="str">
        <f>IF(IFERROR(INDEX(customers!C$1:C$1001, MATCH(C347, customers!A$1:A$1001, 0)), "Not Found")=0,"",IFERROR(INDEX(customers!C$1:C$1001, MATCH(C347, customers!A$1:A$1001, 0)), "Not Found"))</f>
        <v>asnazle9l@oracle.com</v>
      </c>
      <c r="H347" s="2" t="str">
        <f>IFERROR(INDEX(customers!G$1:G$1001, MATCH(C347, customers!A$1:A$1001, 0)), "Not Found")</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L347*E347</f>
        <v>59.75</v>
      </c>
      <c r="N347" t="str">
        <f>IF(I347="Rob","Robusta",IF(I347="Exc","Excelsa",IF(I347="Ara","Arabica",IF(I347="Lib","Laberica",""))))</f>
        <v>Robusta</v>
      </c>
      <c r="O347" t="str">
        <f t="shared" si="5"/>
        <v>Light</v>
      </c>
      <c r="P347" t="str">
        <f>INDEX(customers!$I$1:$I$1001, MATCH(Orders[[#This Row],[Customer ID]], customers!$A$1:$A$1001, 0))</f>
        <v>No</v>
      </c>
    </row>
    <row r="348" spans="1:16" x14ac:dyDescent="0.25">
      <c r="A348" s="2" t="s">
        <v>2440</v>
      </c>
      <c r="B348" s="3">
        <v>44344</v>
      </c>
      <c r="C348" s="2" t="s">
        <v>2441</v>
      </c>
      <c r="D348" t="s">
        <v>6180</v>
      </c>
      <c r="E348" s="2">
        <v>3</v>
      </c>
      <c r="F348" s="2" t="str">
        <f>IFERROR(INDEX(customers!B$1:B$1001, MATCH(C348, customers!A$1:A$1001, 0)), "Not Found")</f>
        <v>Rebeka Worg</v>
      </c>
      <c r="G348" s="2" t="str">
        <f>IF(IFERROR(INDEX(customers!C$1:C$1001, MATCH(C348, customers!A$1:A$1001, 0)), "Not Found")=0,"",IFERROR(INDEX(customers!C$1:C$1001, MATCH(C348, customers!A$1:A$1001, 0)), "Not Found"))</f>
        <v>rworg9m@arstechnica.com</v>
      </c>
      <c r="H348" s="2" t="str">
        <f>IFERROR(INDEX(customers!G$1:G$1001, MATCH(C348, customers!A$1:A$1001, 0)), "Not Found")</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L348*E348</f>
        <v>23.31</v>
      </c>
      <c r="N348" t="str">
        <f>IF(I348="Rob","Robusta",IF(I348="Exc","Excelsa",IF(I348="Ara","Arabica",IF(I348="Lib","Laberica",""))))</f>
        <v>Arabica</v>
      </c>
      <c r="O348" t="str">
        <f t="shared" si="5"/>
        <v>Light</v>
      </c>
      <c r="P348" t="str">
        <f>INDEX(customers!$I$1:$I$1001, MATCH(Orders[[#This Row],[Customer ID]], customers!$A$1:$A$1001, 0))</f>
        <v>Yes</v>
      </c>
    </row>
    <row r="349" spans="1:16" x14ac:dyDescent="0.25">
      <c r="A349" s="2" t="s">
        <v>2446</v>
      </c>
      <c r="B349" s="3">
        <v>44576</v>
      </c>
      <c r="C349" s="2" t="s">
        <v>2447</v>
      </c>
      <c r="D349" t="s">
        <v>6162</v>
      </c>
      <c r="E349" s="2">
        <v>3</v>
      </c>
      <c r="F349" s="2" t="str">
        <f>IFERROR(INDEX(customers!B$1:B$1001, MATCH(C349, customers!A$1:A$1001, 0)), "Not Found")</f>
        <v>Lewes Danes</v>
      </c>
      <c r="G349" s="2" t="str">
        <f>IF(IFERROR(INDEX(customers!C$1:C$1001, MATCH(C349, customers!A$1:A$1001, 0)), "Not Found")=0,"",IFERROR(INDEX(customers!C$1:C$1001, MATCH(C349, customers!A$1:A$1001, 0)), "Not Found"))</f>
        <v>ldanes9n@umn.edu</v>
      </c>
      <c r="H349" s="2" t="str">
        <f>IFERROR(INDEX(customers!G$1:G$1001, MATCH(C349, customers!A$1:A$1001, 0)), "Not Found")</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L349*E349</f>
        <v>43.650000000000006</v>
      </c>
      <c r="N349" t="str">
        <f>IF(I349="Rob","Robusta",IF(I349="Exc","Excelsa",IF(I349="Ara","Arabica",IF(I349="Lib","Laberica",""))))</f>
        <v>Laberica</v>
      </c>
      <c r="O349" t="str">
        <f t="shared" si="5"/>
        <v>Medium</v>
      </c>
      <c r="P349" t="str">
        <f>INDEX(customers!$I$1:$I$1001, MATCH(Orders[[#This Row],[Customer ID]], customers!$A$1:$A$1001, 0))</f>
        <v>No</v>
      </c>
    </row>
    <row r="350" spans="1:16" x14ac:dyDescent="0.25">
      <c r="A350" s="2" t="s">
        <v>2452</v>
      </c>
      <c r="B350" s="3">
        <v>43803</v>
      </c>
      <c r="C350" s="2" t="s">
        <v>2453</v>
      </c>
      <c r="D350" t="s">
        <v>6148</v>
      </c>
      <c r="E350" s="2">
        <v>6</v>
      </c>
      <c r="F350" s="2" t="str">
        <f>IFERROR(INDEX(customers!B$1:B$1001, MATCH(C350, customers!A$1:A$1001, 0)), "Not Found")</f>
        <v>Shelli Keynd</v>
      </c>
      <c r="G350" s="2" t="str">
        <f>IF(IFERROR(INDEX(customers!C$1:C$1001, MATCH(C350, customers!A$1:A$1001, 0)), "Not Found")=0,"",IFERROR(INDEX(customers!C$1:C$1001, MATCH(C350, customers!A$1:A$1001, 0)), "Not Found"))</f>
        <v>skeynd9o@narod.ru</v>
      </c>
      <c r="H350" s="2" t="str">
        <f>IFERROR(INDEX(customers!G$1:G$1001, MATCH(C350, customers!A$1:A$1001, 0)), "Not Found")</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L350*E350</f>
        <v>204.92999999999995</v>
      </c>
      <c r="N350" t="str">
        <f>IF(I350="Rob","Robusta",IF(I350="Exc","Excelsa",IF(I350="Ara","Arabica",IF(I350="Lib","Laberica",""))))</f>
        <v>Excelsa</v>
      </c>
      <c r="O350" t="str">
        <f t="shared" si="5"/>
        <v>Light</v>
      </c>
      <c r="P350" t="str">
        <f>INDEX(customers!$I$1:$I$1001, MATCH(Orders[[#This Row],[Customer ID]], customers!$A$1:$A$1001, 0))</f>
        <v>No</v>
      </c>
    </row>
    <row r="351" spans="1:16" x14ac:dyDescent="0.25">
      <c r="A351" s="2" t="s">
        <v>2458</v>
      </c>
      <c r="B351" s="3">
        <v>44743</v>
      </c>
      <c r="C351" s="2" t="s">
        <v>2459</v>
      </c>
      <c r="D351" t="s">
        <v>6178</v>
      </c>
      <c r="E351" s="2">
        <v>4</v>
      </c>
      <c r="F351" s="2" t="str">
        <f>IFERROR(INDEX(customers!B$1:B$1001, MATCH(C351, customers!A$1:A$1001, 0)), "Not Found")</f>
        <v>Dell Daveridge</v>
      </c>
      <c r="G351" s="2" t="str">
        <f>IF(IFERROR(INDEX(customers!C$1:C$1001, MATCH(C351, customers!A$1:A$1001, 0)), "Not Found")=0,"",IFERROR(INDEX(customers!C$1:C$1001, MATCH(C351, customers!A$1:A$1001, 0)), "Not Found"))</f>
        <v>ddaveridge9p@arstechnica.com</v>
      </c>
      <c r="H351" s="2" t="str">
        <f>IFERROR(INDEX(customers!G$1:G$1001, MATCH(C351, customers!A$1:A$1001, 0)), "Not Found")</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L351*E351</f>
        <v>14.339999999999998</v>
      </c>
      <c r="N351" t="str">
        <f>IF(I351="Rob","Robusta",IF(I351="Exc","Excelsa",IF(I351="Ara","Arabica",IF(I351="Lib","Laberica",""))))</f>
        <v>Robusta</v>
      </c>
      <c r="O351" t="str">
        <f t="shared" si="5"/>
        <v>Light</v>
      </c>
      <c r="P351" t="str">
        <f>INDEX(customers!$I$1:$I$1001, MATCH(Orders[[#This Row],[Customer ID]], customers!$A$1:$A$1001, 0))</f>
        <v>No</v>
      </c>
    </row>
    <row r="352" spans="1:16" x14ac:dyDescent="0.25">
      <c r="A352" s="2" t="s">
        <v>2464</v>
      </c>
      <c r="B352" s="3">
        <v>43592</v>
      </c>
      <c r="C352" s="2" t="s">
        <v>2465</v>
      </c>
      <c r="D352" t="s">
        <v>6158</v>
      </c>
      <c r="E352" s="2">
        <v>4</v>
      </c>
      <c r="F352" s="2" t="str">
        <f>IFERROR(INDEX(customers!B$1:B$1001, MATCH(C352, customers!A$1:A$1001, 0)), "Not Found")</f>
        <v>Joshuah Awdry</v>
      </c>
      <c r="G352" s="2" t="str">
        <f>IF(IFERROR(INDEX(customers!C$1:C$1001, MATCH(C352, customers!A$1:A$1001, 0)), "Not Found")=0,"",IFERROR(INDEX(customers!C$1:C$1001, MATCH(C352, customers!A$1:A$1001, 0)), "Not Found"))</f>
        <v>jawdry9q@utexas.edu</v>
      </c>
      <c r="H352" s="2" t="str">
        <f>IFERROR(INDEX(customers!G$1:G$1001, MATCH(C352, customers!A$1:A$1001, 0)), "Not Found")</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L352*E352</f>
        <v>23.88</v>
      </c>
      <c r="N352" t="str">
        <f>IF(I352="Rob","Robusta",IF(I352="Exc","Excelsa",IF(I352="Ara","Arabica",IF(I352="Lib","Laberica",""))))</f>
        <v>Arabica</v>
      </c>
      <c r="O352" t="str">
        <f t="shared" si="5"/>
        <v>Dark</v>
      </c>
      <c r="P352" t="str">
        <f>INDEX(customers!$I$1:$I$1001, MATCH(Orders[[#This Row],[Customer ID]], customers!$A$1:$A$1001, 0))</f>
        <v>No</v>
      </c>
    </row>
    <row r="353" spans="1:16" x14ac:dyDescent="0.25">
      <c r="A353" s="2" t="s">
        <v>2470</v>
      </c>
      <c r="B353" s="3">
        <v>44066</v>
      </c>
      <c r="C353" s="2" t="s">
        <v>2471</v>
      </c>
      <c r="D353" t="s">
        <v>6155</v>
      </c>
      <c r="E353" s="2">
        <v>2</v>
      </c>
      <c r="F353" s="2" t="str">
        <f>IFERROR(INDEX(customers!B$1:B$1001, MATCH(C353, customers!A$1:A$1001, 0)), "Not Found")</f>
        <v>Ethel Ryles</v>
      </c>
      <c r="G353" s="2" t="str">
        <f>IF(IFERROR(INDEX(customers!C$1:C$1001, MATCH(C353, customers!A$1:A$1001, 0)), "Not Found")=0,"",IFERROR(INDEX(customers!C$1:C$1001, MATCH(C353, customers!A$1:A$1001, 0)), "Not Found"))</f>
        <v>eryles9r@fastcompany.com</v>
      </c>
      <c r="H353" s="2" t="str">
        <f>IFERROR(INDEX(customers!G$1:G$1001, MATCH(C353, customers!A$1:A$1001, 0)), "Not Found")</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L353*E353</f>
        <v>22.5</v>
      </c>
      <c r="N353" t="str">
        <f>IF(I353="Rob","Robusta",IF(I353="Exc","Excelsa",IF(I353="Ara","Arabica",IF(I353="Lib","Laberica",""))))</f>
        <v>Arabica</v>
      </c>
      <c r="O353" t="str">
        <f t="shared" si="5"/>
        <v>Medium</v>
      </c>
      <c r="P353" t="str">
        <f>INDEX(customers!$I$1:$I$1001, MATCH(Orders[[#This Row],[Customer ID]], customers!$A$1:$A$1001, 0))</f>
        <v>No</v>
      </c>
    </row>
    <row r="354" spans="1:16" x14ac:dyDescent="0.25">
      <c r="A354" s="2" t="s">
        <v>2476</v>
      </c>
      <c r="B354" s="3">
        <v>43984</v>
      </c>
      <c r="C354" s="2" t="s">
        <v>2331</v>
      </c>
      <c r="D354" t="s">
        <v>6144</v>
      </c>
      <c r="E354" s="2">
        <v>5</v>
      </c>
      <c r="F354" s="2" t="str">
        <f>IFERROR(INDEX(customers!B$1:B$1001, MATCH(C354, customers!A$1:A$1001, 0)), "Not Found")</f>
        <v>Flynn Antony</v>
      </c>
      <c r="G354" s="2" t="str">
        <f>IF(IFERROR(INDEX(customers!C$1:C$1001, MATCH(C354, customers!A$1:A$1001, 0)), "Not Found")=0,"",IFERROR(INDEX(customers!C$1:C$1001, MATCH(C354, customers!A$1:A$1001, 0)), "Not Found"))</f>
        <v/>
      </c>
      <c r="H354" s="2" t="str">
        <f>IFERROR(INDEX(customers!G$1:G$1001, MATCH(C354, customers!A$1:A$1001, 0)), "Not Found")</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L354*E354</f>
        <v>36.450000000000003</v>
      </c>
      <c r="N354" t="str">
        <f>IF(I354="Rob","Robusta",IF(I354="Exc","Excelsa",IF(I354="Ara","Arabica",IF(I354="Lib","Laberica",""))))</f>
        <v>Excelsa</v>
      </c>
      <c r="O354" t="str">
        <f t="shared" si="5"/>
        <v>Dark</v>
      </c>
      <c r="P354" t="str">
        <f>INDEX(customers!$I$1:$I$1001, MATCH(Orders[[#This Row],[Customer ID]], customers!$A$1:$A$1001, 0))</f>
        <v>No</v>
      </c>
    </row>
    <row r="355" spans="1:16" x14ac:dyDescent="0.25">
      <c r="A355" s="2" t="s">
        <v>2482</v>
      </c>
      <c r="B355" s="3">
        <v>43860</v>
      </c>
      <c r="C355" s="2" t="s">
        <v>2483</v>
      </c>
      <c r="D355" t="s">
        <v>6157</v>
      </c>
      <c r="E355" s="2">
        <v>4</v>
      </c>
      <c r="F355" s="2" t="str">
        <f>IFERROR(INDEX(customers!B$1:B$1001, MATCH(C355, customers!A$1:A$1001, 0)), "Not Found")</f>
        <v>Maitilde Boxill</v>
      </c>
      <c r="G355" s="2" t="str">
        <f>IF(IFERROR(INDEX(customers!C$1:C$1001, MATCH(C355, customers!A$1:A$1001, 0)), "Not Found")=0,"",IFERROR(INDEX(customers!C$1:C$1001, MATCH(C355, customers!A$1:A$1001, 0)), "Not Found"))</f>
        <v/>
      </c>
      <c r="H355" s="2" t="str">
        <f>IFERROR(INDEX(customers!G$1:G$1001, MATCH(C355, customers!A$1:A$1001, 0)), "Not Found")</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L355*E355</f>
        <v>27</v>
      </c>
      <c r="N355" t="str">
        <f>IF(I355="Rob","Robusta",IF(I355="Exc","Excelsa",IF(I355="Ara","Arabica",IF(I355="Lib","Laberica",""))))</f>
        <v>Arabica</v>
      </c>
      <c r="O355" t="str">
        <f t="shared" si="5"/>
        <v>Medium</v>
      </c>
      <c r="P355" t="str">
        <f>INDEX(customers!$I$1:$I$1001, MATCH(Orders[[#This Row],[Customer ID]], customers!$A$1:$A$1001, 0))</f>
        <v>Yes</v>
      </c>
    </row>
    <row r="356" spans="1:16" x14ac:dyDescent="0.25">
      <c r="A356" s="2" t="s">
        <v>2487</v>
      </c>
      <c r="B356" s="3">
        <v>43876</v>
      </c>
      <c r="C356" s="2" t="s">
        <v>2488</v>
      </c>
      <c r="D356" t="s">
        <v>6175</v>
      </c>
      <c r="E356" s="2">
        <v>6</v>
      </c>
      <c r="F356" s="2" t="str">
        <f>IFERROR(INDEX(customers!B$1:B$1001, MATCH(C356, customers!A$1:A$1001, 0)), "Not Found")</f>
        <v>Jodee Caldicott</v>
      </c>
      <c r="G356" s="2" t="str">
        <f>IF(IFERROR(INDEX(customers!C$1:C$1001, MATCH(C356, customers!A$1:A$1001, 0)), "Not Found")=0,"",IFERROR(INDEX(customers!C$1:C$1001, MATCH(C356, customers!A$1:A$1001, 0)), "Not Found"))</f>
        <v>jcaldicott9u@usda.gov</v>
      </c>
      <c r="H356" s="2" t="str">
        <f>IFERROR(INDEX(customers!G$1:G$1001, MATCH(C356, customers!A$1:A$1001, 0)), "Not Found")</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L356*E356</f>
        <v>155.24999999999997</v>
      </c>
      <c r="N356" t="str">
        <f>IF(I356="Rob","Robusta",IF(I356="Exc","Excelsa",IF(I356="Ara","Arabica",IF(I356="Lib","Laberica",""))))</f>
        <v>Arabica</v>
      </c>
      <c r="O356" t="str">
        <f t="shared" si="5"/>
        <v>Medium</v>
      </c>
      <c r="P356" t="str">
        <f>INDEX(customers!$I$1:$I$1001, MATCH(Orders[[#This Row],[Customer ID]], customers!$A$1:$A$1001, 0))</f>
        <v>No</v>
      </c>
    </row>
    <row r="357" spans="1:16" x14ac:dyDescent="0.25">
      <c r="A357" s="2" t="s">
        <v>2492</v>
      </c>
      <c r="B357" s="3">
        <v>44358</v>
      </c>
      <c r="C357" s="2" t="s">
        <v>2493</v>
      </c>
      <c r="D357" t="s">
        <v>6168</v>
      </c>
      <c r="E357" s="2">
        <v>5</v>
      </c>
      <c r="F357" s="2" t="str">
        <f>IFERROR(INDEX(customers!B$1:B$1001, MATCH(C357, customers!A$1:A$1001, 0)), "Not Found")</f>
        <v>Marianna Vedmore</v>
      </c>
      <c r="G357" s="2" t="str">
        <f>IF(IFERROR(INDEX(customers!C$1:C$1001, MATCH(C357, customers!A$1:A$1001, 0)), "Not Found")=0,"",IFERROR(INDEX(customers!C$1:C$1001, MATCH(C357, customers!A$1:A$1001, 0)), "Not Found"))</f>
        <v>mvedmore9v@a8.net</v>
      </c>
      <c r="H357" s="2" t="str">
        <f>IFERROR(INDEX(customers!G$1:G$1001, MATCH(C357, customers!A$1:A$1001, 0)), "Not Found")</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L357*E357</f>
        <v>114.42499999999998</v>
      </c>
      <c r="N357" t="str">
        <f>IF(I357="Rob","Robusta",IF(I357="Exc","Excelsa",IF(I357="Ara","Arabica",IF(I357="Lib","Laberica",""))))</f>
        <v>Arabica</v>
      </c>
      <c r="O357" t="str">
        <f t="shared" si="5"/>
        <v>Dark</v>
      </c>
      <c r="P357" t="str">
        <f>INDEX(customers!$I$1:$I$1001, MATCH(Orders[[#This Row],[Customer ID]], customers!$A$1:$A$1001, 0))</f>
        <v>Yes</v>
      </c>
    </row>
    <row r="358" spans="1:16" x14ac:dyDescent="0.25">
      <c r="A358" s="2" t="s">
        <v>2498</v>
      </c>
      <c r="B358" s="3">
        <v>44631</v>
      </c>
      <c r="C358" s="2" t="s">
        <v>2499</v>
      </c>
      <c r="D358" t="s">
        <v>6143</v>
      </c>
      <c r="E358" s="2">
        <v>4</v>
      </c>
      <c r="F358" s="2" t="str">
        <f>IFERROR(INDEX(customers!B$1:B$1001, MATCH(C358, customers!A$1:A$1001, 0)), "Not Found")</f>
        <v>Willey Romao</v>
      </c>
      <c r="G358" s="2" t="str">
        <f>IF(IFERROR(INDEX(customers!C$1:C$1001, MATCH(C358, customers!A$1:A$1001, 0)), "Not Found")=0,"",IFERROR(INDEX(customers!C$1:C$1001, MATCH(C358, customers!A$1:A$1001, 0)), "Not Found"))</f>
        <v>wromao9w@chronoengine.com</v>
      </c>
      <c r="H358" s="2" t="str">
        <f>IFERROR(INDEX(customers!G$1:G$1001, MATCH(C358, customers!A$1:A$1001, 0)), "Not Found")</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L358*E358</f>
        <v>51.8</v>
      </c>
      <c r="N358" t="str">
        <f>IF(I358="Rob","Robusta",IF(I358="Exc","Excelsa",IF(I358="Ara","Arabica",IF(I358="Lib","Laberica",""))))</f>
        <v>Laberica</v>
      </c>
      <c r="O358" t="str">
        <f t="shared" si="5"/>
        <v>Dark</v>
      </c>
      <c r="P358" t="str">
        <f>INDEX(customers!$I$1:$I$1001, MATCH(Orders[[#This Row],[Customer ID]], customers!$A$1:$A$1001, 0))</f>
        <v>Yes</v>
      </c>
    </row>
    <row r="359" spans="1:16" x14ac:dyDescent="0.25">
      <c r="A359" s="2" t="s">
        <v>2504</v>
      </c>
      <c r="B359" s="3">
        <v>44448</v>
      </c>
      <c r="C359" s="2" t="s">
        <v>2505</v>
      </c>
      <c r="D359" t="s">
        <v>6175</v>
      </c>
      <c r="E359" s="2">
        <v>6</v>
      </c>
      <c r="F359" s="2" t="str">
        <f>IFERROR(INDEX(customers!B$1:B$1001, MATCH(C359, customers!A$1:A$1001, 0)), "Not Found")</f>
        <v>Enriqueta Ixor</v>
      </c>
      <c r="G359" s="2" t="str">
        <f>IF(IFERROR(INDEX(customers!C$1:C$1001, MATCH(C359, customers!A$1:A$1001, 0)), "Not Found")=0,"",IFERROR(INDEX(customers!C$1:C$1001, MATCH(C359, customers!A$1:A$1001, 0)), "Not Found"))</f>
        <v/>
      </c>
      <c r="H359" s="2" t="str">
        <f>IFERROR(INDEX(customers!G$1:G$1001, MATCH(C359, customers!A$1:A$1001, 0)), "Not Found")</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L359*E359</f>
        <v>155.24999999999997</v>
      </c>
      <c r="N359" t="str">
        <f>IF(I359="Rob","Robusta",IF(I359="Exc","Excelsa",IF(I359="Ara","Arabica",IF(I359="Lib","Laberica",""))))</f>
        <v>Arabica</v>
      </c>
      <c r="O359" t="str">
        <f t="shared" si="5"/>
        <v>Medium</v>
      </c>
      <c r="P359" t="str">
        <f>INDEX(customers!$I$1:$I$1001, MATCH(Orders[[#This Row],[Customer ID]], customers!$A$1:$A$1001, 0))</f>
        <v>No</v>
      </c>
    </row>
    <row r="360" spans="1:16" x14ac:dyDescent="0.25">
      <c r="A360" s="2" t="s">
        <v>2509</v>
      </c>
      <c r="B360" s="3">
        <v>43599</v>
      </c>
      <c r="C360" s="2" t="s">
        <v>2510</v>
      </c>
      <c r="D360" t="s">
        <v>6182</v>
      </c>
      <c r="E360" s="2">
        <v>1</v>
      </c>
      <c r="F360" s="2" t="str">
        <f>IFERROR(INDEX(customers!B$1:B$1001, MATCH(C360, customers!A$1:A$1001, 0)), "Not Found")</f>
        <v>Tomasina Cotmore</v>
      </c>
      <c r="G360" s="2" t="str">
        <f>IF(IFERROR(INDEX(customers!C$1:C$1001, MATCH(C360, customers!A$1:A$1001, 0)), "Not Found")=0,"",IFERROR(INDEX(customers!C$1:C$1001, MATCH(C360, customers!A$1:A$1001, 0)), "Not Found"))</f>
        <v>tcotmore9y@amazonaws.com</v>
      </c>
      <c r="H360" s="2" t="str">
        <f>IFERROR(INDEX(customers!G$1:G$1001, MATCH(C360, customers!A$1:A$1001, 0)), "Not Found")</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L360*E360</f>
        <v>29.784999999999997</v>
      </c>
      <c r="N360" t="str">
        <f>IF(I360="Rob","Robusta",IF(I360="Exc","Excelsa",IF(I360="Ara","Arabica",IF(I360="Lib","Laberica",""))))</f>
        <v>Arabica</v>
      </c>
      <c r="O360" t="str">
        <f t="shared" si="5"/>
        <v>Light</v>
      </c>
      <c r="P360" t="str">
        <f>INDEX(customers!$I$1:$I$1001, MATCH(Orders[[#This Row],[Customer ID]], customers!$A$1:$A$1001, 0))</f>
        <v>No</v>
      </c>
    </row>
    <row r="361" spans="1:16" x14ac:dyDescent="0.25">
      <c r="A361" s="2" t="s">
        <v>2515</v>
      </c>
      <c r="B361" s="3">
        <v>43563</v>
      </c>
      <c r="C361" s="2" t="s">
        <v>2516</v>
      </c>
      <c r="D361" t="s">
        <v>6178</v>
      </c>
      <c r="E361" s="2">
        <v>6</v>
      </c>
      <c r="F361" s="2" t="str">
        <f>IFERROR(INDEX(customers!B$1:B$1001, MATCH(C361, customers!A$1:A$1001, 0)), "Not Found")</f>
        <v>Yuma Skipsey</v>
      </c>
      <c r="G361" s="2" t="str">
        <f>IF(IFERROR(INDEX(customers!C$1:C$1001, MATCH(C361, customers!A$1:A$1001, 0)), "Not Found")=0,"",IFERROR(INDEX(customers!C$1:C$1001, MATCH(C361, customers!A$1:A$1001, 0)), "Not Found"))</f>
        <v>yskipsey9z@spotify.com</v>
      </c>
      <c r="H361" s="2" t="str">
        <f>IFERROR(INDEX(customers!G$1:G$1001, MATCH(C361, customers!A$1:A$1001, 0)), "Not Found")</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L361*E361</f>
        <v>21.509999999999998</v>
      </c>
      <c r="N361" t="str">
        <f>IF(I361="Rob","Robusta",IF(I361="Exc","Excelsa",IF(I361="Ara","Arabica",IF(I361="Lib","Laberica",""))))</f>
        <v>Robusta</v>
      </c>
      <c r="O361" t="str">
        <f t="shared" si="5"/>
        <v>Light</v>
      </c>
      <c r="P361" t="str">
        <f>INDEX(customers!$I$1:$I$1001, MATCH(Orders[[#This Row],[Customer ID]], customers!$A$1:$A$1001, 0))</f>
        <v>No</v>
      </c>
    </row>
    <row r="362" spans="1:16" x14ac:dyDescent="0.25">
      <c r="A362" s="2" t="s">
        <v>2521</v>
      </c>
      <c r="B362" s="3">
        <v>44058</v>
      </c>
      <c r="C362" s="2" t="s">
        <v>2522</v>
      </c>
      <c r="D362" t="s">
        <v>6149</v>
      </c>
      <c r="E362" s="2">
        <v>2</v>
      </c>
      <c r="F362" s="2" t="str">
        <f>IFERROR(INDEX(customers!B$1:B$1001, MATCH(C362, customers!A$1:A$1001, 0)), "Not Found")</f>
        <v>Nicko Corps</v>
      </c>
      <c r="G362" s="2" t="str">
        <f>IF(IFERROR(INDEX(customers!C$1:C$1001, MATCH(C362, customers!A$1:A$1001, 0)), "Not Found")=0,"",IFERROR(INDEX(customers!C$1:C$1001, MATCH(C362, customers!A$1:A$1001, 0)), "Not Found"))</f>
        <v>ncorpsa0@gmpg.org</v>
      </c>
      <c r="H362" s="2" t="str">
        <f>IFERROR(INDEX(customers!G$1:G$1001, MATCH(C362, customers!A$1:A$1001, 0)), "Not Found")</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L362*E362</f>
        <v>41.169999999999995</v>
      </c>
      <c r="N362" t="str">
        <f>IF(I362="Rob","Robusta",IF(I362="Exc","Excelsa",IF(I362="Ara","Arabica",IF(I362="Lib","Laberica",""))))</f>
        <v>Robusta</v>
      </c>
      <c r="O362" t="str">
        <f t="shared" si="5"/>
        <v>Dark</v>
      </c>
      <c r="P362" t="str">
        <f>INDEX(customers!$I$1:$I$1001, MATCH(Orders[[#This Row],[Customer ID]], customers!$A$1:$A$1001, 0))</f>
        <v>No</v>
      </c>
    </row>
    <row r="363" spans="1:16" x14ac:dyDescent="0.25">
      <c r="A363" s="2" t="s">
        <v>2521</v>
      </c>
      <c r="B363" s="3">
        <v>44058</v>
      </c>
      <c r="C363" s="2" t="s">
        <v>2522</v>
      </c>
      <c r="D363" t="s">
        <v>6146</v>
      </c>
      <c r="E363" s="2">
        <v>1</v>
      </c>
      <c r="F363" s="2" t="str">
        <f>IFERROR(INDEX(customers!B$1:B$1001, MATCH(C363, customers!A$1:A$1001, 0)), "Not Found")</f>
        <v>Nicko Corps</v>
      </c>
      <c r="G363" s="2" t="str">
        <f>IF(IFERROR(INDEX(customers!C$1:C$1001, MATCH(C363, customers!A$1:A$1001, 0)), "Not Found")=0,"",IFERROR(INDEX(customers!C$1:C$1001, MATCH(C363, customers!A$1:A$1001, 0)), "Not Found"))</f>
        <v>ncorpsa0@gmpg.org</v>
      </c>
      <c r="H363" s="2" t="str">
        <f>IFERROR(INDEX(customers!G$1:G$1001, MATCH(C363, customers!A$1:A$1001, 0)), "Not Found")</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L363*E363</f>
        <v>5.97</v>
      </c>
      <c r="N363" t="str">
        <f>IF(I363="Rob","Robusta",IF(I363="Exc","Excelsa",IF(I363="Ara","Arabica",IF(I363="Lib","Laberica",""))))</f>
        <v>Robusta</v>
      </c>
      <c r="O363" t="str">
        <f t="shared" si="5"/>
        <v>Medium</v>
      </c>
      <c r="P363" t="str">
        <f>INDEX(customers!$I$1:$I$1001, MATCH(Orders[[#This Row],[Customer ID]], customers!$A$1:$A$1001, 0))</f>
        <v>No</v>
      </c>
    </row>
    <row r="364" spans="1:16" x14ac:dyDescent="0.25">
      <c r="A364" s="2" t="s">
        <v>2532</v>
      </c>
      <c r="B364" s="3">
        <v>44686</v>
      </c>
      <c r="C364" s="2" t="s">
        <v>2533</v>
      </c>
      <c r="D364" t="s">
        <v>6171</v>
      </c>
      <c r="E364" s="2">
        <v>5</v>
      </c>
      <c r="F364" s="2" t="str">
        <f>IFERROR(INDEX(customers!B$1:B$1001, MATCH(C364, customers!A$1:A$1001, 0)), "Not Found")</f>
        <v>Feliks Babber</v>
      </c>
      <c r="G364" s="2" t="str">
        <f>IF(IFERROR(INDEX(customers!C$1:C$1001, MATCH(C364, customers!A$1:A$1001, 0)), "Not Found")=0,"",IFERROR(INDEX(customers!C$1:C$1001, MATCH(C364, customers!A$1:A$1001, 0)), "Not Found"))</f>
        <v>fbabbera2@stanford.edu</v>
      </c>
      <c r="H364" s="2" t="str">
        <f>IFERROR(INDEX(customers!G$1:G$1001, MATCH(C364, customers!A$1:A$1001, 0)), "Not Found")</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L364*E364</f>
        <v>74.25</v>
      </c>
      <c r="N364" t="str">
        <f>IF(I364="Rob","Robusta",IF(I364="Exc","Excelsa",IF(I364="Ara","Arabica",IF(I364="Lib","Laberica",""))))</f>
        <v>Excelsa</v>
      </c>
      <c r="O364" t="str">
        <f t="shared" si="5"/>
        <v>Light</v>
      </c>
      <c r="P364" t="str">
        <f>INDEX(customers!$I$1:$I$1001, MATCH(Orders[[#This Row],[Customer ID]], customers!$A$1:$A$1001, 0))</f>
        <v>Yes</v>
      </c>
    </row>
    <row r="365" spans="1:16" x14ac:dyDescent="0.25">
      <c r="A365" s="2" t="s">
        <v>2538</v>
      </c>
      <c r="B365" s="3">
        <v>44282</v>
      </c>
      <c r="C365" s="2" t="s">
        <v>2539</v>
      </c>
      <c r="D365" t="s">
        <v>6162</v>
      </c>
      <c r="E365" s="2">
        <v>6</v>
      </c>
      <c r="F365" s="2" t="str">
        <f>IFERROR(INDEX(customers!B$1:B$1001, MATCH(C365, customers!A$1:A$1001, 0)), "Not Found")</f>
        <v>Kaja Loxton</v>
      </c>
      <c r="G365" s="2" t="str">
        <f>IF(IFERROR(INDEX(customers!C$1:C$1001, MATCH(C365, customers!A$1:A$1001, 0)), "Not Found")=0,"",IFERROR(INDEX(customers!C$1:C$1001, MATCH(C365, customers!A$1:A$1001, 0)), "Not Found"))</f>
        <v>kloxtona3@opensource.org</v>
      </c>
      <c r="H365" s="2" t="str">
        <f>IFERROR(INDEX(customers!G$1:G$1001, MATCH(C365, customers!A$1:A$1001, 0)), "Not Found")</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L365*E365</f>
        <v>87.300000000000011</v>
      </c>
      <c r="N365" t="str">
        <f>IF(I365="Rob","Robusta",IF(I365="Exc","Excelsa",IF(I365="Ara","Arabica",IF(I365="Lib","Laberica",""))))</f>
        <v>Laberica</v>
      </c>
      <c r="O365" t="str">
        <f t="shared" si="5"/>
        <v>Medium</v>
      </c>
      <c r="P365" t="str">
        <f>INDEX(customers!$I$1:$I$1001, MATCH(Orders[[#This Row],[Customer ID]], customers!$A$1:$A$1001, 0))</f>
        <v>No</v>
      </c>
    </row>
    <row r="366" spans="1:16" x14ac:dyDescent="0.25">
      <c r="A366" s="2" t="s">
        <v>2543</v>
      </c>
      <c r="B366" s="3">
        <v>43582</v>
      </c>
      <c r="C366" s="2" t="s">
        <v>2544</v>
      </c>
      <c r="D366" t="s">
        <v>6183</v>
      </c>
      <c r="E366" s="2">
        <v>6</v>
      </c>
      <c r="F366" s="2" t="str">
        <f>IFERROR(INDEX(customers!B$1:B$1001, MATCH(C366, customers!A$1:A$1001, 0)), "Not Found")</f>
        <v>Parker Tofful</v>
      </c>
      <c r="G366" s="2" t="str">
        <f>IF(IFERROR(INDEX(customers!C$1:C$1001, MATCH(C366, customers!A$1:A$1001, 0)), "Not Found")=0,"",IFERROR(INDEX(customers!C$1:C$1001, MATCH(C366, customers!A$1:A$1001, 0)), "Not Found"))</f>
        <v>ptoffula4@posterous.com</v>
      </c>
      <c r="H366" s="2" t="str">
        <f>IFERROR(INDEX(customers!G$1:G$1001, MATCH(C366, customers!A$1:A$1001, 0)), "Not Found")</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L366*E366</f>
        <v>72.900000000000006</v>
      </c>
      <c r="N366" t="str">
        <f>IF(I366="Rob","Robusta",IF(I366="Exc","Excelsa",IF(I366="Ara","Arabica",IF(I366="Lib","Laberica",""))))</f>
        <v>Excelsa</v>
      </c>
      <c r="O366" t="str">
        <f t="shared" si="5"/>
        <v>Dark</v>
      </c>
      <c r="P366" t="str">
        <f>INDEX(customers!$I$1:$I$1001, MATCH(Orders[[#This Row],[Customer ID]], customers!$A$1:$A$1001, 0))</f>
        <v>Yes</v>
      </c>
    </row>
    <row r="367" spans="1:16" x14ac:dyDescent="0.25">
      <c r="A367" s="2" t="s">
        <v>2549</v>
      </c>
      <c r="B367" s="3">
        <v>44464</v>
      </c>
      <c r="C367" s="2" t="s">
        <v>2550</v>
      </c>
      <c r="D367" t="s">
        <v>6169</v>
      </c>
      <c r="E367" s="2">
        <v>1</v>
      </c>
      <c r="F367" s="2" t="str">
        <f>IFERROR(INDEX(customers!B$1:B$1001, MATCH(C367, customers!A$1:A$1001, 0)), "Not Found")</f>
        <v>Casi Gwinnett</v>
      </c>
      <c r="G367" s="2" t="str">
        <f>IF(IFERROR(INDEX(customers!C$1:C$1001, MATCH(C367, customers!A$1:A$1001, 0)), "Not Found")=0,"",IFERROR(INDEX(customers!C$1:C$1001, MATCH(C367, customers!A$1:A$1001, 0)), "Not Found"))</f>
        <v>cgwinnetta5@behance.net</v>
      </c>
      <c r="H367" s="2" t="str">
        <f>IFERROR(INDEX(customers!G$1:G$1001, MATCH(C367, customers!A$1:A$1001, 0)), "Not Found")</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L367*E367</f>
        <v>7.77</v>
      </c>
      <c r="N367" t="str">
        <f>IF(I367="Rob","Robusta",IF(I367="Exc","Excelsa",IF(I367="Ara","Arabica",IF(I367="Lib","Laberica",""))))</f>
        <v>Laberica</v>
      </c>
      <c r="O367" t="str">
        <f t="shared" si="5"/>
        <v>Dark</v>
      </c>
      <c r="P367" t="str">
        <f>INDEX(customers!$I$1:$I$1001, MATCH(Orders[[#This Row],[Customer ID]], customers!$A$1:$A$1001, 0))</f>
        <v>No</v>
      </c>
    </row>
    <row r="368" spans="1:16" x14ac:dyDescent="0.25">
      <c r="A368" s="2" t="s">
        <v>2554</v>
      </c>
      <c r="B368" s="3">
        <v>43874</v>
      </c>
      <c r="C368" s="2" t="s">
        <v>2555</v>
      </c>
      <c r="D368" t="s">
        <v>6144</v>
      </c>
      <c r="E368" s="2">
        <v>6</v>
      </c>
      <c r="F368" s="2" t="str">
        <f>IFERROR(INDEX(customers!B$1:B$1001, MATCH(C368, customers!A$1:A$1001, 0)), "Not Found")</f>
        <v>Saree Ellesworth</v>
      </c>
      <c r="G368" s="2" t="str">
        <f>IF(IFERROR(INDEX(customers!C$1:C$1001, MATCH(C368, customers!A$1:A$1001, 0)), "Not Found")=0,"",IFERROR(INDEX(customers!C$1:C$1001, MATCH(C368, customers!A$1:A$1001, 0)), "Not Found"))</f>
        <v/>
      </c>
      <c r="H368" s="2" t="str">
        <f>IFERROR(INDEX(customers!G$1:G$1001, MATCH(C368, customers!A$1:A$1001, 0)), "Not Found")</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L368*E368</f>
        <v>43.74</v>
      </c>
      <c r="N368" t="str">
        <f>IF(I368="Rob","Robusta",IF(I368="Exc","Excelsa",IF(I368="Ara","Arabica",IF(I368="Lib","Laberica",""))))</f>
        <v>Excelsa</v>
      </c>
      <c r="O368" t="str">
        <f t="shared" si="5"/>
        <v>Dark</v>
      </c>
      <c r="P368" t="str">
        <f>INDEX(customers!$I$1:$I$1001, MATCH(Orders[[#This Row],[Customer ID]], customers!$A$1:$A$1001, 0))</f>
        <v>No</v>
      </c>
    </row>
    <row r="369" spans="1:16" x14ac:dyDescent="0.25">
      <c r="A369" s="2" t="s">
        <v>2559</v>
      </c>
      <c r="B369" s="3">
        <v>44393</v>
      </c>
      <c r="C369" s="2" t="s">
        <v>2560</v>
      </c>
      <c r="D369" t="s">
        <v>6159</v>
      </c>
      <c r="E369" s="2">
        <v>2</v>
      </c>
      <c r="F369" s="2" t="str">
        <f>IFERROR(INDEX(customers!B$1:B$1001, MATCH(C369, customers!A$1:A$1001, 0)), "Not Found")</f>
        <v>Silvio Iorizzi</v>
      </c>
      <c r="G369" s="2" t="str">
        <f>IF(IFERROR(INDEX(customers!C$1:C$1001, MATCH(C369, customers!A$1:A$1001, 0)), "Not Found")=0,"",IFERROR(INDEX(customers!C$1:C$1001, MATCH(C369, customers!A$1:A$1001, 0)), "Not Found"))</f>
        <v/>
      </c>
      <c r="H369" s="2" t="str">
        <f>IFERROR(INDEX(customers!G$1:G$1001, MATCH(C369, customers!A$1:A$1001, 0)), "Not Found")</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L369*E369</f>
        <v>8.73</v>
      </c>
      <c r="N369" t="str">
        <f>IF(I369="Rob","Robusta",IF(I369="Exc","Excelsa",IF(I369="Ara","Arabica",IF(I369="Lib","Laberica",""))))</f>
        <v>Laberica</v>
      </c>
      <c r="O369" t="str">
        <f t="shared" si="5"/>
        <v>Medium</v>
      </c>
      <c r="P369" t="str">
        <f>INDEX(customers!$I$1:$I$1001, MATCH(Orders[[#This Row],[Customer ID]], customers!$A$1:$A$1001, 0))</f>
        <v>Yes</v>
      </c>
    </row>
    <row r="370" spans="1:16" x14ac:dyDescent="0.25">
      <c r="A370" s="2" t="s">
        <v>2563</v>
      </c>
      <c r="B370" s="3">
        <v>44692</v>
      </c>
      <c r="C370" s="2" t="s">
        <v>2564</v>
      </c>
      <c r="D370" t="s">
        <v>6166</v>
      </c>
      <c r="E370" s="2">
        <v>2</v>
      </c>
      <c r="F370" s="2" t="str">
        <f>IFERROR(INDEX(customers!B$1:B$1001, MATCH(C370, customers!A$1:A$1001, 0)), "Not Found")</f>
        <v>Leesa Flaonier</v>
      </c>
      <c r="G370" s="2" t="str">
        <f>IF(IFERROR(INDEX(customers!C$1:C$1001, MATCH(C370, customers!A$1:A$1001, 0)), "Not Found")=0,"",IFERROR(INDEX(customers!C$1:C$1001, MATCH(C370, customers!A$1:A$1001, 0)), "Not Found"))</f>
        <v>lflaoniera8@wordpress.org</v>
      </c>
      <c r="H370" s="2" t="str">
        <f>IFERROR(INDEX(customers!G$1:G$1001, MATCH(C370, customers!A$1:A$1001, 0)), "Not Found")</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L370*E370</f>
        <v>63.249999999999993</v>
      </c>
      <c r="N370" t="str">
        <f>IF(I370="Rob","Robusta",IF(I370="Exc","Excelsa",IF(I370="Ara","Arabica",IF(I370="Lib","Laberica",""))))</f>
        <v>Excelsa</v>
      </c>
      <c r="O370" t="str">
        <f t="shared" si="5"/>
        <v>Medium</v>
      </c>
      <c r="P370" t="str">
        <f>INDEX(customers!$I$1:$I$1001, MATCH(Orders[[#This Row],[Customer ID]], customers!$A$1:$A$1001, 0))</f>
        <v>No</v>
      </c>
    </row>
    <row r="371" spans="1:16" x14ac:dyDescent="0.25">
      <c r="A371" s="2" t="s">
        <v>2569</v>
      </c>
      <c r="B371" s="3">
        <v>43500</v>
      </c>
      <c r="C371" s="2" t="s">
        <v>2570</v>
      </c>
      <c r="D371" t="s">
        <v>6176</v>
      </c>
      <c r="E371" s="2">
        <v>1</v>
      </c>
      <c r="F371" s="2" t="str">
        <f>IFERROR(INDEX(customers!B$1:B$1001, MATCH(C371, customers!A$1:A$1001, 0)), "Not Found")</f>
        <v>Abba Pummell</v>
      </c>
      <c r="G371" s="2" t="str">
        <f>IF(IFERROR(INDEX(customers!C$1:C$1001, MATCH(C371, customers!A$1:A$1001, 0)), "Not Found")=0,"",IFERROR(INDEX(customers!C$1:C$1001, MATCH(C371, customers!A$1:A$1001, 0)), "Not Found"))</f>
        <v/>
      </c>
      <c r="H371" s="2" t="str">
        <f>IFERROR(INDEX(customers!G$1:G$1001, MATCH(C371, customers!A$1:A$1001, 0)), "Not Found")</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L371*E371</f>
        <v>8.91</v>
      </c>
      <c r="N371" t="str">
        <f>IF(I371="Rob","Robusta",IF(I371="Exc","Excelsa",IF(I371="Ara","Arabica",IF(I371="Lib","Laberica",""))))</f>
        <v>Excelsa</v>
      </c>
      <c r="O371" t="str">
        <f t="shared" si="5"/>
        <v>Light</v>
      </c>
      <c r="P371" t="str">
        <f>INDEX(customers!$I$1:$I$1001, MATCH(Orders[[#This Row],[Customer ID]], customers!$A$1:$A$1001, 0))</f>
        <v>Yes</v>
      </c>
    </row>
    <row r="372" spans="1:16" x14ac:dyDescent="0.25">
      <c r="A372" s="2" t="s">
        <v>2573</v>
      </c>
      <c r="B372" s="3">
        <v>43501</v>
      </c>
      <c r="C372" s="2" t="s">
        <v>2574</v>
      </c>
      <c r="D372" t="s">
        <v>6183</v>
      </c>
      <c r="E372" s="2">
        <v>2</v>
      </c>
      <c r="F372" s="2" t="str">
        <f>IFERROR(INDEX(customers!B$1:B$1001, MATCH(C372, customers!A$1:A$1001, 0)), "Not Found")</f>
        <v>Corinna Catcheside</v>
      </c>
      <c r="G372" s="2" t="str">
        <f>IF(IFERROR(INDEX(customers!C$1:C$1001, MATCH(C372, customers!A$1:A$1001, 0)), "Not Found")=0,"",IFERROR(INDEX(customers!C$1:C$1001, MATCH(C372, customers!A$1:A$1001, 0)), "Not Found"))</f>
        <v>ccatchesideaa@macromedia.com</v>
      </c>
      <c r="H372" s="2" t="str">
        <f>IFERROR(INDEX(customers!G$1:G$1001, MATCH(C372, customers!A$1:A$1001, 0)), "Not Found")</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L372*E372</f>
        <v>24.3</v>
      </c>
      <c r="N372" t="str">
        <f>IF(I372="Rob","Robusta",IF(I372="Exc","Excelsa",IF(I372="Ara","Arabica",IF(I372="Lib","Laberica",""))))</f>
        <v>Excelsa</v>
      </c>
      <c r="O372" t="str">
        <f t="shared" si="5"/>
        <v>Dark</v>
      </c>
      <c r="P372" t="str">
        <f>INDEX(customers!$I$1:$I$1001, MATCH(Orders[[#This Row],[Customer ID]], customers!$A$1:$A$1001, 0))</f>
        <v>Yes</v>
      </c>
    </row>
    <row r="373" spans="1:16" x14ac:dyDescent="0.25">
      <c r="A373" s="2" t="s">
        <v>2579</v>
      </c>
      <c r="B373" s="3">
        <v>44705</v>
      </c>
      <c r="C373" s="2" t="s">
        <v>2580</v>
      </c>
      <c r="D373" t="s">
        <v>6180</v>
      </c>
      <c r="E373" s="2">
        <v>6</v>
      </c>
      <c r="F373" s="2" t="str">
        <f>IFERROR(INDEX(customers!B$1:B$1001, MATCH(C373, customers!A$1:A$1001, 0)), "Not Found")</f>
        <v>Cortney Gibbonson</v>
      </c>
      <c r="G373" s="2" t="str">
        <f>IF(IFERROR(INDEX(customers!C$1:C$1001, MATCH(C373, customers!A$1:A$1001, 0)), "Not Found")=0,"",IFERROR(INDEX(customers!C$1:C$1001, MATCH(C373, customers!A$1:A$1001, 0)), "Not Found"))</f>
        <v>cgibbonsonab@accuweather.com</v>
      </c>
      <c r="H373" s="2" t="str">
        <f>IFERROR(INDEX(customers!G$1:G$1001, MATCH(C373, customers!A$1:A$1001, 0)), "Not Found")</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L373*E373</f>
        <v>46.62</v>
      </c>
      <c r="N373" t="str">
        <f>IF(I373="Rob","Robusta",IF(I373="Exc","Excelsa",IF(I373="Ara","Arabica",IF(I373="Lib","Laberica",""))))</f>
        <v>Arabica</v>
      </c>
      <c r="O373" t="str">
        <f t="shared" si="5"/>
        <v>Light</v>
      </c>
      <c r="P373" t="str">
        <f>INDEX(customers!$I$1:$I$1001, MATCH(Orders[[#This Row],[Customer ID]], customers!$A$1:$A$1001, 0))</f>
        <v>Yes</v>
      </c>
    </row>
    <row r="374" spans="1:16" x14ac:dyDescent="0.25">
      <c r="A374" s="2" t="s">
        <v>2585</v>
      </c>
      <c r="B374" s="3">
        <v>44108</v>
      </c>
      <c r="C374" s="2" t="s">
        <v>2586</v>
      </c>
      <c r="D374" t="s">
        <v>6173</v>
      </c>
      <c r="E374" s="2">
        <v>6</v>
      </c>
      <c r="F374" s="2" t="str">
        <f>IFERROR(INDEX(customers!B$1:B$1001, MATCH(C374, customers!A$1:A$1001, 0)), "Not Found")</f>
        <v>Terri Farra</v>
      </c>
      <c r="G374" s="2" t="str">
        <f>IF(IFERROR(INDEX(customers!C$1:C$1001, MATCH(C374, customers!A$1:A$1001, 0)), "Not Found")=0,"",IFERROR(INDEX(customers!C$1:C$1001, MATCH(C374, customers!A$1:A$1001, 0)), "Not Found"))</f>
        <v>tfarraac@behance.net</v>
      </c>
      <c r="H374" s="2" t="str">
        <f>IFERROR(INDEX(customers!G$1:G$1001, MATCH(C374, customers!A$1:A$1001, 0)), "Not Found")</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L374*E374</f>
        <v>43.019999999999996</v>
      </c>
      <c r="N374" t="str">
        <f>IF(I374="Rob","Robusta",IF(I374="Exc","Excelsa",IF(I374="Ara","Arabica",IF(I374="Lib","Laberica",""))))</f>
        <v>Robusta</v>
      </c>
      <c r="O374" t="str">
        <f t="shared" si="5"/>
        <v>Light</v>
      </c>
      <c r="P374" t="str">
        <f>INDEX(customers!$I$1:$I$1001, MATCH(Orders[[#This Row],[Customer ID]], customers!$A$1:$A$1001, 0))</f>
        <v>No</v>
      </c>
    </row>
    <row r="375" spans="1:16" x14ac:dyDescent="0.25">
      <c r="A375" s="2" t="s">
        <v>2591</v>
      </c>
      <c r="B375" s="3">
        <v>44742</v>
      </c>
      <c r="C375" s="2" t="s">
        <v>2592</v>
      </c>
      <c r="D375" t="s">
        <v>6158</v>
      </c>
      <c r="E375" s="2">
        <v>3</v>
      </c>
      <c r="F375" s="2" t="str">
        <f>IFERROR(INDEX(customers!B$1:B$1001, MATCH(C375, customers!A$1:A$1001, 0)), "Not Found")</f>
        <v>Corney Curme</v>
      </c>
      <c r="G375" s="2" t="str">
        <f>IF(IFERROR(INDEX(customers!C$1:C$1001, MATCH(C375, customers!A$1:A$1001, 0)), "Not Found")=0,"",IFERROR(INDEX(customers!C$1:C$1001, MATCH(C375, customers!A$1:A$1001, 0)), "Not Found"))</f>
        <v/>
      </c>
      <c r="H375" s="2" t="str">
        <f>IFERROR(INDEX(customers!G$1:G$1001, MATCH(C375, customers!A$1:A$1001, 0)), "Not Found")</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L375*E375</f>
        <v>17.91</v>
      </c>
      <c r="N375" t="str">
        <f>IF(I375="Rob","Robusta",IF(I375="Exc","Excelsa",IF(I375="Ara","Arabica",IF(I375="Lib","Laberica",""))))</f>
        <v>Arabica</v>
      </c>
      <c r="O375" t="str">
        <f t="shared" si="5"/>
        <v>Dark</v>
      </c>
      <c r="P375" t="str">
        <f>INDEX(customers!$I$1:$I$1001, MATCH(Orders[[#This Row],[Customer ID]], customers!$A$1:$A$1001, 0))</f>
        <v>Yes</v>
      </c>
    </row>
    <row r="376" spans="1:16" x14ac:dyDescent="0.25">
      <c r="A376" s="2" t="s">
        <v>2597</v>
      </c>
      <c r="B376" s="3">
        <v>44125</v>
      </c>
      <c r="C376" s="2" t="s">
        <v>2598</v>
      </c>
      <c r="D376" t="s">
        <v>6161</v>
      </c>
      <c r="E376" s="2">
        <v>4</v>
      </c>
      <c r="F376" s="2" t="str">
        <f>IFERROR(INDEX(customers!B$1:B$1001, MATCH(C376, customers!A$1:A$1001, 0)), "Not Found")</f>
        <v>Gothart Bamfield</v>
      </c>
      <c r="G376" s="2" t="str">
        <f>IF(IFERROR(INDEX(customers!C$1:C$1001, MATCH(C376, customers!A$1:A$1001, 0)), "Not Found")=0,"",IFERROR(INDEX(customers!C$1:C$1001, MATCH(C376, customers!A$1:A$1001, 0)), "Not Found"))</f>
        <v>gbamfieldae@yellowpages.com</v>
      </c>
      <c r="H376" s="2" t="str">
        <f>IFERROR(INDEX(customers!G$1:G$1001, MATCH(C376, customers!A$1:A$1001, 0)), "Not Found")</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L376*E376</f>
        <v>38.04</v>
      </c>
      <c r="N376" t="str">
        <f>IF(I376="Rob","Robusta",IF(I376="Exc","Excelsa",IF(I376="Ara","Arabica",IF(I376="Lib","Laberica",""))))</f>
        <v>Laberica</v>
      </c>
      <c r="O376" t="str">
        <f t="shared" si="5"/>
        <v>Light</v>
      </c>
      <c r="P376" t="str">
        <f>INDEX(customers!$I$1:$I$1001, MATCH(Orders[[#This Row],[Customer ID]], customers!$A$1:$A$1001, 0))</f>
        <v>Yes</v>
      </c>
    </row>
    <row r="377" spans="1:16" x14ac:dyDescent="0.25">
      <c r="A377" s="2" t="s">
        <v>2603</v>
      </c>
      <c r="B377" s="3">
        <v>44120</v>
      </c>
      <c r="C377" s="2" t="s">
        <v>2604</v>
      </c>
      <c r="D377" t="s">
        <v>6152</v>
      </c>
      <c r="E377" s="2">
        <v>2</v>
      </c>
      <c r="F377" s="2" t="str">
        <f>IFERROR(INDEX(customers!B$1:B$1001, MATCH(C377, customers!A$1:A$1001, 0)), "Not Found")</f>
        <v>Waylin Hollingdale</v>
      </c>
      <c r="G377" s="2" t="str">
        <f>IF(IFERROR(INDEX(customers!C$1:C$1001, MATCH(C377, customers!A$1:A$1001, 0)), "Not Found")=0,"",IFERROR(INDEX(customers!C$1:C$1001, MATCH(C377, customers!A$1:A$1001, 0)), "Not Found"))</f>
        <v>whollingdaleaf@about.me</v>
      </c>
      <c r="H377" s="2" t="str">
        <f>IFERROR(INDEX(customers!G$1:G$1001, MATCH(C377, customers!A$1:A$1001, 0)), "Not Found")</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L377*E377</f>
        <v>6.75</v>
      </c>
      <c r="N377" t="str">
        <f>IF(I377="Rob","Robusta",IF(I377="Exc","Excelsa",IF(I377="Ara","Arabica",IF(I377="Lib","Laberica",""))))</f>
        <v>Arabica</v>
      </c>
      <c r="O377" t="str">
        <f t="shared" si="5"/>
        <v>Medium</v>
      </c>
      <c r="P377" t="str">
        <f>INDEX(customers!$I$1:$I$1001, MATCH(Orders[[#This Row],[Customer ID]], customers!$A$1:$A$1001, 0))</f>
        <v>Yes</v>
      </c>
    </row>
    <row r="378" spans="1:16" x14ac:dyDescent="0.25">
      <c r="A378" s="2" t="s">
        <v>2609</v>
      </c>
      <c r="B378" s="3">
        <v>44097</v>
      </c>
      <c r="C378" s="2" t="s">
        <v>2610</v>
      </c>
      <c r="D378" t="s">
        <v>6146</v>
      </c>
      <c r="E378" s="2">
        <v>1</v>
      </c>
      <c r="F378" s="2" t="str">
        <f>IFERROR(INDEX(customers!B$1:B$1001, MATCH(C378, customers!A$1:A$1001, 0)), "Not Found")</f>
        <v>Judd De Leek</v>
      </c>
      <c r="G378" s="2" t="str">
        <f>IF(IFERROR(INDEX(customers!C$1:C$1001, MATCH(C378, customers!A$1:A$1001, 0)), "Not Found")=0,"",IFERROR(INDEX(customers!C$1:C$1001, MATCH(C378, customers!A$1:A$1001, 0)), "Not Found"))</f>
        <v>jdeag@xrea.com</v>
      </c>
      <c r="H378" s="2" t="str">
        <f>IFERROR(INDEX(customers!G$1:G$1001, MATCH(C378, customers!A$1:A$1001, 0)), "Not Found")</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L378*E378</f>
        <v>5.97</v>
      </c>
      <c r="N378" t="str">
        <f>IF(I378="Rob","Robusta",IF(I378="Exc","Excelsa",IF(I378="Ara","Arabica",IF(I378="Lib","Laberica",""))))</f>
        <v>Robusta</v>
      </c>
      <c r="O378" t="str">
        <f t="shared" si="5"/>
        <v>Medium</v>
      </c>
      <c r="P378" t="str">
        <f>INDEX(customers!$I$1:$I$1001, MATCH(Orders[[#This Row],[Customer ID]], customers!$A$1:$A$1001, 0))</f>
        <v>Yes</v>
      </c>
    </row>
    <row r="379" spans="1:16" x14ac:dyDescent="0.25">
      <c r="A379" s="2" t="s">
        <v>2615</v>
      </c>
      <c r="B379" s="3">
        <v>43532</v>
      </c>
      <c r="C379" s="2" t="s">
        <v>2616</v>
      </c>
      <c r="D379" t="s">
        <v>6163</v>
      </c>
      <c r="E379" s="2">
        <v>3</v>
      </c>
      <c r="F379" s="2" t="str">
        <f>IFERROR(INDEX(customers!B$1:B$1001, MATCH(C379, customers!A$1:A$1001, 0)), "Not Found")</f>
        <v>Vanya Skullet</v>
      </c>
      <c r="G379" s="2" t="str">
        <f>IF(IFERROR(INDEX(customers!C$1:C$1001, MATCH(C379, customers!A$1:A$1001, 0)), "Not Found")=0,"",IFERROR(INDEX(customers!C$1:C$1001, MATCH(C379, customers!A$1:A$1001, 0)), "Not Found"))</f>
        <v>vskulletah@tinyurl.com</v>
      </c>
      <c r="H379" s="2" t="str">
        <f>IFERROR(INDEX(customers!G$1:G$1001, MATCH(C379, customers!A$1:A$1001, 0)), "Not Found")</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L379*E379</f>
        <v>8.0549999999999997</v>
      </c>
      <c r="N379" t="str">
        <f>IF(I379="Rob","Robusta",IF(I379="Exc","Excelsa",IF(I379="Ara","Arabica",IF(I379="Lib","Laberica",""))))</f>
        <v>Robusta</v>
      </c>
      <c r="O379" t="str">
        <f t="shared" si="5"/>
        <v>Dark</v>
      </c>
      <c r="P379" t="str">
        <f>INDEX(customers!$I$1:$I$1001, MATCH(Orders[[#This Row],[Customer ID]], customers!$A$1:$A$1001, 0))</f>
        <v>No</v>
      </c>
    </row>
    <row r="380" spans="1:16" x14ac:dyDescent="0.25">
      <c r="A380" s="2" t="s">
        <v>2621</v>
      </c>
      <c r="B380" s="3">
        <v>44377</v>
      </c>
      <c r="C380" s="2" t="s">
        <v>2622</v>
      </c>
      <c r="D380" t="s">
        <v>6180</v>
      </c>
      <c r="E380" s="2">
        <v>3</v>
      </c>
      <c r="F380" s="2" t="str">
        <f>IFERROR(INDEX(customers!B$1:B$1001, MATCH(C380, customers!A$1:A$1001, 0)), "Not Found")</f>
        <v>Jany Rudeforth</v>
      </c>
      <c r="G380" s="2" t="str">
        <f>IF(IFERROR(INDEX(customers!C$1:C$1001, MATCH(C380, customers!A$1:A$1001, 0)), "Not Found")=0,"",IFERROR(INDEX(customers!C$1:C$1001, MATCH(C380, customers!A$1:A$1001, 0)), "Not Found"))</f>
        <v>jrudeforthai@wunderground.com</v>
      </c>
      <c r="H380" s="2" t="str">
        <f>IFERROR(INDEX(customers!G$1:G$1001, MATCH(C380, customers!A$1:A$1001, 0)), "Not Found")</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L380*E380</f>
        <v>23.31</v>
      </c>
      <c r="N380" t="str">
        <f>IF(I380="Rob","Robusta",IF(I380="Exc","Excelsa",IF(I380="Ara","Arabica",IF(I380="Lib","Laberica",""))))</f>
        <v>Arabica</v>
      </c>
      <c r="O380" t="str">
        <f t="shared" si="5"/>
        <v>Light</v>
      </c>
      <c r="P380" t="str">
        <f>INDEX(customers!$I$1:$I$1001, MATCH(Orders[[#This Row],[Customer ID]], customers!$A$1:$A$1001, 0))</f>
        <v>Yes</v>
      </c>
    </row>
    <row r="381" spans="1:16" x14ac:dyDescent="0.25">
      <c r="A381" s="2" t="s">
        <v>2627</v>
      </c>
      <c r="B381" s="3">
        <v>43690</v>
      </c>
      <c r="C381" s="2" t="s">
        <v>2628</v>
      </c>
      <c r="D381" t="s">
        <v>6173</v>
      </c>
      <c r="E381" s="2">
        <v>6</v>
      </c>
      <c r="F381" s="2" t="str">
        <f>IFERROR(INDEX(customers!B$1:B$1001, MATCH(C381, customers!A$1:A$1001, 0)), "Not Found")</f>
        <v>Ashbey Tomaszewski</v>
      </c>
      <c r="G381" s="2" t="str">
        <f>IF(IFERROR(INDEX(customers!C$1:C$1001, MATCH(C381, customers!A$1:A$1001, 0)), "Not Found")=0,"",IFERROR(INDEX(customers!C$1:C$1001, MATCH(C381, customers!A$1:A$1001, 0)), "Not Found"))</f>
        <v>atomaszewskiaj@answers.com</v>
      </c>
      <c r="H381" s="2" t="str">
        <f>IFERROR(INDEX(customers!G$1:G$1001, MATCH(C381, customers!A$1:A$1001, 0)), "Not Found")</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L381*E381</f>
        <v>43.019999999999996</v>
      </c>
      <c r="N381" t="str">
        <f>IF(I381="Rob","Robusta",IF(I381="Exc","Excelsa",IF(I381="Ara","Arabica",IF(I381="Lib","Laberica",""))))</f>
        <v>Robusta</v>
      </c>
      <c r="O381" t="str">
        <f t="shared" si="5"/>
        <v>Light</v>
      </c>
      <c r="P381" t="str">
        <f>INDEX(customers!$I$1:$I$1001, MATCH(Orders[[#This Row],[Customer ID]], customers!$A$1:$A$1001, 0))</f>
        <v>Yes</v>
      </c>
    </row>
    <row r="382" spans="1:16" x14ac:dyDescent="0.25">
      <c r="A382" s="2" t="s">
        <v>2632</v>
      </c>
      <c r="B382" s="3">
        <v>44249</v>
      </c>
      <c r="C382" s="2" t="s">
        <v>2331</v>
      </c>
      <c r="D382" t="s">
        <v>6169</v>
      </c>
      <c r="E382" s="2">
        <v>3</v>
      </c>
      <c r="F382" s="2" t="str">
        <f>IFERROR(INDEX(customers!B$1:B$1001, MATCH(C382, customers!A$1:A$1001, 0)), "Not Found")</f>
        <v>Flynn Antony</v>
      </c>
      <c r="G382" s="2" t="str">
        <f>IF(IFERROR(INDEX(customers!C$1:C$1001, MATCH(C382, customers!A$1:A$1001, 0)), "Not Found")=0,"",IFERROR(INDEX(customers!C$1:C$1001, MATCH(C382, customers!A$1:A$1001, 0)), "Not Found"))</f>
        <v/>
      </c>
      <c r="H382" s="2" t="str">
        <f>IFERROR(INDEX(customers!G$1:G$1001, MATCH(C382, customers!A$1:A$1001, 0)), "Not Found")</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L382*E382</f>
        <v>23.31</v>
      </c>
      <c r="N382" t="str">
        <f>IF(I382="Rob","Robusta",IF(I382="Exc","Excelsa",IF(I382="Ara","Arabica",IF(I382="Lib","Laberica",""))))</f>
        <v>Laberica</v>
      </c>
      <c r="O382" t="str">
        <f t="shared" si="5"/>
        <v>Dark</v>
      </c>
      <c r="P382" t="str">
        <f>INDEX(customers!$I$1:$I$1001, MATCH(Orders[[#This Row],[Customer ID]], customers!$A$1:$A$1001, 0))</f>
        <v>No</v>
      </c>
    </row>
    <row r="383" spans="1:16" x14ac:dyDescent="0.25">
      <c r="A383" s="2" t="s">
        <v>2638</v>
      </c>
      <c r="B383" s="3">
        <v>44646</v>
      </c>
      <c r="C383" s="2" t="s">
        <v>2639</v>
      </c>
      <c r="D383" t="s">
        <v>6154</v>
      </c>
      <c r="E383" s="2">
        <v>5</v>
      </c>
      <c r="F383" s="2" t="str">
        <f>IFERROR(INDEX(customers!B$1:B$1001, MATCH(C383, customers!A$1:A$1001, 0)), "Not Found")</f>
        <v>Pren Bess</v>
      </c>
      <c r="G383" s="2" t="str">
        <f>IF(IFERROR(INDEX(customers!C$1:C$1001, MATCH(C383, customers!A$1:A$1001, 0)), "Not Found")=0,"",IFERROR(INDEX(customers!C$1:C$1001, MATCH(C383, customers!A$1:A$1001, 0)), "Not Found"))</f>
        <v>pbessal@qq.com</v>
      </c>
      <c r="H383" s="2" t="str">
        <f>IFERROR(INDEX(customers!G$1:G$1001, MATCH(C383, customers!A$1:A$1001, 0)), "Not Found")</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L383*E383</f>
        <v>14.924999999999999</v>
      </c>
      <c r="N383" t="str">
        <f>IF(I383="Rob","Robusta",IF(I383="Exc","Excelsa",IF(I383="Ara","Arabica",IF(I383="Lib","Laberica",""))))</f>
        <v>Arabica</v>
      </c>
      <c r="O383" t="str">
        <f t="shared" si="5"/>
        <v>Dark</v>
      </c>
      <c r="P383" t="str">
        <f>INDEX(customers!$I$1:$I$1001, MATCH(Orders[[#This Row],[Customer ID]], customers!$A$1:$A$1001, 0))</f>
        <v>Yes</v>
      </c>
    </row>
    <row r="384" spans="1:16" x14ac:dyDescent="0.25">
      <c r="A384" s="2" t="s">
        <v>2644</v>
      </c>
      <c r="B384" s="3">
        <v>43840</v>
      </c>
      <c r="C384" s="2" t="s">
        <v>2645</v>
      </c>
      <c r="D384" t="s">
        <v>6144</v>
      </c>
      <c r="E384" s="2">
        <v>3</v>
      </c>
      <c r="F384" s="2" t="str">
        <f>IFERROR(INDEX(customers!B$1:B$1001, MATCH(C384, customers!A$1:A$1001, 0)), "Not Found")</f>
        <v>Elka Windress</v>
      </c>
      <c r="G384" s="2" t="str">
        <f>IF(IFERROR(INDEX(customers!C$1:C$1001, MATCH(C384, customers!A$1:A$1001, 0)), "Not Found")=0,"",IFERROR(INDEX(customers!C$1:C$1001, MATCH(C384, customers!A$1:A$1001, 0)), "Not Found"))</f>
        <v>ewindressam@marketwatch.com</v>
      </c>
      <c r="H384" s="2" t="str">
        <f>IFERROR(INDEX(customers!G$1:G$1001, MATCH(C384, customers!A$1:A$1001, 0)), "Not Found")</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L384*E384</f>
        <v>21.87</v>
      </c>
      <c r="N384" t="str">
        <f>IF(I384="Rob","Robusta",IF(I384="Exc","Excelsa",IF(I384="Ara","Arabica",IF(I384="Lib","Laberica",""))))</f>
        <v>Excelsa</v>
      </c>
      <c r="O384" t="str">
        <f t="shared" si="5"/>
        <v>Dark</v>
      </c>
      <c r="P384" t="str">
        <f>INDEX(customers!$I$1:$I$1001, MATCH(Orders[[#This Row],[Customer ID]], customers!$A$1:$A$1001, 0))</f>
        <v>No</v>
      </c>
    </row>
    <row r="385" spans="1:16" x14ac:dyDescent="0.25">
      <c r="A385" s="2" t="s">
        <v>2650</v>
      </c>
      <c r="B385" s="3">
        <v>43586</v>
      </c>
      <c r="C385" s="2" t="s">
        <v>2651</v>
      </c>
      <c r="D385" t="s">
        <v>6176</v>
      </c>
      <c r="E385" s="2">
        <v>6</v>
      </c>
      <c r="F385" s="2" t="str">
        <f>IFERROR(INDEX(customers!B$1:B$1001, MATCH(C385, customers!A$1:A$1001, 0)), "Not Found")</f>
        <v>Marty Kidstoun</v>
      </c>
      <c r="G385" s="2" t="str">
        <f>IF(IFERROR(INDEX(customers!C$1:C$1001, MATCH(C385, customers!A$1:A$1001, 0)), "Not Found")=0,"",IFERROR(INDEX(customers!C$1:C$1001, MATCH(C385, customers!A$1:A$1001, 0)), "Not Found"))</f>
        <v/>
      </c>
      <c r="H385" s="2" t="str">
        <f>IFERROR(INDEX(customers!G$1:G$1001, MATCH(C385, customers!A$1:A$1001, 0)), "Not Found")</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L385*E385</f>
        <v>53.46</v>
      </c>
      <c r="N385" t="str">
        <f>IF(I385="Rob","Robusta",IF(I385="Exc","Excelsa",IF(I385="Ara","Arabica",IF(I385="Lib","Laberica",""))))</f>
        <v>Excelsa</v>
      </c>
      <c r="O385" t="str">
        <f t="shared" si="5"/>
        <v>Light</v>
      </c>
      <c r="P385" t="str">
        <f>INDEX(customers!$I$1:$I$1001, MATCH(Orders[[#This Row],[Customer ID]], customers!$A$1:$A$1001, 0))</f>
        <v>Yes</v>
      </c>
    </row>
    <row r="386" spans="1:16" x14ac:dyDescent="0.25">
      <c r="A386" s="2" t="s">
        <v>2655</v>
      </c>
      <c r="B386" s="3">
        <v>43870</v>
      </c>
      <c r="C386" s="2" t="s">
        <v>2656</v>
      </c>
      <c r="D386" t="s">
        <v>6182</v>
      </c>
      <c r="E386" s="2">
        <v>4</v>
      </c>
      <c r="F386" s="2" t="str">
        <f>IFERROR(INDEX(customers!B$1:B$1001, MATCH(C386, customers!A$1:A$1001, 0)), "Not Found")</f>
        <v>Nickey Dimbleby</v>
      </c>
      <c r="G386" s="2" t="str">
        <f>IF(IFERROR(INDEX(customers!C$1:C$1001, MATCH(C386, customers!A$1:A$1001, 0)), "Not Found")=0,"",IFERROR(INDEX(customers!C$1:C$1001, MATCH(C386, customers!A$1:A$1001, 0)), "Not Found"))</f>
        <v/>
      </c>
      <c r="H386" s="2" t="str">
        <f>IFERROR(INDEX(customers!G$1:G$1001, MATCH(C386, customers!A$1:A$1001, 0)), "Not Found")</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L386*E386</f>
        <v>119.13999999999999</v>
      </c>
      <c r="N386" t="str">
        <f>IF(I386="Rob","Robusta",IF(I386="Exc","Excelsa",IF(I386="Ara","Arabica",IF(I386="Lib","Laberica",""))))</f>
        <v>Arabica</v>
      </c>
      <c r="O386" t="str">
        <f t="shared" si="5"/>
        <v>Light</v>
      </c>
      <c r="P386" t="str">
        <f>INDEX(customers!$I$1:$I$1001, MATCH(Orders[[#This Row],[Customer ID]], customers!$A$1:$A$1001, 0))</f>
        <v>No</v>
      </c>
    </row>
    <row r="387" spans="1:16" x14ac:dyDescent="0.25">
      <c r="A387" s="2" t="s">
        <v>2660</v>
      </c>
      <c r="B387" s="3">
        <v>44559</v>
      </c>
      <c r="C387" s="2" t="s">
        <v>2661</v>
      </c>
      <c r="D387" t="s">
        <v>6160</v>
      </c>
      <c r="E387" s="2">
        <v>5</v>
      </c>
      <c r="F387" s="2" t="str">
        <f>IFERROR(INDEX(customers!B$1:B$1001, MATCH(C387, customers!A$1:A$1001, 0)), "Not Found")</f>
        <v>Virgil Baumadier</v>
      </c>
      <c r="G387" s="2" t="str">
        <f>IF(IFERROR(INDEX(customers!C$1:C$1001, MATCH(C387, customers!A$1:A$1001, 0)), "Not Found")=0,"",IFERROR(INDEX(customers!C$1:C$1001, MATCH(C387, customers!A$1:A$1001, 0)), "Not Found"))</f>
        <v>vbaumadierap@google.cn</v>
      </c>
      <c r="H387" s="2" t="str">
        <f>IFERROR(INDEX(customers!G$1:G$1001, MATCH(C387, customers!A$1:A$1001, 0)), "Not Found")</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L387*E387</f>
        <v>43.650000000000006</v>
      </c>
      <c r="N387" t="str">
        <f>IF(I387="Rob","Robusta",IF(I387="Exc","Excelsa",IF(I387="Ara","Arabica",IF(I387="Lib","Laberica",""))))</f>
        <v>Laberica</v>
      </c>
      <c r="O387" t="str">
        <f t="shared" ref="O387:O450" si="6">IF(J387="M","Medium",IF(J387="L","Light",IF(J387="D","Dark","")))</f>
        <v>Medium</v>
      </c>
      <c r="P387" t="str">
        <f>INDEX(customers!$I$1:$I$1001, MATCH(Orders[[#This Row],[Customer ID]], customers!$A$1:$A$1001, 0))</f>
        <v>Yes</v>
      </c>
    </row>
    <row r="388" spans="1:16" x14ac:dyDescent="0.25">
      <c r="A388" s="2" t="s">
        <v>2666</v>
      </c>
      <c r="B388" s="3">
        <v>44083</v>
      </c>
      <c r="C388" s="2" t="s">
        <v>2667</v>
      </c>
      <c r="D388" t="s">
        <v>6154</v>
      </c>
      <c r="E388" s="2">
        <v>6</v>
      </c>
      <c r="F388" s="2" t="str">
        <f>IFERROR(INDEX(customers!B$1:B$1001, MATCH(C388, customers!A$1:A$1001, 0)), "Not Found")</f>
        <v>Lenore Messenbird</v>
      </c>
      <c r="G388" s="2" t="str">
        <f>IF(IFERROR(INDEX(customers!C$1:C$1001, MATCH(C388, customers!A$1:A$1001, 0)), "Not Found")=0,"",IFERROR(INDEX(customers!C$1:C$1001, MATCH(C388, customers!A$1:A$1001, 0)), "Not Found"))</f>
        <v/>
      </c>
      <c r="H388" s="2" t="str">
        <f>IFERROR(INDEX(customers!G$1:G$1001, MATCH(C388, customers!A$1:A$1001, 0)), "Not Found")</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L388*E388</f>
        <v>17.91</v>
      </c>
      <c r="N388" t="str">
        <f>IF(I388="Rob","Robusta",IF(I388="Exc","Excelsa",IF(I388="Ara","Arabica",IF(I388="Lib","Laberica",""))))</f>
        <v>Arabica</v>
      </c>
      <c r="O388" t="str">
        <f t="shared" si="6"/>
        <v>Dark</v>
      </c>
      <c r="P388" t="str">
        <f>INDEX(customers!$I$1:$I$1001, MATCH(Orders[[#This Row],[Customer ID]], customers!$A$1:$A$1001, 0))</f>
        <v>Yes</v>
      </c>
    </row>
    <row r="389" spans="1:16" x14ac:dyDescent="0.25">
      <c r="A389" s="2" t="s">
        <v>2671</v>
      </c>
      <c r="B389" s="3">
        <v>44455</v>
      </c>
      <c r="C389" s="2" t="s">
        <v>2672</v>
      </c>
      <c r="D389" t="s">
        <v>6171</v>
      </c>
      <c r="E389" s="2">
        <v>5</v>
      </c>
      <c r="F389" s="2" t="str">
        <f>IFERROR(INDEX(customers!B$1:B$1001, MATCH(C389, customers!A$1:A$1001, 0)), "Not Found")</f>
        <v>Shirleen Welds</v>
      </c>
      <c r="G389" s="2" t="str">
        <f>IF(IFERROR(INDEX(customers!C$1:C$1001, MATCH(C389, customers!A$1:A$1001, 0)), "Not Found")=0,"",IFERROR(INDEX(customers!C$1:C$1001, MATCH(C389, customers!A$1:A$1001, 0)), "Not Found"))</f>
        <v>sweldsar@wired.com</v>
      </c>
      <c r="H389" s="2" t="str">
        <f>IFERROR(INDEX(customers!G$1:G$1001, MATCH(C389, customers!A$1:A$1001, 0)), "Not Found")</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L389*E389</f>
        <v>74.25</v>
      </c>
      <c r="N389" t="str">
        <f>IF(I389="Rob","Robusta",IF(I389="Exc","Excelsa",IF(I389="Ara","Arabica",IF(I389="Lib","Laberica",""))))</f>
        <v>Excelsa</v>
      </c>
      <c r="O389" t="str">
        <f t="shared" si="6"/>
        <v>Light</v>
      </c>
      <c r="P389" t="str">
        <f>INDEX(customers!$I$1:$I$1001, MATCH(Orders[[#This Row],[Customer ID]], customers!$A$1:$A$1001, 0))</f>
        <v>Yes</v>
      </c>
    </row>
    <row r="390" spans="1:16" x14ac:dyDescent="0.25">
      <c r="A390" s="2" t="s">
        <v>2677</v>
      </c>
      <c r="B390" s="3">
        <v>44130</v>
      </c>
      <c r="C390" s="2" t="s">
        <v>2678</v>
      </c>
      <c r="D390" t="s">
        <v>6150</v>
      </c>
      <c r="E390" s="2">
        <v>3</v>
      </c>
      <c r="F390" s="2" t="str">
        <f>IFERROR(INDEX(customers!B$1:B$1001, MATCH(C390, customers!A$1:A$1001, 0)), "Not Found")</f>
        <v>Maisie Sarvar</v>
      </c>
      <c r="G390" s="2" t="str">
        <f>IF(IFERROR(INDEX(customers!C$1:C$1001, MATCH(C390, customers!A$1:A$1001, 0)), "Not Found")=0,"",IFERROR(INDEX(customers!C$1:C$1001, MATCH(C390, customers!A$1:A$1001, 0)), "Not Found"))</f>
        <v>msarvaras@artisteer.com</v>
      </c>
      <c r="H390" s="2" t="str">
        <f>IFERROR(INDEX(customers!G$1:G$1001, MATCH(C390, customers!A$1:A$1001, 0)), "Not Found")</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L390*E390</f>
        <v>11.654999999999999</v>
      </c>
      <c r="N390" t="str">
        <f>IF(I390="Rob","Robusta",IF(I390="Exc","Excelsa",IF(I390="Ara","Arabica",IF(I390="Lib","Laberica",""))))</f>
        <v>Laberica</v>
      </c>
      <c r="O390" t="str">
        <f t="shared" si="6"/>
        <v>Dark</v>
      </c>
      <c r="P390" t="str">
        <f>INDEX(customers!$I$1:$I$1001, MATCH(Orders[[#This Row],[Customer ID]], customers!$A$1:$A$1001, 0))</f>
        <v>Yes</v>
      </c>
    </row>
    <row r="391" spans="1:16" x14ac:dyDescent="0.25">
      <c r="A391" s="2" t="s">
        <v>2683</v>
      </c>
      <c r="B391" s="3">
        <v>43536</v>
      </c>
      <c r="C391" s="2" t="s">
        <v>2684</v>
      </c>
      <c r="D391" t="s">
        <v>6169</v>
      </c>
      <c r="E391" s="2">
        <v>3</v>
      </c>
      <c r="F391" s="2" t="str">
        <f>IFERROR(INDEX(customers!B$1:B$1001, MATCH(C391, customers!A$1:A$1001, 0)), "Not Found")</f>
        <v>Andrej Havick</v>
      </c>
      <c r="G391" s="2" t="str">
        <f>IF(IFERROR(INDEX(customers!C$1:C$1001, MATCH(C391, customers!A$1:A$1001, 0)), "Not Found")=0,"",IFERROR(INDEX(customers!C$1:C$1001, MATCH(C391, customers!A$1:A$1001, 0)), "Not Found"))</f>
        <v>ahavickat@nsw.gov.au</v>
      </c>
      <c r="H391" s="2" t="str">
        <f>IFERROR(INDEX(customers!G$1:G$1001, MATCH(C391, customers!A$1:A$1001, 0)), "Not Found")</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L391*E391</f>
        <v>23.31</v>
      </c>
      <c r="N391" t="str">
        <f>IF(I391="Rob","Robusta",IF(I391="Exc","Excelsa",IF(I391="Ara","Arabica",IF(I391="Lib","Laberica",""))))</f>
        <v>Laberica</v>
      </c>
      <c r="O391" t="str">
        <f t="shared" si="6"/>
        <v>Dark</v>
      </c>
      <c r="P391" t="str">
        <f>INDEX(customers!$I$1:$I$1001, MATCH(Orders[[#This Row],[Customer ID]], customers!$A$1:$A$1001, 0))</f>
        <v>Yes</v>
      </c>
    </row>
    <row r="392" spans="1:16" x14ac:dyDescent="0.25">
      <c r="A392" s="2" t="s">
        <v>2689</v>
      </c>
      <c r="B392" s="3">
        <v>44245</v>
      </c>
      <c r="C392" s="2" t="s">
        <v>2690</v>
      </c>
      <c r="D392" t="s">
        <v>6144</v>
      </c>
      <c r="E392" s="2">
        <v>2</v>
      </c>
      <c r="F392" s="2" t="str">
        <f>IFERROR(INDEX(customers!B$1:B$1001, MATCH(C392, customers!A$1:A$1001, 0)), "Not Found")</f>
        <v>Sloan Diviny</v>
      </c>
      <c r="G392" s="2" t="str">
        <f>IF(IFERROR(INDEX(customers!C$1:C$1001, MATCH(C392, customers!A$1:A$1001, 0)), "Not Found")=0,"",IFERROR(INDEX(customers!C$1:C$1001, MATCH(C392, customers!A$1:A$1001, 0)), "Not Found"))</f>
        <v>sdivinyau@ask.com</v>
      </c>
      <c r="H392" s="2" t="str">
        <f>IFERROR(INDEX(customers!G$1:G$1001, MATCH(C392, customers!A$1:A$1001, 0)), "Not Found")</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L392*E392</f>
        <v>14.58</v>
      </c>
      <c r="N392" t="str">
        <f>IF(I392="Rob","Robusta",IF(I392="Exc","Excelsa",IF(I392="Ara","Arabica",IF(I392="Lib","Laberica",""))))</f>
        <v>Excelsa</v>
      </c>
      <c r="O392" t="str">
        <f t="shared" si="6"/>
        <v>Dark</v>
      </c>
      <c r="P392" t="str">
        <f>INDEX(customers!$I$1:$I$1001, MATCH(Orders[[#This Row],[Customer ID]], customers!$A$1:$A$1001, 0))</f>
        <v>Yes</v>
      </c>
    </row>
    <row r="393" spans="1:16" x14ac:dyDescent="0.25">
      <c r="A393" s="2" t="s">
        <v>2694</v>
      </c>
      <c r="B393" s="3">
        <v>44133</v>
      </c>
      <c r="C393" s="2" t="s">
        <v>2695</v>
      </c>
      <c r="D393" t="s">
        <v>6157</v>
      </c>
      <c r="E393" s="2">
        <v>2</v>
      </c>
      <c r="F393" s="2" t="str">
        <f>IFERROR(INDEX(customers!B$1:B$1001, MATCH(C393, customers!A$1:A$1001, 0)), "Not Found")</f>
        <v>Itch Norquoy</v>
      </c>
      <c r="G393" s="2" t="str">
        <f>IF(IFERROR(INDEX(customers!C$1:C$1001, MATCH(C393, customers!A$1:A$1001, 0)), "Not Found")=0,"",IFERROR(INDEX(customers!C$1:C$1001, MATCH(C393, customers!A$1:A$1001, 0)), "Not Found"))</f>
        <v>inorquoyav@businessweek.com</v>
      </c>
      <c r="H393" s="2" t="str">
        <f>IFERROR(INDEX(customers!G$1:G$1001, MATCH(C393, customers!A$1:A$1001, 0)), "Not Found")</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L393*E393</f>
        <v>13.5</v>
      </c>
      <c r="N393" t="str">
        <f>IF(I393="Rob","Robusta",IF(I393="Exc","Excelsa",IF(I393="Ara","Arabica",IF(I393="Lib","Laberica",""))))</f>
        <v>Arabica</v>
      </c>
      <c r="O393" t="str">
        <f t="shared" si="6"/>
        <v>Medium</v>
      </c>
      <c r="P393" t="str">
        <f>INDEX(customers!$I$1:$I$1001, MATCH(Orders[[#This Row],[Customer ID]], customers!$A$1:$A$1001, 0))</f>
        <v>No</v>
      </c>
    </row>
    <row r="394" spans="1:16" x14ac:dyDescent="0.25">
      <c r="A394" s="2" t="s">
        <v>2699</v>
      </c>
      <c r="B394" s="3">
        <v>44445</v>
      </c>
      <c r="C394" s="2" t="s">
        <v>2700</v>
      </c>
      <c r="D394" t="s">
        <v>6171</v>
      </c>
      <c r="E394" s="2">
        <v>6</v>
      </c>
      <c r="F394" s="2" t="str">
        <f>IFERROR(INDEX(customers!B$1:B$1001, MATCH(C394, customers!A$1:A$1001, 0)), "Not Found")</f>
        <v>Anson Iddison</v>
      </c>
      <c r="G394" s="2" t="str">
        <f>IF(IFERROR(INDEX(customers!C$1:C$1001, MATCH(C394, customers!A$1:A$1001, 0)), "Not Found")=0,"",IFERROR(INDEX(customers!C$1:C$1001, MATCH(C394, customers!A$1:A$1001, 0)), "Not Found"))</f>
        <v>aiddisonaw@usa.gov</v>
      </c>
      <c r="H394" s="2" t="str">
        <f>IFERROR(INDEX(customers!G$1:G$1001, MATCH(C394, customers!A$1:A$1001, 0)), "Not Found")</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L394*E394</f>
        <v>89.1</v>
      </c>
      <c r="N394" t="str">
        <f>IF(I394="Rob","Robusta",IF(I394="Exc","Excelsa",IF(I394="Ara","Arabica",IF(I394="Lib","Laberica",""))))</f>
        <v>Excelsa</v>
      </c>
      <c r="O394" t="str">
        <f t="shared" si="6"/>
        <v>Light</v>
      </c>
      <c r="P394" t="str">
        <f>INDEX(customers!$I$1:$I$1001, MATCH(Orders[[#This Row],[Customer ID]], customers!$A$1:$A$1001, 0))</f>
        <v>No</v>
      </c>
    </row>
    <row r="395" spans="1:16" x14ac:dyDescent="0.25">
      <c r="A395" s="2" t="s">
        <v>2699</v>
      </c>
      <c r="B395" s="3">
        <v>44445</v>
      </c>
      <c r="C395" s="2" t="s">
        <v>2700</v>
      </c>
      <c r="D395" t="s">
        <v>6167</v>
      </c>
      <c r="E395" s="2">
        <v>1</v>
      </c>
      <c r="F395" s="2" t="str">
        <f>IFERROR(INDEX(customers!B$1:B$1001, MATCH(C395, customers!A$1:A$1001, 0)), "Not Found")</f>
        <v>Anson Iddison</v>
      </c>
      <c r="G395" s="2" t="str">
        <f>IF(IFERROR(INDEX(customers!C$1:C$1001, MATCH(C395, customers!A$1:A$1001, 0)), "Not Found")=0,"",IFERROR(INDEX(customers!C$1:C$1001, MATCH(C395, customers!A$1:A$1001, 0)), "Not Found"))</f>
        <v>aiddisonaw@usa.gov</v>
      </c>
      <c r="H395" s="2" t="str">
        <f>IFERROR(INDEX(customers!G$1:G$1001, MATCH(C395, customers!A$1:A$1001, 0)), "Not Found")</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L395*E395</f>
        <v>3.8849999999999998</v>
      </c>
      <c r="N395" t="str">
        <f>IF(I395="Rob","Robusta",IF(I395="Exc","Excelsa",IF(I395="Ara","Arabica",IF(I395="Lib","Laberica",""))))</f>
        <v>Arabica</v>
      </c>
      <c r="O395" t="str">
        <f t="shared" si="6"/>
        <v>Light</v>
      </c>
      <c r="P395" t="str">
        <f>INDEX(customers!$I$1:$I$1001, MATCH(Orders[[#This Row],[Customer ID]], customers!$A$1:$A$1001, 0))</f>
        <v>No</v>
      </c>
    </row>
    <row r="396" spans="1:16" x14ac:dyDescent="0.25">
      <c r="A396" s="2" t="s">
        <v>2710</v>
      </c>
      <c r="B396" s="3">
        <v>44083</v>
      </c>
      <c r="C396" s="2" t="s">
        <v>2711</v>
      </c>
      <c r="D396" t="s">
        <v>6142</v>
      </c>
      <c r="E396" s="2">
        <v>4</v>
      </c>
      <c r="F396" s="2" t="str">
        <f>IFERROR(INDEX(customers!B$1:B$1001, MATCH(C396, customers!A$1:A$1001, 0)), "Not Found")</f>
        <v>Randal Longfield</v>
      </c>
      <c r="G396" s="2" t="str">
        <f>IF(IFERROR(INDEX(customers!C$1:C$1001, MATCH(C396, customers!A$1:A$1001, 0)), "Not Found")=0,"",IFERROR(INDEX(customers!C$1:C$1001, MATCH(C396, customers!A$1:A$1001, 0)), "Not Found"))</f>
        <v>rlongfielday@bluehost.com</v>
      </c>
      <c r="H396" s="2" t="str">
        <f>IFERROR(INDEX(customers!G$1:G$1001, MATCH(C396, customers!A$1:A$1001, 0)), "Not Found")</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L396*E396</f>
        <v>109.93999999999998</v>
      </c>
      <c r="N396" t="str">
        <f>IF(I396="Rob","Robusta",IF(I396="Exc","Excelsa",IF(I396="Ara","Arabica",IF(I396="Lib","Laberica",""))))</f>
        <v>Robusta</v>
      </c>
      <c r="O396" t="str">
        <f t="shared" si="6"/>
        <v>Light</v>
      </c>
      <c r="P396" t="str">
        <f>INDEX(customers!$I$1:$I$1001, MATCH(Orders[[#This Row],[Customer ID]], customers!$A$1:$A$1001, 0))</f>
        <v>No</v>
      </c>
    </row>
    <row r="397" spans="1:16" x14ac:dyDescent="0.25">
      <c r="A397" s="2" t="s">
        <v>2716</v>
      </c>
      <c r="B397" s="3">
        <v>44465</v>
      </c>
      <c r="C397" s="2" t="s">
        <v>2717</v>
      </c>
      <c r="D397" t="s">
        <v>6169</v>
      </c>
      <c r="E397" s="2">
        <v>6</v>
      </c>
      <c r="F397" s="2" t="str">
        <f>IFERROR(INDEX(customers!B$1:B$1001, MATCH(C397, customers!A$1:A$1001, 0)), "Not Found")</f>
        <v>Gregorius Kislingbury</v>
      </c>
      <c r="G397" s="2" t="str">
        <f>IF(IFERROR(INDEX(customers!C$1:C$1001, MATCH(C397, customers!A$1:A$1001, 0)), "Not Found")=0,"",IFERROR(INDEX(customers!C$1:C$1001, MATCH(C397, customers!A$1:A$1001, 0)), "Not Found"))</f>
        <v>gkislingburyaz@samsung.com</v>
      </c>
      <c r="H397" s="2" t="str">
        <f>IFERROR(INDEX(customers!G$1:G$1001, MATCH(C397, customers!A$1:A$1001, 0)), "Not Found")</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L397*E397</f>
        <v>46.62</v>
      </c>
      <c r="N397" t="str">
        <f>IF(I397="Rob","Robusta",IF(I397="Exc","Excelsa",IF(I397="Ara","Arabica",IF(I397="Lib","Laberica",""))))</f>
        <v>Laberica</v>
      </c>
      <c r="O397" t="str">
        <f t="shared" si="6"/>
        <v>Dark</v>
      </c>
      <c r="P397" t="str">
        <f>INDEX(customers!$I$1:$I$1001, MATCH(Orders[[#This Row],[Customer ID]], customers!$A$1:$A$1001, 0))</f>
        <v>Yes</v>
      </c>
    </row>
    <row r="398" spans="1:16" x14ac:dyDescent="0.25">
      <c r="A398" s="2" t="s">
        <v>2721</v>
      </c>
      <c r="B398" s="3">
        <v>44140</v>
      </c>
      <c r="C398" s="2" t="s">
        <v>2722</v>
      </c>
      <c r="D398" t="s">
        <v>6180</v>
      </c>
      <c r="E398" s="2">
        <v>5</v>
      </c>
      <c r="F398" s="2" t="str">
        <f>IFERROR(INDEX(customers!B$1:B$1001, MATCH(C398, customers!A$1:A$1001, 0)), "Not Found")</f>
        <v>Xenos Gibbons</v>
      </c>
      <c r="G398" s="2" t="str">
        <f>IF(IFERROR(INDEX(customers!C$1:C$1001, MATCH(C398, customers!A$1:A$1001, 0)), "Not Found")=0,"",IFERROR(INDEX(customers!C$1:C$1001, MATCH(C398, customers!A$1:A$1001, 0)), "Not Found"))</f>
        <v>xgibbonsb0@artisteer.com</v>
      </c>
      <c r="H398" s="2" t="str">
        <f>IFERROR(INDEX(customers!G$1:G$1001, MATCH(C398, customers!A$1:A$1001, 0)), "Not Found")</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L398*E398</f>
        <v>38.849999999999994</v>
      </c>
      <c r="N398" t="str">
        <f>IF(I398="Rob","Robusta",IF(I398="Exc","Excelsa",IF(I398="Ara","Arabica",IF(I398="Lib","Laberica",""))))</f>
        <v>Arabica</v>
      </c>
      <c r="O398" t="str">
        <f t="shared" si="6"/>
        <v>Light</v>
      </c>
      <c r="P398" t="str">
        <f>INDEX(customers!$I$1:$I$1001, MATCH(Orders[[#This Row],[Customer ID]], customers!$A$1:$A$1001, 0))</f>
        <v>No</v>
      </c>
    </row>
    <row r="399" spans="1:16" x14ac:dyDescent="0.25">
      <c r="A399" s="2" t="s">
        <v>2727</v>
      </c>
      <c r="B399" s="3">
        <v>43720</v>
      </c>
      <c r="C399" s="2" t="s">
        <v>2728</v>
      </c>
      <c r="D399" t="s">
        <v>6169</v>
      </c>
      <c r="E399" s="2">
        <v>4</v>
      </c>
      <c r="F399" s="2" t="str">
        <f>IFERROR(INDEX(customers!B$1:B$1001, MATCH(C399, customers!A$1:A$1001, 0)), "Not Found")</f>
        <v>Fleur Parres</v>
      </c>
      <c r="G399" s="2" t="str">
        <f>IF(IFERROR(INDEX(customers!C$1:C$1001, MATCH(C399, customers!A$1:A$1001, 0)), "Not Found")=0,"",IFERROR(INDEX(customers!C$1:C$1001, MATCH(C399, customers!A$1:A$1001, 0)), "Not Found"))</f>
        <v>fparresb1@imageshack.us</v>
      </c>
      <c r="H399" s="2" t="str">
        <f>IFERROR(INDEX(customers!G$1:G$1001, MATCH(C399, customers!A$1:A$1001, 0)), "Not Found")</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L399*E399</f>
        <v>31.08</v>
      </c>
      <c r="N399" t="str">
        <f>IF(I399="Rob","Robusta",IF(I399="Exc","Excelsa",IF(I399="Ara","Arabica",IF(I399="Lib","Laberica",""))))</f>
        <v>Laberica</v>
      </c>
      <c r="O399" t="str">
        <f t="shared" si="6"/>
        <v>Dark</v>
      </c>
      <c r="P399" t="str">
        <f>INDEX(customers!$I$1:$I$1001, MATCH(Orders[[#This Row],[Customer ID]], customers!$A$1:$A$1001, 0))</f>
        <v>Yes</v>
      </c>
    </row>
    <row r="400" spans="1:16" x14ac:dyDescent="0.25">
      <c r="A400" s="2" t="s">
        <v>2733</v>
      </c>
      <c r="B400" s="3">
        <v>43677</v>
      </c>
      <c r="C400" s="2" t="s">
        <v>2734</v>
      </c>
      <c r="D400" t="s">
        <v>6154</v>
      </c>
      <c r="E400" s="2">
        <v>6</v>
      </c>
      <c r="F400" s="2" t="str">
        <f>IFERROR(INDEX(customers!B$1:B$1001, MATCH(C400, customers!A$1:A$1001, 0)), "Not Found")</f>
        <v>Gran Sibray</v>
      </c>
      <c r="G400" s="2" t="str">
        <f>IF(IFERROR(INDEX(customers!C$1:C$1001, MATCH(C400, customers!A$1:A$1001, 0)), "Not Found")=0,"",IFERROR(INDEX(customers!C$1:C$1001, MATCH(C400, customers!A$1:A$1001, 0)), "Not Found"))</f>
        <v>gsibrayb2@wsj.com</v>
      </c>
      <c r="H400" s="2" t="str">
        <f>IFERROR(INDEX(customers!G$1:G$1001, MATCH(C400, customers!A$1:A$1001, 0)), "Not Found")</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L400*E400</f>
        <v>17.91</v>
      </c>
      <c r="N400" t="str">
        <f>IF(I400="Rob","Robusta",IF(I400="Exc","Excelsa",IF(I400="Ara","Arabica",IF(I400="Lib","Laberica",""))))</f>
        <v>Arabica</v>
      </c>
      <c r="O400" t="str">
        <f t="shared" si="6"/>
        <v>Dark</v>
      </c>
      <c r="P400" t="str">
        <f>INDEX(customers!$I$1:$I$1001, MATCH(Orders[[#This Row],[Customer ID]], customers!$A$1:$A$1001, 0))</f>
        <v>Yes</v>
      </c>
    </row>
    <row r="401" spans="1:16" x14ac:dyDescent="0.25">
      <c r="A401" s="2" t="s">
        <v>2739</v>
      </c>
      <c r="B401" s="3">
        <v>43539</v>
      </c>
      <c r="C401" s="2" t="s">
        <v>2740</v>
      </c>
      <c r="D401" t="s">
        <v>6185</v>
      </c>
      <c r="E401" s="2">
        <v>6</v>
      </c>
      <c r="F401" s="2" t="str">
        <f>IFERROR(INDEX(customers!B$1:B$1001, MATCH(C401, customers!A$1:A$1001, 0)), "Not Found")</f>
        <v>Ingelbert Hotchkin</v>
      </c>
      <c r="G401" s="2" t="str">
        <f>IF(IFERROR(INDEX(customers!C$1:C$1001, MATCH(C401, customers!A$1:A$1001, 0)), "Not Found")=0,"",IFERROR(INDEX(customers!C$1:C$1001, MATCH(C401, customers!A$1:A$1001, 0)), "Not Found"))</f>
        <v>ihotchkinb3@mit.edu</v>
      </c>
      <c r="H401" s="2" t="str">
        <f>IFERROR(INDEX(customers!G$1:G$1001, MATCH(C401, customers!A$1:A$1001, 0)), "Not Found")</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L401*E401</f>
        <v>167.67000000000002</v>
      </c>
      <c r="N401" t="str">
        <f>IF(I401="Rob","Robusta",IF(I401="Exc","Excelsa",IF(I401="Ara","Arabica",IF(I401="Lib","Laberica",""))))</f>
        <v>Excelsa</v>
      </c>
      <c r="O401" t="str">
        <f t="shared" si="6"/>
        <v>Dark</v>
      </c>
      <c r="P401" t="str">
        <f>INDEX(customers!$I$1:$I$1001, MATCH(Orders[[#This Row],[Customer ID]], customers!$A$1:$A$1001, 0))</f>
        <v>No</v>
      </c>
    </row>
    <row r="402" spans="1:16" x14ac:dyDescent="0.25">
      <c r="A402" s="2" t="s">
        <v>2745</v>
      </c>
      <c r="B402" s="3">
        <v>44332</v>
      </c>
      <c r="C402" s="2" t="s">
        <v>2746</v>
      </c>
      <c r="D402" t="s">
        <v>6170</v>
      </c>
      <c r="E402" s="2">
        <v>4</v>
      </c>
      <c r="F402" s="2" t="str">
        <f>IFERROR(INDEX(customers!B$1:B$1001, MATCH(C402, customers!A$1:A$1001, 0)), "Not Found")</f>
        <v>Neely Broadberrie</v>
      </c>
      <c r="G402" s="2" t="str">
        <f>IF(IFERROR(INDEX(customers!C$1:C$1001, MATCH(C402, customers!A$1:A$1001, 0)), "Not Found")=0,"",IFERROR(INDEX(customers!C$1:C$1001, MATCH(C402, customers!A$1:A$1001, 0)), "Not Found"))</f>
        <v>nbroadberrieb4@gnu.org</v>
      </c>
      <c r="H402" s="2" t="str">
        <f>IFERROR(INDEX(customers!G$1:G$1001, MATCH(C402, customers!A$1:A$1001, 0)), "Not Found")</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L402*E402</f>
        <v>63.4</v>
      </c>
      <c r="N402" t="str">
        <f>IF(I402="Rob","Robusta",IF(I402="Exc","Excelsa",IF(I402="Ara","Arabica",IF(I402="Lib","Laberica",""))))</f>
        <v>Laberica</v>
      </c>
      <c r="O402" t="str">
        <f t="shared" si="6"/>
        <v>Light</v>
      </c>
      <c r="P402" t="str">
        <f>INDEX(customers!$I$1:$I$1001, MATCH(Orders[[#This Row],[Customer ID]], customers!$A$1:$A$1001, 0))</f>
        <v>No</v>
      </c>
    </row>
    <row r="403" spans="1:16" x14ac:dyDescent="0.25">
      <c r="A403" s="2" t="s">
        <v>2751</v>
      </c>
      <c r="B403" s="3">
        <v>43591</v>
      </c>
      <c r="C403" s="2" t="s">
        <v>2752</v>
      </c>
      <c r="D403" t="s">
        <v>6159</v>
      </c>
      <c r="E403" s="2">
        <v>2</v>
      </c>
      <c r="F403" s="2" t="str">
        <f>IFERROR(INDEX(customers!B$1:B$1001, MATCH(C403, customers!A$1:A$1001, 0)), "Not Found")</f>
        <v>Rutger Pithcock</v>
      </c>
      <c r="G403" s="2" t="str">
        <f>IF(IFERROR(INDEX(customers!C$1:C$1001, MATCH(C403, customers!A$1:A$1001, 0)), "Not Found")=0,"",IFERROR(INDEX(customers!C$1:C$1001, MATCH(C403, customers!A$1:A$1001, 0)), "Not Found"))</f>
        <v>rpithcockb5@yellowbook.com</v>
      </c>
      <c r="H403" s="2" t="str">
        <f>IFERROR(INDEX(customers!G$1:G$1001, MATCH(C403, customers!A$1:A$1001, 0)), "Not Found")</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L403*E403</f>
        <v>8.73</v>
      </c>
      <c r="N403" t="str">
        <f>IF(I403="Rob","Robusta",IF(I403="Exc","Excelsa",IF(I403="Ara","Arabica",IF(I403="Lib","Laberica",""))))</f>
        <v>Laberica</v>
      </c>
      <c r="O403" t="str">
        <f t="shared" si="6"/>
        <v>Medium</v>
      </c>
      <c r="P403" t="str">
        <f>INDEX(customers!$I$1:$I$1001, MATCH(Orders[[#This Row],[Customer ID]], customers!$A$1:$A$1001, 0))</f>
        <v>Yes</v>
      </c>
    </row>
    <row r="404" spans="1:16" x14ac:dyDescent="0.25">
      <c r="A404" s="2" t="s">
        <v>2757</v>
      </c>
      <c r="B404" s="3">
        <v>43502</v>
      </c>
      <c r="C404" s="2" t="s">
        <v>2758</v>
      </c>
      <c r="D404" t="s">
        <v>6177</v>
      </c>
      <c r="E404" s="2">
        <v>3</v>
      </c>
      <c r="F404" s="2" t="str">
        <f>IFERROR(INDEX(customers!B$1:B$1001, MATCH(C404, customers!A$1:A$1001, 0)), "Not Found")</f>
        <v>Gale Croysdale</v>
      </c>
      <c r="G404" s="2" t="str">
        <f>IF(IFERROR(INDEX(customers!C$1:C$1001, MATCH(C404, customers!A$1:A$1001, 0)), "Not Found")=0,"",IFERROR(INDEX(customers!C$1:C$1001, MATCH(C404, customers!A$1:A$1001, 0)), "Not Found"))</f>
        <v>gcroysdaleb6@nih.gov</v>
      </c>
      <c r="H404" s="2" t="str">
        <f>IFERROR(INDEX(customers!G$1:G$1001, MATCH(C404, customers!A$1:A$1001, 0)), "Not Found")</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L404*E404</f>
        <v>26.849999999999998</v>
      </c>
      <c r="N404" t="str">
        <f>IF(I404="Rob","Robusta",IF(I404="Exc","Excelsa",IF(I404="Ara","Arabica",IF(I404="Lib","Laberica",""))))</f>
        <v>Robusta</v>
      </c>
      <c r="O404" t="str">
        <f t="shared" si="6"/>
        <v>Dark</v>
      </c>
      <c r="P404" t="str">
        <f>INDEX(customers!$I$1:$I$1001, MATCH(Orders[[#This Row],[Customer ID]], customers!$A$1:$A$1001, 0))</f>
        <v>Yes</v>
      </c>
    </row>
    <row r="405" spans="1:16" x14ac:dyDescent="0.25">
      <c r="A405" s="2" t="s">
        <v>2763</v>
      </c>
      <c r="B405" s="3">
        <v>44295</v>
      </c>
      <c r="C405" s="2" t="s">
        <v>2764</v>
      </c>
      <c r="D405" t="s">
        <v>6145</v>
      </c>
      <c r="E405" s="2">
        <v>2</v>
      </c>
      <c r="F405" s="2" t="str">
        <f>IFERROR(INDEX(customers!B$1:B$1001, MATCH(C405, customers!A$1:A$1001, 0)), "Not Found")</f>
        <v>Benedetto Gozzett</v>
      </c>
      <c r="G405" s="2" t="str">
        <f>IF(IFERROR(INDEX(customers!C$1:C$1001, MATCH(C405, customers!A$1:A$1001, 0)), "Not Found")=0,"",IFERROR(INDEX(customers!C$1:C$1001, MATCH(C405, customers!A$1:A$1001, 0)), "Not Found"))</f>
        <v>bgozzettb7@github.com</v>
      </c>
      <c r="H405" s="2" t="str">
        <f>IFERROR(INDEX(customers!G$1:G$1001, MATCH(C405, customers!A$1:A$1001, 0)), "Not Found")</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L405*E405</f>
        <v>9.51</v>
      </c>
      <c r="N405" t="str">
        <f>IF(I405="Rob","Robusta",IF(I405="Exc","Excelsa",IF(I405="Ara","Arabica",IF(I405="Lib","Laberica",""))))</f>
        <v>Laberica</v>
      </c>
      <c r="O405" t="str">
        <f t="shared" si="6"/>
        <v>Light</v>
      </c>
      <c r="P405" t="str">
        <f>INDEX(customers!$I$1:$I$1001, MATCH(Orders[[#This Row],[Customer ID]], customers!$A$1:$A$1001, 0))</f>
        <v>No</v>
      </c>
    </row>
    <row r="406" spans="1:16" x14ac:dyDescent="0.25">
      <c r="A406" s="2" t="s">
        <v>2769</v>
      </c>
      <c r="B406" s="3">
        <v>43971</v>
      </c>
      <c r="C406" s="2" t="s">
        <v>2770</v>
      </c>
      <c r="D406" t="s">
        <v>6147</v>
      </c>
      <c r="E406" s="2">
        <v>4</v>
      </c>
      <c r="F406" s="2" t="str">
        <f>IFERROR(INDEX(customers!B$1:B$1001, MATCH(C406, customers!A$1:A$1001, 0)), "Not Found")</f>
        <v>Tania Craggs</v>
      </c>
      <c r="G406" s="2" t="str">
        <f>IF(IFERROR(INDEX(customers!C$1:C$1001, MATCH(C406, customers!A$1:A$1001, 0)), "Not Found")=0,"",IFERROR(INDEX(customers!C$1:C$1001, MATCH(C406, customers!A$1:A$1001, 0)), "Not Found"))</f>
        <v>tcraggsb8@house.gov</v>
      </c>
      <c r="H406" s="2" t="str">
        <f>IFERROR(INDEX(customers!G$1:G$1001, MATCH(C406, customers!A$1:A$1001, 0)), "Not Found")</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L406*E406</f>
        <v>39.799999999999997</v>
      </c>
      <c r="N406" t="str">
        <f>IF(I406="Rob","Robusta",IF(I406="Exc","Excelsa",IF(I406="Ara","Arabica",IF(I406="Lib","Laberica",""))))</f>
        <v>Arabica</v>
      </c>
      <c r="O406" t="str">
        <f t="shared" si="6"/>
        <v>Dark</v>
      </c>
      <c r="P406" t="str">
        <f>INDEX(customers!$I$1:$I$1001, MATCH(Orders[[#This Row],[Customer ID]], customers!$A$1:$A$1001, 0))</f>
        <v>No</v>
      </c>
    </row>
    <row r="407" spans="1:16" x14ac:dyDescent="0.25">
      <c r="A407" s="2" t="s">
        <v>2775</v>
      </c>
      <c r="B407" s="3">
        <v>44167</v>
      </c>
      <c r="C407" s="2" t="s">
        <v>2776</v>
      </c>
      <c r="D407" t="s">
        <v>6139</v>
      </c>
      <c r="E407" s="2">
        <v>3</v>
      </c>
      <c r="F407" s="2" t="str">
        <f>IFERROR(INDEX(customers!B$1:B$1001, MATCH(C407, customers!A$1:A$1001, 0)), "Not Found")</f>
        <v>Leonie Cullrford</v>
      </c>
      <c r="G407" s="2" t="str">
        <f>IF(IFERROR(INDEX(customers!C$1:C$1001, MATCH(C407, customers!A$1:A$1001, 0)), "Not Found")=0,"",IFERROR(INDEX(customers!C$1:C$1001, MATCH(C407, customers!A$1:A$1001, 0)), "Not Found"))</f>
        <v>lcullrfordb9@xing.com</v>
      </c>
      <c r="H407" s="2" t="str">
        <f>IFERROR(INDEX(customers!G$1:G$1001, MATCH(C407, customers!A$1:A$1001, 0)), "Not Found")</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L407*E407</f>
        <v>24.75</v>
      </c>
      <c r="N407" t="str">
        <f>IF(I407="Rob","Robusta",IF(I407="Exc","Excelsa",IF(I407="Ara","Arabica",IF(I407="Lib","Laberica",""))))</f>
        <v>Excelsa</v>
      </c>
      <c r="O407" t="str">
        <f t="shared" si="6"/>
        <v>Medium</v>
      </c>
      <c r="P407" t="str">
        <f>INDEX(customers!$I$1:$I$1001, MATCH(Orders[[#This Row],[Customer ID]], customers!$A$1:$A$1001, 0))</f>
        <v>Yes</v>
      </c>
    </row>
    <row r="408" spans="1:16" x14ac:dyDescent="0.25">
      <c r="A408" s="2" t="s">
        <v>2781</v>
      </c>
      <c r="B408" s="3">
        <v>44416</v>
      </c>
      <c r="C408" s="2" t="s">
        <v>2782</v>
      </c>
      <c r="D408" t="s">
        <v>6141</v>
      </c>
      <c r="E408" s="2">
        <v>5</v>
      </c>
      <c r="F408" s="2" t="str">
        <f>IFERROR(INDEX(customers!B$1:B$1001, MATCH(C408, customers!A$1:A$1001, 0)), "Not Found")</f>
        <v>Auguste Rizon</v>
      </c>
      <c r="G408" s="2" t="str">
        <f>IF(IFERROR(INDEX(customers!C$1:C$1001, MATCH(C408, customers!A$1:A$1001, 0)), "Not Found")=0,"",IFERROR(INDEX(customers!C$1:C$1001, MATCH(C408, customers!A$1:A$1001, 0)), "Not Found"))</f>
        <v>arizonba@xing.com</v>
      </c>
      <c r="H408" s="2" t="str">
        <f>IFERROR(INDEX(customers!G$1:G$1001, MATCH(C408, customers!A$1:A$1001, 0)), "Not Found")</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L408*E408</f>
        <v>68.75</v>
      </c>
      <c r="N408" t="str">
        <f>IF(I408="Rob","Robusta",IF(I408="Exc","Excelsa",IF(I408="Ara","Arabica",IF(I408="Lib","Laberica",""))))</f>
        <v>Excelsa</v>
      </c>
      <c r="O408" t="str">
        <f t="shared" si="6"/>
        <v>Medium</v>
      </c>
      <c r="P408" t="str">
        <f>INDEX(customers!$I$1:$I$1001, MATCH(Orders[[#This Row],[Customer ID]], customers!$A$1:$A$1001, 0))</f>
        <v>Yes</v>
      </c>
    </row>
    <row r="409" spans="1:16" x14ac:dyDescent="0.25">
      <c r="A409" s="2" t="s">
        <v>2787</v>
      </c>
      <c r="B409" s="3">
        <v>44595</v>
      </c>
      <c r="C409" s="2" t="s">
        <v>2788</v>
      </c>
      <c r="D409" t="s">
        <v>6139</v>
      </c>
      <c r="E409" s="2">
        <v>6</v>
      </c>
      <c r="F409" s="2" t="str">
        <f>IFERROR(INDEX(customers!B$1:B$1001, MATCH(C409, customers!A$1:A$1001, 0)), "Not Found")</f>
        <v>Lorin Guerrazzi</v>
      </c>
      <c r="G409" s="2" t="str">
        <f>IF(IFERROR(INDEX(customers!C$1:C$1001, MATCH(C409, customers!A$1:A$1001, 0)), "Not Found")=0,"",IFERROR(INDEX(customers!C$1:C$1001, MATCH(C409, customers!A$1:A$1001, 0)), "Not Found"))</f>
        <v/>
      </c>
      <c r="H409" s="2" t="str">
        <f>IFERROR(INDEX(customers!G$1:G$1001, MATCH(C409, customers!A$1:A$1001, 0)), "Not Found")</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L409*E409</f>
        <v>49.5</v>
      </c>
      <c r="N409" t="str">
        <f>IF(I409="Rob","Robusta",IF(I409="Exc","Excelsa",IF(I409="Ara","Arabica",IF(I409="Lib","Laberica",""))))</f>
        <v>Excelsa</v>
      </c>
      <c r="O409" t="str">
        <f t="shared" si="6"/>
        <v>Medium</v>
      </c>
      <c r="P409" t="str">
        <f>INDEX(customers!$I$1:$I$1001, MATCH(Orders[[#This Row],[Customer ID]], customers!$A$1:$A$1001, 0))</f>
        <v>No</v>
      </c>
    </row>
    <row r="410" spans="1:16" x14ac:dyDescent="0.25">
      <c r="A410" s="2" t="s">
        <v>2792</v>
      </c>
      <c r="B410" s="3">
        <v>44659</v>
      </c>
      <c r="C410" s="2" t="s">
        <v>2793</v>
      </c>
      <c r="D410" t="s">
        <v>6175</v>
      </c>
      <c r="E410" s="2">
        <v>2</v>
      </c>
      <c r="F410" s="2" t="str">
        <f>IFERROR(INDEX(customers!B$1:B$1001, MATCH(C410, customers!A$1:A$1001, 0)), "Not Found")</f>
        <v>Felice Miell</v>
      </c>
      <c r="G410" s="2" t="str">
        <f>IF(IFERROR(INDEX(customers!C$1:C$1001, MATCH(C410, customers!A$1:A$1001, 0)), "Not Found")=0,"",IFERROR(INDEX(customers!C$1:C$1001, MATCH(C410, customers!A$1:A$1001, 0)), "Not Found"))</f>
        <v>fmiellbc@spiegel.de</v>
      </c>
      <c r="H410" s="2" t="str">
        <f>IFERROR(INDEX(customers!G$1:G$1001, MATCH(C410, customers!A$1:A$1001, 0)), "Not Found")</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L410*E410</f>
        <v>51.749999999999993</v>
      </c>
      <c r="N410" t="str">
        <f>IF(I410="Rob","Robusta",IF(I410="Exc","Excelsa",IF(I410="Ara","Arabica",IF(I410="Lib","Laberica",""))))</f>
        <v>Arabica</v>
      </c>
      <c r="O410" t="str">
        <f t="shared" si="6"/>
        <v>Medium</v>
      </c>
      <c r="P410" t="str">
        <f>INDEX(customers!$I$1:$I$1001, MATCH(Orders[[#This Row],[Customer ID]], customers!$A$1:$A$1001, 0))</f>
        <v>Yes</v>
      </c>
    </row>
    <row r="411" spans="1:16" x14ac:dyDescent="0.25">
      <c r="A411" s="2" t="s">
        <v>2798</v>
      </c>
      <c r="B411" s="3">
        <v>44203</v>
      </c>
      <c r="C411" s="2" t="s">
        <v>2799</v>
      </c>
      <c r="D411" t="s">
        <v>6170</v>
      </c>
      <c r="E411" s="2">
        <v>3</v>
      </c>
      <c r="F411" s="2" t="str">
        <f>IFERROR(INDEX(customers!B$1:B$1001, MATCH(C411, customers!A$1:A$1001, 0)), "Not Found")</f>
        <v>Hamish Skeech</v>
      </c>
      <c r="G411" s="2" t="str">
        <f>IF(IFERROR(INDEX(customers!C$1:C$1001, MATCH(C411, customers!A$1:A$1001, 0)), "Not Found")=0,"",IFERROR(INDEX(customers!C$1:C$1001, MATCH(C411, customers!A$1:A$1001, 0)), "Not Found"))</f>
        <v/>
      </c>
      <c r="H411" s="2" t="str">
        <f>IFERROR(INDEX(customers!G$1:G$1001, MATCH(C411, customers!A$1:A$1001, 0)), "Not Found")</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L411*E411</f>
        <v>47.55</v>
      </c>
      <c r="N411" t="str">
        <f>IF(I411="Rob","Robusta",IF(I411="Exc","Excelsa",IF(I411="Ara","Arabica",IF(I411="Lib","Laberica",""))))</f>
        <v>Laberica</v>
      </c>
      <c r="O411" t="str">
        <f t="shared" si="6"/>
        <v>Light</v>
      </c>
      <c r="P411" t="str">
        <f>INDEX(customers!$I$1:$I$1001, MATCH(Orders[[#This Row],[Customer ID]], customers!$A$1:$A$1001, 0))</f>
        <v>Yes</v>
      </c>
    </row>
    <row r="412" spans="1:16" x14ac:dyDescent="0.25">
      <c r="A412" s="2" t="s">
        <v>2803</v>
      </c>
      <c r="B412" s="3">
        <v>44441</v>
      </c>
      <c r="C412" s="2" t="s">
        <v>2804</v>
      </c>
      <c r="D412" t="s">
        <v>6167</v>
      </c>
      <c r="E412" s="2">
        <v>4</v>
      </c>
      <c r="F412" s="2" t="str">
        <f>IFERROR(INDEX(customers!B$1:B$1001, MATCH(C412, customers!A$1:A$1001, 0)), "Not Found")</f>
        <v>Giordano Lorenzin</v>
      </c>
      <c r="G412" s="2" t="str">
        <f>IF(IFERROR(INDEX(customers!C$1:C$1001, MATCH(C412, customers!A$1:A$1001, 0)), "Not Found")=0,"",IFERROR(INDEX(customers!C$1:C$1001, MATCH(C412, customers!A$1:A$1001, 0)), "Not Found"))</f>
        <v/>
      </c>
      <c r="H412" s="2" t="str">
        <f>IFERROR(INDEX(customers!G$1:G$1001, MATCH(C412, customers!A$1:A$1001, 0)), "Not Found")</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L412*E412</f>
        <v>15.54</v>
      </c>
      <c r="N412" t="str">
        <f>IF(I412="Rob","Robusta",IF(I412="Exc","Excelsa",IF(I412="Ara","Arabica",IF(I412="Lib","Laberica",""))))</f>
        <v>Arabica</v>
      </c>
      <c r="O412" t="str">
        <f t="shared" si="6"/>
        <v>Light</v>
      </c>
      <c r="P412" t="str">
        <f>INDEX(customers!$I$1:$I$1001, MATCH(Orders[[#This Row],[Customer ID]], customers!$A$1:$A$1001, 0))</f>
        <v>No</v>
      </c>
    </row>
    <row r="413" spans="1:16" x14ac:dyDescent="0.25">
      <c r="A413" s="2" t="s">
        <v>2808</v>
      </c>
      <c r="B413" s="3">
        <v>44504</v>
      </c>
      <c r="C413" s="2" t="s">
        <v>2809</v>
      </c>
      <c r="D413" t="s">
        <v>6162</v>
      </c>
      <c r="E413" s="2">
        <v>6</v>
      </c>
      <c r="F413" s="2" t="str">
        <f>IFERROR(INDEX(customers!B$1:B$1001, MATCH(C413, customers!A$1:A$1001, 0)), "Not Found")</f>
        <v>Harwilll Bishell</v>
      </c>
      <c r="G413" s="2" t="str">
        <f>IF(IFERROR(INDEX(customers!C$1:C$1001, MATCH(C413, customers!A$1:A$1001, 0)), "Not Found")=0,"",IFERROR(INDEX(customers!C$1:C$1001, MATCH(C413, customers!A$1:A$1001, 0)), "Not Found"))</f>
        <v/>
      </c>
      <c r="H413" s="2" t="str">
        <f>IFERROR(INDEX(customers!G$1:G$1001, MATCH(C413, customers!A$1:A$1001, 0)), "Not Found")</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L413*E413</f>
        <v>87.300000000000011</v>
      </c>
      <c r="N413" t="str">
        <f>IF(I413="Rob","Robusta",IF(I413="Exc","Excelsa",IF(I413="Ara","Arabica",IF(I413="Lib","Laberica",""))))</f>
        <v>Laberica</v>
      </c>
      <c r="O413" t="str">
        <f t="shared" si="6"/>
        <v>Medium</v>
      </c>
      <c r="P413" t="str">
        <f>INDEX(customers!$I$1:$I$1001, MATCH(Orders[[#This Row],[Customer ID]], customers!$A$1:$A$1001, 0))</f>
        <v>Yes</v>
      </c>
    </row>
    <row r="414" spans="1:16" x14ac:dyDescent="0.25">
      <c r="A414" s="2" t="s">
        <v>2813</v>
      </c>
      <c r="B414" s="3">
        <v>44410</v>
      </c>
      <c r="C414" s="2" t="s">
        <v>2814</v>
      </c>
      <c r="D414" t="s">
        <v>6155</v>
      </c>
      <c r="E414" s="2">
        <v>5</v>
      </c>
      <c r="F414" s="2" t="str">
        <f>IFERROR(INDEX(customers!B$1:B$1001, MATCH(C414, customers!A$1:A$1001, 0)), "Not Found")</f>
        <v>Freeland Missenden</v>
      </c>
      <c r="G414" s="2" t="str">
        <f>IF(IFERROR(INDEX(customers!C$1:C$1001, MATCH(C414, customers!A$1:A$1001, 0)), "Not Found")=0,"",IFERROR(INDEX(customers!C$1:C$1001, MATCH(C414, customers!A$1:A$1001, 0)), "Not Found"))</f>
        <v/>
      </c>
      <c r="H414" s="2" t="str">
        <f>IFERROR(INDEX(customers!G$1:G$1001, MATCH(C414, customers!A$1:A$1001, 0)), "Not Found")</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L414*E414</f>
        <v>56.25</v>
      </c>
      <c r="N414" t="str">
        <f>IF(I414="Rob","Robusta",IF(I414="Exc","Excelsa",IF(I414="Ara","Arabica",IF(I414="Lib","Laberica",""))))</f>
        <v>Arabica</v>
      </c>
      <c r="O414" t="str">
        <f t="shared" si="6"/>
        <v>Medium</v>
      </c>
      <c r="P414" t="str">
        <f>INDEX(customers!$I$1:$I$1001, MATCH(Orders[[#This Row],[Customer ID]], customers!$A$1:$A$1001, 0))</f>
        <v>Yes</v>
      </c>
    </row>
    <row r="415" spans="1:16" x14ac:dyDescent="0.25">
      <c r="A415" s="2" t="s">
        <v>2818</v>
      </c>
      <c r="B415" s="3">
        <v>43857</v>
      </c>
      <c r="C415" s="2" t="s">
        <v>2819</v>
      </c>
      <c r="D415" t="s">
        <v>6164</v>
      </c>
      <c r="E415" s="2">
        <v>1</v>
      </c>
      <c r="F415" s="2" t="str">
        <f>IFERROR(INDEX(customers!B$1:B$1001, MATCH(C415, customers!A$1:A$1001, 0)), "Not Found")</f>
        <v>Waylan Springall</v>
      </c>
      <c r="G415" s="2" t="str">
        <f>IF(IFERROR(INDEX(customers!C$1:C$1001, MATCH(C415, customers!A$1:A$1001, 0)), "Not Found")=0,"",IFERROR(INDEX(customers!C$1:C$1001, MATCH(C415, customers!A$1:A$1001, 0)), "Not Found"))</f>
        <v>wspringallbh@jugem.jp</v>
      </c>
      <c r="H415" s="2" t="str">
        <f>IFERROR(INDEX(customers!G$1:G$1001, MATCH(C415, customers!A$1:A$1001, 0)), "Not Found")</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L415*E415</f>
        <v>36.454999999999998</v>
      </c>
      <c r="N415" t="str">
        <f>IF(I415="Rob","Robusta",IF(I415="Exc","Excelsa",IF(I415="Ara","Arabica",IF(I415="Lib","Laberica",""))))</f>
        <v>Laberica</v>
      </c>
      <c r="O415" t="str">
        <f t="shared" si="6"/>
        <v>Light</v>
      </c>
      <c r="P415" t="str">
        <f>INDEX(customers!$I$1:$I$1001, MATCH(Orders[[#This Row],[Customer ID]], customers!$A$1:$A$1001, 0))</f>
        <v>Yes</v>
      </c>
    </row>
    <row r="416" spans="1:16" x14ac:dyDescent="0.25">
      <c r="A416" s="2" t="s">
        <v>2824</v>
      </c>
      <c r="B416" s="3">
        <v>43802</v>
      </c>
      <c r="C416" s="2" t="s">
        <v>2825</v>
      </c>
      <c r="D416" t="s">
        <v>6178</v>
      </c>
      <c r="E416" s="2">
        <v>3</v>
      </c>
      <c r="F416" s="2" t="str">
        <f>IFERROR(INDEX(customers!B$1:B$1001, MATCH(C416, customers!A$1:A$1001, 0)), "Not Found")</f>
        <v>Kiri Avramow</v>
      </c>
      <c r="G416" s="2" t="str">
        <f>IF(IFERROR(INDEX(customers!C$1:C$1001, MATCH(C416, customers!A$1:A$1001, 0)), "Not Found")=0,"",IFERROR(INDEX(customers!C$1:C$1001, MATCH(C416, customers!A$1:A$1001, 0)), "Not Found"))</f>
        <v/>
      </c>
      <c r="H416" s="2" t="str">
        <f>IFERROR(INDEX(customers!G$1:G$1001, MATCH(C416, customers!A$1:A$1001, 0)), "Not Found")</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L416*E416</f>
        <v>10.754999999999999</v>
      </c>
      <c r="N416" t="str">
        <f>IF(I416="Rob","Robusta",IF(I416="Exc","Excelsa",IF(I416="Ara","Arabica",IF(I416="Lib","Laberica",""))))</f>
        <v>Robusta</v>
      </c>
      <c r="O416" t="str">
        <f t="shared" si="6"/>
        <v>Light</v>
      </c>
      <c r="P416" t="str">
        <f>INDEX(customers!$I$1:$I$1001, MATCH(Orders[[#This Row],[Customer ID]], customers!$A$1:$A$1001, 0))</f>
        <v>Yes</v>
      </c>
    </row>
    <row r="417" spans="1:16" x14ac:dyDescent="0.25">
      <c r="A417" s="2" t="s">
        <v>2829</v>
      </c>
      <c r="B417" s="3">
        <v>43683</v>
      </c>
      <c r="C417" s="2" t="s">
        <v>2830</v>
      </c>
      <c r="D417" t="s">
        <v>6174</v>
      </c>
      <c r="E417" s="2">
        <v>3</v>
      </c>
      <c r="F417" s="2" t="str">
        <f>IFERROR(INDEX(customers!B$1:B$1001, MATCH(C417, customers!A$1:A$1001, 0)), "Not Found")</f>
        <v>Gregg Hawkyens</v>
      </c>
      <c r="G417" s="2" t="str">
        <f>IF(IFERROR(INDEX(customers!C$1:C$1001, MATCH(C417, customers!A$1:A$1001, 0)), "Not Found")=0,"",IFERROR(INDEX(customers!C$1:C$1001, MATCH(C417, customers!A$1:A$1001, 0)), "Not Found"))</f>
        <v>ghawkyensbj@census.gov</v>
      </c>
      <c r="H417" s="2" t="str">
        <f>IFERROR(INDEX(customers!G$1:G$1001, MATCH(C417, customers!A$1:A$1001, 0)), "Not Found")</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L417*E417</f>
        <v>8.9550000000000001</v>
      </c>
      <c r="N417" t="str">
        <f>IF(I417="Rob","Robusta",IF(I417="Exc","Excelsa",IF(I417="Ara","Arabica",IF(I417="Lib","Laberica",""))))</f>
        <v>Robusta</v>
      </c>
      <c r="O417" t="str">
        <f t="shared" si="6"/>
        <v>Medium</v>
      </c>
      <c r="P417" t="str">
        <f>INDEX(customers!$I$1:$I$1001, MATCH(Orders[[#This Row],[Customer ID]], customers!$A$1:$A$1001, 0))</f>
        <v>No</v>
      </c>
    </row>
    <row r="418" spans="1:16" x14ac:dyDescent="0.25">
      <c r="A418" s="2" t="s">
        <v>2834</v>
      </c>
      <c r="B418" s="3">
        <v>43901</v>
      </c>
      <c r="C418" s="2" t="s">
        <v>2835</v>
      </c>
      <c r="D418" t="s">
        <v>6180</v>
      </c>
      <c r="E418" s="2">
        <v>3</v>
      </c>
      <c r="F418" s="2" t="str">
        <f>IFERROR(INDEX(customers!B$1:B$1001, MATCH(C418, customers!A$1:A$1001, 0)), "Not Found")</f>
        <v>Reggis Pracy</v>
      </c>
      <c r="G418" s="2" t="str">
        <f>IF(IFERROR(INDEX(customers!C$1:C$1001, MATCH(C418, customers!A$1:A$1001, 0)), "Not Found")=0,"",IFERROR(INDEX(customers!C$1:C$1001, MATCH(C418, customers!A$1:A$1001, 0)), "Not Found"))</f>
        <v/>
      </c>
      <c r="H418" s="2" t="str">
        <f>IFERROR(INDEX(customers!G$1:G$1001, MATCH(C418, customers!A$1:A$1001, 0)), "Not Found")</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L418*E418</f>
        <v>23.31</v>
      </c>
      <c r="N418" t="str">
        <f>IF(I418="Rob","Robusta",IF(I418="Exc","Excelsa",IF(I418="Ara","Arabica",IF(I418="Lib","Laberica",""))))</f>
        <v>Arabica</v>
      </c>
      <c r="O418" t="str">
        <f t="shared" si="6"/>
        <v>Light</v>
      </c>
      <c r="P418" t="str">
        <f>INDEX(customers!$I$1:$I$1001, MATCH(Orders[[#This Row],[Customer ID]], customers!$A$1:$A$1001, 0))</f>
        <v>Yes</v>
      </c>
    </row>
    <row r="419" spans="1:16" x14ac:dyDescent="0.25">
      <c r="A419" s="2" t="s">
        <v>2839</v>
      </c>
      <c r="B419" s="3">
        <v>44457</v>
      </c>
      <c r="C419" s="2" t="s">
        <v>2840</v>
      </c>
      <c r="D419" t="s">
        <v>6182</v>
      </c>
      <c r="E419" s="2">
        <v>1</v>
      </c>
      <c r="F419" s="2" t="str">
        <f>IFERROR(INDEX(customers!B$1:B$1001, MATCH(C419, customers!A$1:A$1001, 0)), "Not Found")</f>
        <v>Paula Denis</v>
      </c>
      <c r="G419" s="2" t="str">
        <f>IF(IFERROR(INDEX(customers!C$1:C$1001, MATCH(C419, customers!A$1:A$1001, 0)), "Not Found")=0,"",IFERROR(INDEX(customers!C$1:C$1001, MATCH(C419, customers!A$1:A$1001, 0)), "Not Found"))</f>
        <v/>
      </c>
      <c r="H419" s="2" t="str">
        <f>IFERROR(INDEX(customers!G$1:G$1001, MATCH(C419, customers!A$1:A$1001, 0)), "Not Found")</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L419*E419</f>
        <v>29.784999999999997</v>
      </c>
      <c r="N419" t="str">
        <f>IF(I419="Rob","Robusta",IF(I419="Exc","Excelsa",IF(I419="Ara","Arabica",IF(I419="Lib","Laberica",""))))</f>
        <v>Arabica</v>
      </c>
      <c r="O419" t="str">
        <f t="shared" si="6"/>
        <v>Light</v>
      </c>
      <c r="P419" t="str">
        <f>INDEX(customers!$I$1:$I$1001, MATCH(Orders[[#This Row],[Customer ID]], customers!$A$1:$A$1001, 0))</f>
        <v>Yes</v>
      </c>
    </row>
    <row r="420" spans="1:16" x14ac:dyDescent="0.25">
      <c r="A420" s="2" t="s">
        <v>2844</v>
      </c>
      <c r="B420" s="3">
        <v>44142</v>
      </c>
      <c r="C420" s="2" t="s">
        <v>2845</v>
      </c>
      <c r="D420" t="s">
        <v>6182</v>
      </c>
      <c r="E420" s="2">
        <v>5</v>
      </c>
      <c r="F420" s="2" t="str">
        <f>IFERROR(INDEX(customers!B$1:B$1001, MATCH(C420, customers!A$1:A$1001, 0)), "Not Found")</f>
        <v>Broderick McGilvra</v>
      </c>
      <c r="G420" s="2" t="str">
        <f>IF(IFERROR(INDEX(customers!C$1:C$1001, MATCH(C420, customers!A$1:A$1001, 0)), "Not Found")=0,"",IFERROR(INDEX(customers!C$1:C$1001, MATCH(C420, customers!A$1:A$1001, 0)), "Not Found"))</f>
        <v>bmcgilvrabm@so-net.ne.jp</v>
      </c>
      <c r="H420" s="2" t="str">
        <f>IFERROR(INDEX(customers!G$1:G$1001, MATCH(C420, customers!A$1:A$1001, 0)), "Not Found")</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L420*E420</f>
        <v>148.92499999999998</v>
      </c>
      <c r="N420" t="str">
        <f>IF(I420="Rob","Robusta",IF(I420="Exc","Excelsa",IF(I420="Ara","Arabica",IF(I420="Lib","Laberica",""))))</f>
        <v>Arabica</v>
      </c>
      <c r="O420" t="str">
        <f t="shared" si="6"/>
        <v>Light</v>
      </c>
      <c r="P420" t="str">
        <f>INDEX(customers!$I$1:$I$1001, MATCH(Orders[[#This Row],[Customer ID]], customers!$A$1:$A$1001, 0))</f>
        <v>Yes</v>
      </c>
    </row>
    <row r="421" spans="1:16" x14ac:dyDescent="0.25">
      <c r="A421" s="2" t="s">
        <v>2849</v>
      </c>
      <c r="B421" s="3">
        <v>44739</v>
      </c>
      <c r="C421" s="2" t="s">
        <v>2850</v>
      </c>
      <c r="D421" t="s">
        <v>6160</v>
      </c>
      <c r="E421" s="2">
        <v>1</v>
      </c>
      <c r="F421" s="2" t="str">
        <f>IFERROR(INDEX(customers!B$1:B$1001, MATCH(C421, customers!A$1:A$1001, 0)), "Not Found")</f>
        <v>Annabella Danzey</v>
      </c>
      <c r="G421" s="2" t="str">
        <f>IF(IFERROR(INDEX(customers!C$1:C$1001, MATCH(C421, customers!A$1:A$1001, 0)), "Not Found")=0,"",IFERROR(INDEX(customers!C$1:C$1001, MATCH(C421, customers!A$1:A$1001, 0)), "Not Found"))</f>
        <v>adanzeybn@github.com</v>
      </c>
      <c r="H421" s="2" t="str">
        <f>IFERROR(INDEX(customers!G$1:G$1001, MATCH(C421, customers!A$1:A$1001, 0)), "Not Found")</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L421*E421</f>
        <v>8.73</v>
      </c>
      <c r="N421" t="str">
        <f>IF(I421="Rob","Robusta",IF(I421="Exc","Excelsa",IF(I421="Ara","Arabica",IF(I421="Lib","Laberica",""))))</f>
        <v>Laberica</v>
      </c>
      <c r="O421" t="str">
        <f t="shared" si="6"/>
        <v>Medium</v>
      </c>
      <c r="P421" t="str">
        <f>INDEX(customers!$I$1:$I$1001, MATCH(Orders[[#This Row],[Customer ID]], customers!$A$1:$A$1001, 0))</f>
        <v>Yes</v>
      </c>
    </row>
    <row r="422" spans="1:16" x14ac:dyDescent="0.25">
      <c r="A422" s="2" t="s">
        <v>2855</v>
      </c>
      <c r="B422" s="3">
        <v>43866</v>
      </c>
      <c r="C422" s="2" t="s">
        <v>2586</v>
      </c>
      <c r="D422" t="s">
        <v>6169</v>
      </c>
      <c r="E422" s="2">
        <v>4</v>
      </c>
      <c r="F422" s="2" t="str">
        <f>IFERROR(INDEX(customers!B$1:B$1001, MATCH(C422, customers!A$1:A$1001, 0)), "Not Found")</f>
        <v>Terri Farra</v>
      </c>
      <c r="G422" s="2" t="str">
        <f>IF(IFERROR(INDEX(customers!C$1:C$1001, MATCH(C422, customers!A$1:A$1001, 0)), "Not Found")=0,"",IFERROR(INDEX(customers!C$1:C$1001, MATCH(C422, customers!A$1:A$1001, 0)), "Not Found"))</f>
        <v>tfarraac@behance.net</v>
      </c>
      <c r="H422" s="2" t="str">
        <f>IFERROR(INDEX(customers!G$1:G$1001, MATCH(C422, customers!A$1:A$1001, 0)), "Not Found")</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L422*E422</f>
        <v>31.08</v>
      </c>
      <c r="N422" t="str">
        <f>IF(I422="Rob","Robusta",IF(I422="Exc","Excelsa",IF(I422="Ara","Arabica",IF(I422="Lib","Laberica",""))))</f>
        <v>Laberica</v>
      </c>
      <c r="O422" t="str">
        <f t="shared" si="6"/>
        <v>Dark</v>
      </c>
      <c r="P422" t="str">
        <f>INDEX(customers!$I$1:$I$1001, MATCH(Orders[[#This Row],[Customer ID]], customers!$A$1:$A$1001, 0))</f>
        <v>No</v>
      </c>
    </row>
    <row r="423" spans="1:16" x14ac:dyDescent="0.25">
      <c r="A423" s="2" t="s">
        <v>2855</v>
      </c>
      <c r="B423" s="3">
        <v>43866</v>
      </c>
      <c r="C423" s="2" t="s">
        <v>2586</v>
      </c>
      <c r="D423" t="s">
        <v>6168</v>
      </c>
      <c r="E423" s="2">
        <v>6</v>
      </c>
      <c r="F423" s="2" t="str">
        <f>IFERROR(INDEX(customers!B$1:B$1001, MATCH(C423, customers!A$1:A$1001, 0)), "Not Found")</f>
        <v>Terri Farra</v>
      </c>
      <c r="G423" s="2" t="str">
        <f>IF(IFERROR(INDEX(customers!C$1:C$1001, MATCH(C423, customers!A$1:A$1001, 0)), "Not Found")=0,"",IFERROR(INDEX(customers!C$1:C$1001, MATCH(C423, customers!A$1:A$1001, 0)), "Not Found"))</f>
        <v>tfarraac@behance.net</v>
      </c>
      <c r="H423" s="2" t="str">
        <f>IFERROR(INDEX(customers!G$1:G$1001, MATCH(C423, customers!A$1:A$1001, 0)), "Not Found")</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L423*E423</f>
        <v>137.31</v>
      </c>
      <c r="N423" t="str">
        <f>IF(I423="Rob","Robusta",IF(I423="Exc","Excelsa",IF(I423="Ara","Arabica",IF(I423="Lib","Laberica",""))))</f>
        <v>Arabica</v>
      </c>
      <c r="O423" t="str">
        <f t="shared" si="6"/>
        <v>Dark</v>
      </c>
      <c r="P423" t="str">
        <f>INDEX(customers!$I$1:$I$1001, MATCH(Orders[[#This Row],[Customer ID]], customers!$A$1:$A$1001, 0))</f>
        <v>No</v>
      </c>
    </row>
    <row r="424" spans="1:16" x14ac:dyDescent="0.25">
      <c r="A424" s="2" t="s">
        <v>2866</v>
      </c>
      <c r="B424" s="3">
        <v>43868</v>
      </c>
      <c r="C424" s="2" t="s">
        <v>2867</v>
      </c>
      <c r="D424" t="s">
        <v>6158</v>
      </c>
      <c r="E424" s="2">
        <v>5</v>
      </c>
      <c r="F424" s="2" t="str">
        <f>IFERROR(INDEX(customers!B$1:B$1001, MATCH(C424, customers!A$1:A$1001, 0)), "Not Found")</f>
        <v>Nevins Glowacz</v>
      </c>
      <c r="G424" s="2" t="str">
        <f>IF(IFERROR(INDEX(customers!C$1:C$1001, MATCH(C424, customers!A$1:A$1001, 0)), "Not Found")=0,"",IFERROR(INDEX(customers!C$1:C$1001, MATCH(C424, customers!A$1:A$1001, 0)), "Not Found"))</f>
        <v/>
      </c>
      <c r="H424" s="2" t="str">
        <f>IFERROR(INDEX(customers!G$1:G$1001, MATCH(C424, customers!A$1:A$1001, 0)), "Not Found")</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L424*E424</f>
        <v>29.849999999999998</v>
      </c>
      <c r="N424" t="str">
        <f>IF(I424="Rob","Robusta",IF(I424="Exc","Excelsa",IF(I424="Ara","Arabica",IF(I424="Lib","Laberica",""))))</f>
        <v>Arabica</v>
      </c>
      <c r="O424" t="str">
        <f t="shared" si="6"/>
        <v>Dark</v>
      </c>
      <c r="P424" t="str">
        <f>INDEX(customers!$I$1:$I$1001, MATCH(Orders[[#This Row],[Customer ID]], customers!$A$1:$A$1001, 0))</f>
        <v>No</v>
      </c>
    </row>
    <row r="425" spans="1:16" x14ac:dyDescent="0.25">
      <c r="A425" s="2" t="s">
        <v>2871</v>
      </c>
      <c r="B425" s="3">
        <v>44183</v>
      </c>
      <c r="C425" s="2" t="s">
        <v>2872</v>
      </c>
      <c r="D425" t="s">
        <v>6146</v>
      </c>
      <c r="E425" s="2">
        <v>3</v>
      </c>
      <c r="F425" s="2" t="str">
        <f>IFERROR(INDEX(customers!B$1:B$1001, MATCH(C425, customers!A$1:A$1001, 0)), "Not Found")</f>
        <v>Adelice Isabell</v>
      </c>
      <c r="G425" s="2" t="str">
        <f>IF(IFERROR(INDEX(customers!C$1:C$1001, MATCH(C425, customers!A$1:A$1001, 0)), "Not Found")=0,"",IFERROR(INDEX(customers!C$1:C$1001, MATCH(C425, customers!A$1:A$1001, 0)), "Not Found"))</f>
        <v/>
      </c>
      <c r="H425" s="2" t="str">
        <f>IFERROR(INDEX(customers!G$1:G$1001, MATCH(C425, customers!A$1:A$1001, 0)), "Not Found")</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L425*E425</f>
        <v>17.91</v>
      </c>
      <c r="N425" t="str">
        <f>IF(I425="Rob","Robusta",IF(I425="Exc","Excelsa",IF(I425="Ara","Arabica",IF(I425="Lib","Laberica",""))))</f>
        <v>Robusta</v>
      </c>
      <c r="O425" t="str">
        <f t="shared" si="6"/>
        <v>Medium</v>
      </c>
      <c r="P425" t="str">
        <f>INDEX(customers!$I$1:$I$1001, MATCH(Orders[[#This Row],[Customer ID]], customers!$A$1:$A$1001, 0))</f>
        <v>No</v>
      </c>
    </row>
    <row r="426" spans="1:16" x14ac:dyDescent="0.25">
      <c r="A426" s="2" t="s">
        <v>2876</v>
      </c>
      <c r="B426" s="3">
        <v>44431</v>
      </c>
      <c r="C426" s="2" t="s">
        <v>2877</v>
      </c>
      <c r="D426" t="s">
        <v>6176</v>
      </c>
      <c r="E426" s="2">
        <v>3</v>
      </c>
      <c r="F426" s="2" t="str">
        <f>IFERROR(INDEX(customers!B$1:B$1001, MATCH(C426, customers!A$1:A$1001, 0)), "Not Found")</f>
        <v>Yulma Dombrell</v>
      </c>
      <c r="G426" s="2" t="str">
        <f>IF(IFERROR(INDEX(customers!C$1:C$1001, MATCH(C426, customers!A$1:A$1001, 0)), "Not Found")=0,"",IFERROR(INDEX(customers!C$1:C$1001, MATCH(C426, customers!A$1:A$1001, 0)), "Not Found"))</f>
        <v>ydombrellbs@dedecms.com</v>
      </c>
      <c r="H426" s="2" t="str">
        <f>IFERROR(INDEX(customers!G$1:G$1001, MATCH(C426, customers!A$1:A$1001, 0)), "Not Found")</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L426*E426</f>
        <v>26.73</v>
      </c>
      <c r="N426" t="str">
        <f>IF(I426="Rob","Robusta",IF(I426="Exc","Excelsa",IF(I426="Ara","Arabica",IF(I426="Lib","Laberica",""))))</f>
        <v>Excelsa</v>
      </c>
      <c r="O426" t="str">
        <f t="shared" si="6"/>
        <v>Light</v>
      </c>
      <c r="P426" t="str">
        <f>INDEX(customers!$I$1:$I$1001, MATCH(Orders[[#This Row],[Customer ID]], customers!$A$1:$A$1001, 0))</f>
        <v>Yes</v>
      </c>
    </row>
    <row r="427" spans="1:16" x14ac:dyDescent="0.25">
      <c r="A427" s="2" t="s">
        <v>2882</v>
      </c>
      <c r="B427" s="3">
        <v>44428</v>
      </c>
      <c r="C427" s="2" t="s">
        <v>2883</v>
      </c>
      <c r="D427" t="s">
        <v>6177</v>
      </c>
      <c r="E427" s="2">
        <v>2</v>
      </c>
      <c r="F427" s="2" t="str">
        <f>IFERROR(INDEX(customers!B$1:B$1001, MATCH(C427, customers!A$1:A$1001, 0)), "Not Found")</f>
        <v>Alric Darth</v>
      </c>
      <c r="G427" s="2" t="str">
        <f>IF(IFERROR(INDEX(customers!C$1:C$1001, MATCH(C427, customers!A$1:A$1001, 0)), "Not Found")=0,"",IFERROR(INDEX(customers!C$1:C$1001, MATCH(C427, customers!A$1:A$1001, 0)), "Not Found"))</f>
        <v>adarthbt@t.co</v>
      </c>
      <c r="H427" s="2" t="str">
        <f>IFERROR(INDEX(customers!G$1:G$1001, MATCH(C427, customers!A$1:A$1001, 0)), "Not Found")</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L427*E427</f>
        <v>17.899999999999999</v>
      </c>
      <c r="N427" t="str">
        <f>IF(I427="Rob","Robusta",IF(I427="Exc","Excelsa",IF(I427="Ara","Arabica",IF(I427="Lib","Laberica",""))))</f>
        <v>Robusta</v>
      </c>
      <c r="O427" t="str">
        <f t="shared" si="6"/>
        <v>Dark</v>
      </c>
      <c r="P427" t="str">
        <f>INDEX(customers!$I$1:$I$1001, MATCH(Orders[[#This Row],[Customer ID]], customers!$A$1:$A$1001, 0))</f>
        <v>No</v>
      </c>
    </row>
    <row r="428" spans="1:16" x14ac:dyDescent="0.25">
      <c r="A428" s="2" t="s">
        <v>2888</v>
      </c>
      <c r="B428" s="3">
        <v>43556</v>
      </c>
      <c r="C428" s="2" t="s">
        <v>2889</v>
      </c>
      <c r="D428" t="s">
        <v>6178</v>
      </c>
      <c r="E428" s="2">
        <v>4</v>
      </c>
      <c r="F428" s="2" t="str">
        <f>IFERROR(INDEX(customers!B$1:B$1001, MATCH(C428, customers!A$1:A$1001, 0)), "Not Found")</f>
        <v>Manuel Darrigoe</v>
      </c>
      <c r="G428" s="2" t="str">
        <f>IF(IFERROR(INDEX(customers!C$1:C$1001, MATCH(C428, customers!A$1:A$1001, 0)), "Not Found")=0,"",IFERROR(INDEX(customers!C$1:C$1001, MATCH(C428, customers!A$1:A$1001, 0)), "Not Found"))</f>
        <v>mdarrigoebu@hud.gov</v>
      </c>
      <c r="H428" s="2" t="str">
        <f>IFERROR(INDEX(customers!G$1:G$1001, MATCH(C428, customers!A$1:A$1001, 0)), "Not Found")</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L428*E428</f>
        <v>14.339999999999998</v>
      </c>
      <c r="N428" t="str">
        <f>IF(I428="Rob","Robusta",IF(I428="Exc","Excelsa",IF(I428="Ara","Arabica",IF(I428="Lib","Laberica",""))))</f>
        <v>Robusta</v>
      </c>
      <c r="O428" t="str">
        <f t="shared" si="6"/>
        <v>Light</v>
      </c>
      <c r="P428" t="str">
        <f>INDEX(customers!$I$1:$I$1001, MATCH(Orders[[#This Row],[Customer ID]], customers!$A$1:$A$1001, 0))</f>
        <v>Yes</v>
      </c>
    </row>
    <row r="429" spans="1:16" x14ac:dyDescent="0.25">
      <c r="A429" s="2" t="s">
        <v>2894</v>
      </c>
      <c r="B429" s="3">
        <v>44224</v>
      </c>
      <c r="C429" s="2" t="s">
        <v>2895</v>
      </c>
      <c r="D429" t="s">
        <v>6175</v>
      </c>
      <c r="E429" s="2">
        <v>3</v>
      </c>
      <c r="F429" s="2" t="str">
        <f>IFERROR(INDEX(customers!B$1:B$1001, MATCH(C429, customers!A$1:A$1001, 0)), "Not Found")</f>
        <v>Kynthia Berick</v>
      </c>
      <c r="G429" s="2" t="str">
        <f>IF(IFERROR(INDEX(customers!C$1:C$1001, MATCH(C429, customers!A$1:A$1001, 0)), "Not Found")=0,"",IFERROR(INDEX(customers!C$1:C$1001, MATCH(C429, customers!A$1:A$1001, 0)), "Not Found"))</f>
        <v/>
      </c>
      <c r="H429" s="2" t="str">
        <f>IFERROR(INDEX(customers!G$1:G$1001, MATCH(C429, customers!A$1:A$1001, 0)), "Not Found")</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L429*E429</f>
        <v>77.624999999999986</v>
      </c>
      <c r="N429" t="str">
        <f>IF(I429="Rob","Robusta",IF(I429="Exc","Excelsa",IF(I429="Ara","Arabica",IF(I429="Lib","Laberica",""))))</f>
        <v>Arabica</v>
      </c>
      <c r="O429" t="str">
        <f t="shared" si="6"/>
        <v>Medium</v>
      </c>
      <c r="P429" t="str">
        <f>INDEX(customers!$I$1:$I$1001, MATCH(Orders[[#This Row],[Customer ID]], customers!$A$1:$A$1001, 0))</f>
        <v>Yes</v>
      </c>
    </row>
    <row r="430" spans="1:16" x14ac:dyDescent="0.25">
      <c r="A430" s="2" t="s">
        <v>2899</v>
      </c>
      <c r="B430" s="3">
        <v>43759</v>
      </c>
      <c r="C430" s="2" t="s">
        <v>2900</v>
      </c>
      <c r="D430" t="s">
        <v>6179</v>
      </c>
      <c r="E430" s="2">
        <v>5</v>
      </c>
      <c r="F430" s="2" t="str">
        <f>IFERROR(INDEX(customers!B$1:B$1001, MATCH(C430, customers!A$1:A$1001, 0)), "Not Found")</f>
        <v>Minetta Ackrill</v>
      </c>
      <c r="G430" s="2" t="str">
        <f>IF(IFERROR(INDEX(customers!C$1:C$1001, MATCH(C430, customers!A$1:A$1001, 0)), "Not Found")=0,"",IFERROR(INDEX(customers!C$1:C$1001, MATCH(C430, customers!A$1:A$1001, 0)), "Not Found"))</f>
        <v>mackrillbw@bandcamp.com</v>
      </c>
      <c r="H430" s="2" t="str">
        <f>IFERROR(INDEX(customers!G$1:G$1001, MATCH(C430, customers!A$1:A$1001, 0)), "Not Found")</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L430*E430</f>
        <v>59.75</v>
      </c>
      <c r="N430" t="str">
        <f>IF(I430="Rob","Robusta",IF(I430="Exc","Excelsa",IF(I430="Ara","Arabica",IF(I430="Lib","Laberica",""))))</f>
        <v>Robusta</v>
      </c>
      <c r="O430" t="str">
        <f t="shared" si="6"/>
        <v>Light</v>
      </c>
      <c r="P430" t="str">
        <f>INDEX(customers!$I$1:$I$1001, MATCH(Orders[[#This Row],[Customer ID]], customers!$A$1:$A$1001, 0))</f>
        <v>No</v>
      </c>
    </row>
    <row r="431" spans="1:16" x14ac:dyDescent="0.25">
      <c r="A431" s="2" t="s">
        <v>2905</v>
      </c>
      <c r="B431" s="3">
        <v>44367</v>
      </c>
      <c r="C431" s="2" t="s">
        <v>2586</v>
      </c>
      <c r="D431" t="s">
        <v>6140</v>
      </c>
      <c r="E431" s="2">
        <v>6</v>
      </c>
      <c r="F431" s="2" t="str">
        <f>IFERROR(INDEX(customers!B$1:B$1001, MATCH(C431, customers!A$1:A$1001, 0)), "Not Found")</f>
        <v>Terri Farra</v>
      </c>
      <c r="G431" s="2" t="str">
        <f>IF(IFERROR(INDEX(customers!C$1:C$1001, MATCH(C431, customers!A$1:A$1001, 0)), "Not Found")=0,"",IFERROR(INDEX(customers!C$1:C$1001, MATCH(C431, customers!A$1:A$1001, 0)), "Not Found"))</f>
        <v>tfarraac@behance.net</v>
      </c>
      <c r="H431" s="2" t="str">
        <f>IFERROR(INDEX(customers!G$1:G$1001, MATCH(C431, customers!A$1:A$1001, 0)), "Not Found")</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L431*E431</f>
        <v>77.699999999999989</v>
      </c>
      <c r="N431" t="str">
        <f>IF(I431="Rob","Robusta",IF(I431="Exc","Excelsa",IF(I431="Ara","Arabica",IF(I431="Lib","Laberica",""))))</f>
        <v>Arabica</v>
      </c>
      <c r="O431" t="str">
        <f t="shared" si="6"/>
        <v>Light</v>
      </c>
      <c r="P431" t="str">
        <f>INDEX(customers!$I$1:$I$1001, MATCH(Orders[[#This Row],[Customer ID]], customers!$A$1:$A$1001, 0))</f>
        <v>No</v>
      </c>
    </row>
    <row r="432" spans="1:16" x14ac:dyDescent="0.25">
      <c r="A432" s="2" t="s">
        <v>2911</v>
      </c>
      <c r="B432" s="3">
        <v>44504</v>
      </c>
      <c r="C432" s="2" t="s">
        <v>2912</v>
      </c>
      <c r="D432" t="s">
        <v>6163</v>
      </c>
      <c r="E432" s="2">
        <v>2</v>
      </c>
      <c r="F432" s="2" t="str">
        <f>IFERROR(INDEX(customers!B$1:B$1001, MATCH(C432, customers!A$1:A$1001, 0)), "Not Found")</f>
        <v>Melosa Kippen</v>
      </c>
      <c r="G432" s="2" t="str">
        <f>IF(IFERROR(INDEX(customers!C$1:C$1001, MATCH(C432, customers!A$1:A$1001, 0)), "Not Found")=0,"",IFERROR(INDEX(customers!C$1:C$1001, MATCH(C432, customers!A$1:A$1001, 0)), "Not Found"))</f>
        <v>mkippenby@dion.ne.jp</v>
      </c>
      <c r="H432" s="2" t="str">
        <f>IFERROR(INDEX(customers!G$1:G$1001, MATCH(C432, customers!A$1:A$1001, 0)), "Not Found")</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L432*E432</f>
        <v>5.3699999999999992</v>
      </c>
      <c r="N432" t="str">
        <f>IF(I432="Rob","Robusta",IF(I432="Exc","Excelsa",IF(I432="Ara","Arabica",IF(I432="Lib","Laberica",""))))</f>
        <v>Robusta</v>
      </c>
      <c r="O432" t="str">
        <f t="shared" si="6"/>
        <v>Dark</v>
      </c>
      <c r="P432" t="str">
        <f>INDEX(customers!$I$1:$I$1001, MATCH(Orders[[#This Row],[Customer ID]], customers!$A$1:$A$1001, 0))</f>
        <v>Yes</v>
      </c>
    </row>
    <row r="433" spans="1:16" x14ac:dyDescent="0.25">
      <c r="A433" s="2" t="s">
        <v>2917</v>
      </c>
      <c r="B433" s="3">
        <v>44291</v>
      </c>
      <c r="C433" s="2" t="s">
        <v>2918</v>
      </c>
      <c r="D433" t="s">
        <v>6185</v>
      </c>
      <c r="E433" s="2">
        <v>3</v>
      </c>
      <c r="F433" s="2" t="str">
        <f>IFERROR(INDEX(customers!B$1:B$1001, MATCH(C433, customers!A$1:A$1001, 0)), "Not Found")</f>
        <v>Witty Ranson</v>
      </c>
      <c r="G433" s="2" t="str">
        <f>IF(IFERROR(INDEX(customers!C$1:C$1001, MATCH(C433, customers!A$1:A$1001, 0)), "Not Found")=0,"",IFERROR(INDEX(customers!C$1:C$1001, MATCH(C433, customers!A$1:A$1001, 0)), "Not Found"))</f>
        <v>wransonbz@ted.com</v>
      </c>
      <c r="H433" s="2" t="str">
        <f>IFERROR(INDEX(customers!G$1:G$1001, MATCH(C433, customers!A$1:A$1001, 0)), "Not Found")</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L433*E433</f>
        <v>83.835000000000008</v>
      </c>
      <c r="N433" t="str">
        <f>IF(I433="Rob","Robusta",IF(I433="Exc","Excelsa",IF(I433="Ara","Arabica",IF(I433="Lib","Laberica",""))))</f>
        <v>Excelsa</v>
      </c>
      <c r="O433" t="str">
        <f t="shared" si="6"/>
        <v>Dark</v>
      </c>
      <c r="P433" t="str">
        <f>INDEX(customers!$I$1:$I$1001, MATCH(Orders[[#This Row],[Customer ID]], customers!$A$1:$A$1001, 0))</f>
        <v>Yes</v>
      </c>
    </row>
    <row r="434" spans="1:16" x14ac:dyDescent="0.25">
      <c r="A434" s="2" t="s">
        <v>2923</v>
      </c>
      <c r="B434" s="3">
        <v>43808</v>
      </c>
      <c r="C434" s="2" t="s">
        <v>2924</v>
      </c>
      <c r="D434" t="s">
        <v>6155</v>
      </c>
      <c r="E434" s="2">
        <v>2</v>
      </c>
      <c r="F434" s="2" t="str">
        <f>IFERROR(INDEX(customers!B$1:B$1001, MATCH(C434, customers!A$1:A$1001, 0)), "Not Found")</f>
        <v>Rod Gowdie</v>
      </c>
      <c r="G434" s="2" t="str">
        <f>IF(IFERROR(INDEX(customers!C$1:C$1001, MATCH(C434, customers!A$1:A$1001, 0)), "Not Found")=0,"",IFERROR(INDEX(customers!C$1:C$1001, MATCH(C434, customers!A$1:A$1001, 0)), "Not Found"))</f>
        <v/>
      </c>
      <c r="H434" s="2" t="str">
        <f>IFERROR(INDEX(customers!G$1:G$1001, MATCH(C434, customers!A$1:A$1001, 0)), "Not Found")</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L434*E434</f>
        <v>22.5</v>
      </c>
      <c r="N434" t="str">
        <f>IF(I434="Rob","Robusta",IF(I434="Exc","Excelsa",IF(I434="Ara","Arabica",IF(I434="Lib","Laberica",""))))</f>
        <v>Arabica</v>
      </c>
      <c r="O434" t="str">
        <f t="shared" si="6"/>
        <v>Medium</v>
      </c>
      <c r="P434" t="str">
        <f>INDEX(customers!$I$1:$I$1001, MATCH(Orders[[#This Row],[Customer ID]], customers!$A$1:$A$1001, 0))</f>
        <v>No</v>
      </c>
    </row>
    <row r="435" spans="1:16" x14ac:dyDescent="0.25">
      <c r="A435" s="2" t="s">
        <v>2928</v>
      </c>
      <c r="B435" s="3">
        <v>44563</v>
      </c>
      <c r="C435" s="2" t="s">
        <v>2929</v>
      </c>
      <c r="D435" t="s">
        <v>6181</v>
      </c>
      <c r="E435" s="2">
        <v>6</v>
      </c>
      <c r="F435" s="2" t="str">
        <f>IFERROR(INDEX(customers!B$1:B$1001, MATCH(C435, customers!A$1:A$1001, 0)), "Not Found")</f>
        <v>Lemuel Rignold</v>
      </c>
      <c r="G435" s="2" t="str">
        <f>IF(IFERROR(INDEX(customers!C$1:C$1001, MATCH(C435, customers!A$1:A$1001, 0)), "Not Found")=0,"",IFERROR(INDEX(customers!C$1:C$1001, MATCH(C435, customers!A$1:A$1001, 0)), "Not Found"))</f>
        <v>lrignoldc1@miibeian.gov.cn</v>
      </c>
      <c r="H435" s="2" t="str">
        <f>IFERROR(INDEX(customers!G$1:G$1001, MATCH(C435, customers!A$1:A$1001, 0)), "Not Found")</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L435*E435</f>
        <v>200.78999999999996</v>
      </c>
      <c r="N435" t="str">
        <f>IF(I435="Rob","Robusta",IF(I435="Exc","Excelsa",IF(I435="Ara","Arabica",IF(I435="Lib","Laberica",""))))</f>
        <v>Laberica</v>
      </c>
      <c r="O435" t="str">
        <f t="shared" si="6"/>
        <v>Medium</v>
      </c>
      <c r="P435" t="str">
        <f>INDEX(customers!$I$1:$I$1001, MATCH(Orders[[#This Row],[Customer ID]], customers!$A$1:$A$1001, 0))</f>
        <v>Yes</v>
      </c>
    </row>
    <row r="436" spans="1:16" x14ac:dyDescent="0.25">
      <c r="A436" s="2" t="s">
        <v>2934</v>
      </c>
      <c r="B436" s="3">
        <v>43807</v>
      </c>
      <c r="C436" s="2" t="s">
        <v>2935</v>
      </c>
      <c r="D436" t="s">
        <v>6155</v>
      </c>
      <c r="E436" s="2">
        <v>6</v>
      </c>
      <c r="F436" s="2" t="str">
        <f>IFERROR(INDEX(customers!B$1:B$1001, MATCH(C436, customers!A$1:A$1001, 0)), "Not Found")</f>
        <v>Nevsa Fields</v>
      </c>
      <c r="G436" s="2" t="str">
        <f>IF(IFERROR(INDEX(customers!C$1:C$1001, MATCH(C436, customers!A$1:A$1001, 0)), "Not Found")=0,"",IFERROR(INDEX(customers!C$1:C$1001, MATCH(C436, customers!A$1:A$1001, 0)), "Not Found"))</f>
        <v/>
      </c>
      <c r="H436" s="2" t="str">
        <f>IFERROR(INDEX(customers!G$1:G$1001, MATCH(C436, customers!A$1:A$1001, 0)), "Not Found")</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L436*E436</f>
        <v>67.5</v>
      </c>
      <c r="N436" t="str">
        <f>IF(I436="Rob","Robusta",IF(I436="Exc","Excelsa",IF(I436="Ara","Arabica",IF(I436="Lib","Laberica",""))))</f>
        <v>Arabica</v>
      </c>
      <c r="O436" t="str">
        <f t="shared" si="6"/>
        <v>Medium</v>
      </c>
      <c r="P436" t="str">
        <f>INDEX(customers!$I$1:$I$1001, MATCH(Orders[[#This Row],[Customer ID]], customers!$A$1:$A$1001, 0))</f>
        <v>No</v>
      </c>
    </row>
    <row r="437" spans="1:16" x14ac:dyDescent="0.25">
      <c r="A437" s="2" t="s">
        <v>2939</v>
      </c>
      <c r="B437" s="3">
        <v>44528</v>
      </c>
      <c r="C437" s="2" t="s">
        <v>2940</v>
      </c>
      <c r="D437" t="s">
        <v>6139</v>
      </c>
      <c r="E437" s="2">
        <v>1</v>
      </c>
      <c r="F437" s="2" t="str">
        <f>IFERROR(INDEX(customers!B$1:B$1001, MATCH(C437, customers!A$1:A$1001, 0)), "Not Found")</f>
        <v>Chance Rowthorn</v>
      </c>
      <c r="G437" s="2" t="str">
        <f>IF(IFERROR(INDEX(customers!C$1:C$1001, MATCH(C437, customers!A$1:A$1001, 0)), "Not Found")=0,"",IFERROR(INDEX(customers!C$1:C$1001, MATCH(C437, customers!A$1:A$1001, 0)), "Not Found"))</f>
        <v>crowthornc3@msn.com</v>
      </c>
      <c r="H437" s="2" t="str">
        <f>IFERROR(INDEX(customers!G$1:G$1001, MATCH(C437, customers!A$1:A$1001, 0)), "Not Found")</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L437*E437</f>
        <v>8.25</v>
      </c>
      <c r="N437" t="str">
        <f>IF(I437="Rob","Robusta",IF(I437="Exc","Excelsa",IF(I437="Ara","Arabica",IF(I437="Lib","Laberica",""))))</f>
        <v>Excelsa</v>
      </c>
      <c r="O437" t="str">
        <f t="shared" si="6"/>
        <v>Medium</v>
      </c>
      <c r="P437" t="str">
        <f>INDEX(customers!$I$1:$I$1001, MATCH(Orders[[#This Row],[Customer ID]], customers!$A$1:$A$1001, 0))</f>
        <v>No</v>
      </c>
    </row>
    <row r="438" spans="1:16" x14ac:dyDescent="0.25">
      <c r="A438" s="2" t="s">
        <v>2945</v>
      </c>
      <c r="B438" s="3">
        <v>44631</v>
      </c>
      <c r="C438" s="2" t="s">
        <v>2946</v>
      </c>
      <c r="D438" t="s">
        <v>6145</v>
      </c>
      <c r="E438" s="2">
        <v>2</v>
      </c>
      <c r="F438" s="2" t="str">
        <f>IFERROR(INDEX(customers!B$1:B$1001, MATCH(C438, customers!A$1:A$1001, 0)), "Not Found")</f>
        <v>Orly Ryland</v>
      </c>
      <c r="G438" s="2" t="str">
        <f>IF(IFERROR(INDEX(customers!C$1:C$1001, MATCH(C438, customers!A$1:A$1001, 0)), "Not Found")=0,"",IFERROR(INDEX(customers!C$1:C$1001, MATCH(C438, customers!A$1:A$1001, 0)), "Not Found"))</f>
        <v>orylandc4@deviantart.com</v>
      </c>
      <c r="H438" s="2" t="str">
        <f>IFERROR(INDEX(customers!G$1:G$1001, MATCH(C438, customers!A$1:A$1001, 0)), "Not Found")</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L438*E438</f>
        <v>9.51</v>
      </c>
      <c r="N438" t="str">
        <f>IF(I438="Rob","Robusta",IF(I438="Exc","Excelsa",IF(I438="Ara","Arabica",IF(I438="Lib","Laberica",""))))</f>
        <v>Laberica</v>
      </c>
      <c r="O438" t="str">
        <f t="shared" si="6"/>
        <v>Light</v>
      </c>
      <c r="P438" t="str">
        <f>INDEX(customers!$I$1:$I$1001, MATCH(Orders[[#This Row],[Customer ID]], customers!$A$1:$A$1001, 0))</f>
        <v>Yes</v>
      </c>
    </row>
    <row r="439" spans="1:16" x14ac:dyDescent="0.25">
      <c r="A439" s="2" t="s">
        <v>2951</v>
      </c>
      <c r="B439" s="3">
        <v>44213</v>
      </c>
      <c r="C439" s="2" t="s">
        <v>2952</v>
      </c>
      <c r="D439" t="s">
        <v>6165</v>
      </c>
      <c r="E439" s="2">
        <v>1</v>
      </c>
      <c r="F439" s="2" t="str">
        <f>IFERROR(INDEX(customers!B$1:B$1001, MATCH(C439, customers!A$1:A$1001, 0)), "Not Found")</f>
        <v>Willabella Abramski</v>
      </c>
      <c r="G439" s="2" t="str">
        <f>IF(IFERROR(INDEX(customers!C$1:C$1001, MATCH(C439, customers!A$1:A$1001, 0)), "Not Found")=0,"",IFERROR(INDEX(customers!C$1:C$1001, MATCH(C439, customers!A$1:A$1001, 0)), "Not Found"))</f>
        <v/>
      </c>
      <c r="H439" s="2" t="str">
        <f>IFERROR(INDEX(customers!G$1:G$1001, MATCH(C439, customers!A$1:A$1001, 0)), "Not Found")</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L439*E439</f>
        <v>29.784999999999997</v>
      </c>
      <c r="N439" t="str">
        <f>IF(I439="Rob","Robusta",IF(I439="Exc","Excelsa",IF(I439="Ara","Arabica",IF(I439="Lib","Laberica",""))))</f>
        <v>Laberica</v>
      </c>
      <c r="O439" t="str">
        <f t="shared" si="6"/>
        <v>Dark</v>
      </c>
      <c r="P439" t="str">
        <f>INDEX(customers!$I$1:$I$1001, MATCH(Orders[[#This Row],[Customer ID]], customers!$A$1:$A$1001, 0))</f>
        <v>No</v>
      </c>
    </row>
    <row r="440" spans="1:16" x14ac:dyDescent="0.25">
      <c r="A440" s="2" t="s">
        <v>2956</v>
      </c>
      <c r="B440" s="3">
        <v>43483</v>
      </c>
      <c r="C440" s="2" t="s">
        <v>3042</v>
      </c>
      <c r="D440" t="s">
        <v>6169</v>
      </c>
      <c r="E440" s="2">
        <v>2</v>
      </c>
      <c r="F440" s="2" t="str">
        <f>IFERROR(INDEX(customers!B$1:B$1001, MATCH(C440, customers!A$1:A$1001, 0)), "Not Found")</f>
        <v>Morgen Seson</v>
      </c>
      <c r="G440" s="2" t="str">
        <f>IF(IFERROR(INDEX(customers!C$1:C$1001, MATCH(C440, customers!A$1:A$1001, 0)), "Not Found")=0,"",IFERROR(INDEX(customers!C$1:C$1001, MATCH(C440, customers!A$1:A$1001, 0)), "Not Found"))</f>
        <v>msesonck@census.gov</v>
      </c>
      <c r="H440" s="2" t="str">
        <f>IFERROR(INDEX(customers!G$1:G$1001, MATCH(C440, customers!A$1:A$1001, 0)), "Not Found")</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L440*E440</f>
        <v>15.54</v>
      </c>
      <c r="N440" t="str">
        <f>IF(I440="Rob","Robusta",IF(I440="Exc","Excelsa",IF(I440="Ara","Arabica",IF(I440="Lib","Laberica",""))))</f>
        <v>Laberica</v>
      </c>
      <c r="O440" t="str">
        <f t="shared" si="6"/>
        <v>Dark</v>
      </c>
      <c r="P440" t="str">
        <f>INDEX(customers!$I$1:$I$1001, MATCH(Orders[[#This Row],[Customer ID]], customers!$A$1:$A$1001, 0))</f>
        <v>No</v>
      </c>
    </row>
    <row r="441" spans="1:16" x14ac:dyDescent="0.25">
      <c r="A441" s="2" t="s">
        <v>2962</v>
      </c>
      <c r="B441" s="3">
        <v>43562</v>
      </c>
      <c r="C441" s="2" t="s">
        <v>2963</v>
      </c>
      <c r="D441" t="s">
        <v>6176</v>
      </c>
      <c r="E441" s="2">
        <v>4</v>
      </c>
      <c r="F441" s="2" t="str">
        <f>IFERROR(INDEX(customers!B$1:B$1001, MATCH(C441, customers!A$1:A$1001, 0)), "Not Found")</f>
        <v>Chickie Ragless</v>
      </c>
      <c r="G441" s="2" t="str">
        <f>IF(IFERROR(INDEX(customers!C$1:C$1001, MATCH(C441, customers!A$1:A$1001, 0)), "Not Found")=0,"",IFERROR(INDEX(customers!C$1:C$1001, MATCH(C441, customers!A$1:A$1001, 0)), "Not Found"))</f>
        <v>craglessc7@webmd.com</v>
      </c>
      <c r="H441" s="2" t="str">
        <f>IFERROR(INDEX(customers!G$1:G$1001, MATCH(C441, customers!A$1:A$1001, 0)), "Not Found")</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L441*E441</f>
        <v>35.64</v>
      </c>
      <c r="N441" t="str">
        <f>IF(I441="Rob","Robusta",IF(I441="Exc","Excelsa",IF(I441="Ara","Arabica",IF(I441="Lib","Laberica",""))))</f>
        <v>Excelsa</v>
      </c>
      <c r="O441" t="str">
        <f t="shared" si="6"/>
        <v>Light</v>
      </c>
      <c r="P441" t="str">
        <f>INDEX(customers!$I$1:$I$1001, MATCH(Orders[[#This Row],[Customer ID]], customers!$A$1:$A$1001, 0))</f>
        <v>No</v>
      </c>
    </row>
    <row r="442" spans="1:16" x14ac:dyDescent="0.25">
      <c r="A442" s="2" t="s">
        <v>2968</v>
      </c>
      <c r="B442" s="3">
        <v>44230</v>
      </c>
      <c r="C442" s="2" t="s">
        <v>2969</v>
      </c>
      <c r="D442" t="s">
        <v>6175</v>
      </c>
      <c r="E442" s="2">
        <v>4</v>
      </c>
      <c r="F442" s="2" t="str">
        <f>IFERROR(INDEX(customers!B$1:B$1001, MATCH(C442, customers!A$1:A$1001, 0)), "Not Found")</f>
        <v>Freda Hollows</v>
      </c>
      <c r="G442" s="2" t="str">
        <f>IF(IFERROR(INDEX(customers!C$1:C$1001, MATCH(C442, customers!A$1:A$1001, 0)), "Not Found")=0,"",IFERROR(INDEX(customers!C$1:C$1001, MATCH(C442, customers!A$1:A$1001, 0)), "Not Found"))</f>
        <v>fhollowsc8@blogtalkradio.com</v>
      </c>
      <c r="H442" s="2" t="str">
        <f>IFERROR(INDEX(customers!G$1:G$1001, MATCH(C442, customers!A$1:A$1001, 0)), "Not Found")</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L442*E442</f>
        <v>103.49999999999999</v>
      </c>
      <c r="N442" t="str">
        <f>IF(I442="Rob","Robusta",IF(I442="Exc","Excelsa",IF(I442="Ara","Arabica",IF(I442="Lib","Laberica",""))))</f>
        <v>Arabica</v>
      </c>
      <c r="O442" t="str">
        <f t="shared" si="6"/>
        <v>Medium</v>
      </c>
      <c r="P442" t="str">
        <f>INDEX(customers!$I$1:$I$1001, MATCH(Orders[[#This Row],[Customer ID]], customers!$A$1:$A$1001, 0))</f>
        <v>Yes</v>
      </c>
    </row>
    <row r="443" spans="1:16" x14ac:dyDescent="0.25">
      <c r="A443" s="2" t="s">
        <v>2974</v>
      </c>
      <c r="B443" s="3">
        <v>43573</v>
      </c>
      <c r="C443" s="2" t="s">
        <v>2975</v>
      </c>
      <c r="D443" t="s">
        <v>6183</v>
      </c>
      <c r="E443" s="2">
        <v>3</v>
      </c>
      <c r="F443" s="2" t="str">
        <f>IFERROR(INDEX(customers!B$1:B$1001, MATCH(C443, customers!A$1:A$1001, 0)), "Not Found")</f>
        <v>Livy Lathleiff</v>
      </c>
      <c r="G443" s="2" t="str">
        <f>IF(IFERROR(INDEX(customers!C$1:C$1001, MATCH(C443, customers!A$1:A$1001, 0)), "Not Found")=0,"",IFERROR(INDEX(customers!C$1:C$1001, MATCH(C443, customers!A$1:A$1001, 0)), "Not Found"))</f>
        <v>llathleiffc9@nationalgeographic.com</v>
      </c>
      <c r="H443" s="2" t="str">
        <f>IFERROR(INDEX(customers!G$1:G$1001, MATCH(C443, customers!A$1:A$1001, 0)), "Not Found")</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L443*E443</f>
        <v>36.450000000000003</v>
      </c>
      <c r="N443" t="str">
        <f>IF(I443="Rob","Robusta",IF(I443="Exc","Excelsa",IF(I443="Ara","Arabica",IF(I443="Lib","Laberica",""))))</f>
        <v>Excelsa</v>
      </c>
      <c r="O443" t="str">
        <f t="shared" si="6"/>
        <v>Dark</v>
      </c>
      <c r="P443" t="str">
        <f>INDEX(customers!$I$1:$I$1001, MATCH(Orders[[#This Row],[Customer ID]], customers!$A$1:$A$1001, 0))</f>
        <v>Yes</v>
      </c>
    </row>
    <row r="444" spans="1:16" x14ac:dyDescent="0.25">
      <c r="A444" s="2" t="s">
        <v>2980</v>
      </c>
      <c r="B444" s="3">
        <v>44384</v>
      </c>
      <c r="C444" s="2" t="s">
        <v>2981</v>
      </c>
      <c r="D444" t="s">
        <v>6173</v>
      </c>
      <c r="E444" s="2">
        <v>5</v>
      </c>
      <c r="F444" s="2" t="str">
        <f>IFERROR(INDEX(customers!B$1:B$1001, MATCH(C444, customers!A$1:A$1001, 0)), "Not Found")</f>
        <v>Koralle Heads</v>
      </c>
      <c r="G444" s="2" t="str">
        <f>IF(IFERROR(INDEX(customers!C$1:C$1001, MATCH(C444, customers!A$1:A$1001, 0)), "Not Found")=0,"",IFERROR(INDEX(customers!C$1:C$1001, MATCH(C444, customers!A$1:A$1001, 0)), "Not Found"))</f>
        <v>kheadsca@jalbum.net</v>
      </c>
      <c r="H444" s="2" t="str">
        <f>IFERROR(INDEX(customers!G$1:G$1001, MATCH(C444, customers!A$1:A$1001, 0)), "Not Found")</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L444*E444</f>
        <v>35.849999999999994</v>
      </c>
      <c r="N444" t="str">
        <f>IF(I444="Rob","Robusta",IF(I444="Exc","Excelsa",IF(I444="Ara","Arabica",IF(I444="Lib","Laberica",""))))</f>
        <v>Robusta</v>
      </c>
      <c r="O444" t="str">
        <f t="shared" si="6"/>
        <v>Light</v>
      </c>
      <c r="P444" t="str">
        <f>INDEX(customers!$I$1:$I$1001, MATCH(Orders[[#This Row],[Customer ID]], customers!$A$1:$A$1001, 0))</f>
        <v>No</v>
      </c>
    </row>
    <row r="445" spans="1:16" x14ac:dyDescent="0.25">
      <c r="A445" s="2" t="s">
        <v>2986</v>
      </c>
      <c r="B445" s="3">
        <v>44250</v>
      </c>
      <c r="C445" s="2" t="s">
        <v>2987</v>
      </c>
      <c r="D445" t="s">
        <v>6184</v>
      </c>
      <c r="E445" s="2">
        <v>5</v>
      </c>
      <c r="F445" s="2" t="str">
        <f>IFERROR(INDEX(customers!B$1:B$1001, MATCH(C445, customers!A$1:A$1001, 0)), "Not Found")</f>
        <v>Theo Bowne</v>
      </c>
      <c r="G445" s="2" t="str">
        <f>IF(IFERROR(INDEX(customers!C$1:C$1001, MATCH(C445, customers!A$1:A$1001, 0)), "Not Found")=0,"",IFERROR(INDEX(customers!C$1:C$1001, MATCH(C445, customers!A$1:A$1001, 0)), "Not Found"))</f>
        <v>tbownecb@unicef.org</v>
      </c>
      <c r="H445" s="2" t="str">
        <f>IFERROR(INDEX(customers!G$1:G$1001, MATCH(C445, customers!A$1:A$1001, 0)), "Not Found")</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L445*E445</f>
        <v>22.274999999999999</v>
      </c>
      <c r="N445" t="str">
        <f>IF(I445="Rob","Robusta",IF(I445="Exc","Excelsa",IF(I445="Ara","Arabica",IF(I445="Lib","Laberica",""))))</f>
        <v>Excelsa</v>
      </c>
      <c r="O445" t="str">
        <f t="shared" si="6"/>
        <v>Light</v>
      </c>
      <c r="P445" t="str">
        <f>INDEX(customers!$I$1:$I$1001, MATCH(Orders[[#This Row],[Customer ID]], customers!$A$1:$A$1001, 0))</f>
        <v>Yes</v>
      </c>
    </row>
    <row r="446" spans="1:16" x14ac:dyDescent="0.25">
      <c r="A446" s="2" t="s">
        <v>2992</v>
      </c>
      <c r="B446" s="3">
        <v>44418</v>
      </c>
      <c r="C446" s="2" t="s">
        <v>2993</v>
      </c>
      <c r="D446" t="s">
        <v>6156</v>
      </c>
      <c r="E446" s="2">
        <v>6</v>
      </c>
      <c r="F446" s="2" t="str">
        <f>IFERROR(INDEX(customers!B$1:B$1001, MATCH(C446, customers!A$1:A$1001, 0)), "Not Found")</f>
        <v>Rasia Jacquemard</v>
      </c>
      <c r="G446" s="2" t="str">
        <f>IF(IFERROR(INDEX(customers!C$1:C$1001, MATCH(C446, customers!A$1:A$1001, 0)), "Not Found")=0,"",IFERROR(INDEX(customers!C$1:C$1001, MATCH(C446, customers!A$1:A$1001, 0)), "Not Found"))</f>
        <v>rjacquemardcc@acquirethisname.com</v>
      </c>
      <c r="H446" s="2" t="str">
        <f>IFERROR(INDEX(customers!G$1:G$1001, MATCH(C446, customers!A$1:A$1001, 0)), "Not Found")</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L446*E446</f>
        <v>24.75</v>
      </c>
      <c r="N446" t="str">
        <f>IF(I446="Rob","Robusta",IF(I446="Exc","Excelsa",IF(I446="Ara","Arabica",IF(I446="Lib","Laberica",""))))</f>
        <v>Excelsa</v>
      </c>
      <c r="O446" t="str">
        <f t="shared" si="6"/>
        <v>Medium</v>
      </c>
      <c r="P446" t="str">
        <f>INDEX(customers!$I$1:$I$1001, MATCH(Orders[[#This Row],[Customer ID]], customers!$A$1:$A$1001, 0))</f>
        <v>No</v>
      </c>
    </row>
    <row r="447" spans="1:16" x14ac:dyDescent="0.25">
      <c r="A447" s="2" t="s">
        <v>2999</v>
      </c>
      <c r="B447" s="3">
        <v>43784</v>
      </c>
      <c r="C447" s="2" t="s">
        <v>3000</v>
      </c>
      <c r="D447" t="s">
        <v>6181</v>
      </c>
      <c r="E447" s="2">
        <v>2</v>
      </c>
      <c r="F447" s="2" t="str">
        <f>IFERROR(INDEX(customers!B$1:B$1001, MATCH(C447, customers!A$1:A$1001, 0)), "Not Found")</f>
        <v>Kizzie Warman</v>
      </c>
      <c r="G447" s="2" t="str">
        <f>IF(IFERROR(INDEX(customers!C$1:C$1001, MATCH(C447, customers!A$1:A$1001, 0)), "Not Found")=0,"",IFERROR(INDEX(customers!C$1:C$1001, MATCH(C447, customers!A$1:A$1001, 0)), "Not Found"))</f>
        <v>kwarmancd@printfriendly.com</v>
      </c>
      <c r="H447" s="2" t="str">
        <f>IFERROR(INDEX(customers!G$1:G$1001, MATCH(C447, customers!A$1:A$1001, 0)), "Not Found")</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L447*E447</f>
        <v>66.929999999999993</v>
      </c>
      <c r="N447" t="str">
        <f>IF(I447="Rob","Robusta",IF(I447="Exc","Excelsa",IF(I447="Ara","Arabica",IF(I447="Lib","Laberica",""))))</f>
        <v>Laberica</v>
      </c>
      <c r="O447" t="str">
        <f t="shared" si="6"/>
        <v>Medium</v>
      </c>
      <c r="P447" t="str">
        <f>INDEX(customers!$I$1:$I$1001, MATCH(Orders[[#This Row],[Customer ID]], customers!$A$1:$A$1001, 0))</f>
        <v>Yes</v>
      </c>
    </row>
    <row r="448" spans="1:16" x14ac:dyDescent="0.25">
      <c r="A448" s="2" t="s">
        <v>3004</v>
      </c>
      <c r="B448" s="3">
        <v>43816</v>
      </c>
      <c r="C448" s="2" t="s">
        <v>3005</v>
      </c>
      <c r="D448" t="s">
        <v>6160</v>
      </c>
      <c r="E448" s="2">
        <v>1</v>
      </c>
      <c r="F448" s="2" t="str">
        <f>IFERROR(INDEX(customers!B$1:B$1001, MATCH(C448, customers!A$1:A$1001, 0)), "Not Found")</f>
        <v>Wain Cholomin</v>
      </c>
      <c r="G448" s="2" t="str">
        <f>IF(IFERROR(INDEX(customers!C$1:C$1001, MATCH(C448, customers!A$1:A$1001, 0)), "Not Found")=0,"",IFERROR(INDEX(customers!C$1:C$1001, MATCH(C448, customers!A$1:A$1001, 0)), "Not Found"))</f>
        <v>wcholomince@about.com</v>
      </c>
      <c r="H448" s="2" t="str">
        <f>IFERROR(INDEX(customers!G$1:G$1001, MATCH(C448, customers!A$1:A$1001, 0)), "Not Found")</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L448*E448</f>
        <v>8.73</v>
      </c>
      <c r="N448" t="str">
        <f>IF(I448="Rob","Robusta",IF(I448="Exc","Excelsa",IF(I448="Ara","Arabica",IF(I448="Lib","Laberica",""))))</f>
        <v>Laberica</v>
      </c>
      <c r="O448" t="str">
        <f t="shared" si="6"/>
        <v>Medium</v>
      </c>
      <c r="P448" t="str">
        <f>INDEX(customers!$I$1:$I$1001, MATCH(Orders[[#This Row],[Customer ID]], customers!$A$1:$A$1001, 0))</f>
        <v>Yes</v>
      </c>
    </row>
    <row r="449" spans="1:16" x14ac:dyDescent="0.25">
      <c r="A449" s="2" t="s">
        <v>3010</v>
      </c>
      <c r="B449" s="3">
        <v>43908</v>
      </c>
      <c r="C449" s="2" t="s">
        <v>3011</v>
      </c>
      <c r="D449" t="s">
        <v>6146</v>
      </c>
      <c r="E449" s="2">
        <v>3</v>
      </c>
      <c r="F449" s="2" t="str">
        <f>IFERROR(INDEX(customers!B$1:B$1001, MATCH(C449, customers!A$1:A$1001, 0)), "Not Found")</f>
        <v>Arleen Braidman</v>
      </c>
      <c r="G449" s="2" t="str">
        <f>IF(IFERROR(INDEX(customers!C$1:C$1001, MATCH(C449, customers!A$1:A$1001, 0)), "Not Found")=0,"",IFERROR(INDEX(customers!C$1:C$1001, MATCH(C449, customers!A$1:A$1001, 0)), "Not Found"))</f>
        <v>abraidmancf@census.gov</v>
      </c>
      <c r="H449" s="2" t="str">
        <f>IFERROR(INDEX(customers!G$1:G$1001, MATCH(C449, customers!A$1:A$1001, 0)), "Not Found")</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L449*E449</f>
        <v>17.91</v>
      </c>
      <c r="N449" t="str">
        <f>IF(I449="Rob","Robusta",IF(I449="Exc","Excelsa",IF(I449="Ara","Arabica",IF(I449="Lib","Laberica",""))))</f>
        <v>Robusta</v>
      </c>
      <c r="O449" t="str">
        <f t="shared" si="6"/>
        <v>Medium</v>
      </c>
      <c r="P449" t="str">
        <f>INDEX(customers!$I$1:$I$1001, MATCH(Orders[[#This Row],[Customer ID]], customers!$A$1:$A$1001, 0))</f>
        <v>No</v>
      </c>
    </row>
    <row r="450" spans="1:16" x14ac:dyDescent="0.25">
      <c r="A450" s="2" t="s">
        <v>3015</v>
      </c>
      <c r="B450" s="3">
        <v>44718</v>
      </c>
      <c r="C450" s="2" t="s">
        <v>3016</v>
      </c>
      <c r="D450" t="s">
        <v>6173</v>
      </c>
      <c r="E450" s="2">
        <v>1</v>
      </c>
      <c r="F450" s="2" t="str">
        <f>IFERROR(INDEX(customers!B$1:B$1001, MATCH(C450, customers!A$1:A$1001, 0)), "Not Found")</f>
        <v>Pru Durban</v>
      </c>
      <c r="G450" s="2" t="str">
        <f>IF(IFERROR(INDEX(customers!C$1:C$1001, MATCH(C450, customers!A$1:A$1001, 0)), "Not Found")=0,"",IFERROR(INDEX(customers!C$1:C$1001, MATCH(C450, customers!A$1:A$1001, 0)), "Not Found"))</f>
        <v>pdurbancg@symantec.com</v>
      </c>
      <c r="H450" s="2" t="str">
        <f>IFERROR(INDEX(customers!G$1:G$1001, MATCH(C450, customers!A$1:A$1001, 0)), "Not Found")</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L450*E450</f>
        <v>7.169999999999999</v>
      </c>
      <c r="N450" t="str">
        <f>IF(I450="Rob","Robusta",IF(I450="Exc","Excelsa",IF(I450="Ara","Arabica",IF(I450="Lib","Laberica",""))))</f>
        <v>Robusta</v>
      </c>
      <c r="O450" t="str">
        <f t="shared" si="6"/>
        <v>Light</v>
      </c>
      <c r="P450" t="str">
        <f>INDEX(customers!$I$1:$I$1001, MATCH(Orders[[#This Row],[Customer ID]], customers!$A$1:$A$1001, 0))</f>
        <v>No</v>
      </c>
    </row>
    <row r="451" spans="1:16" x14ac:dyDescent="0.25">
      <c r="A451" s="2" t="s">
        <v>3021</v>
      </c>
      <c r="B451" s="3">
        <v>44336</v>
      </c>
      <c r="C451" s="2" t="s">
        <v>3022</v>
      </c>
      <c r="D451" t="s">
        <v>6163</v>
      </c>
      <c r="E451" s="2">
        <v>2</v>
      </c>
      <c r="F451" s="2" t="str">
        <f>IFERROR(INDEX(customers!B$1:B$1001, MATCH(C451, customers!A$1:A$1001, 0)), "Not Found")</f>
        <v>Antone Harrold</v>
      </c>
      <c r="G451" s="2" t="str">
        <f>IF(IFERROR(INDEX(customers!C$1:C$1001, MATCH(C451, customers!A$1:A$1001, 0)), "Not Found")=0,"",IFERROR(INDEX(customers!C$1:C$1001, MATCH(C451, customers!A$1:A$1001, 0)), "Not Found"))</f>
        <v>aharroldch@miibeian.gov.cn</v>
      </c>
      <c r="H451" s="2" t="str">
        <f>IFERROR(INDEX(customers!G$1:G$1001, MATCH(C451, customers!A$1:A$1001, 0)), "Not Found")</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L451*E451</f>
        <v>5.3699999999999992</v>
      </c>
      <c r="N451" t="str">
        <f>IF(I451="Rob","Robusta",IF(I451="Exc","Excelsa",IF(I451="Ara","Arabica",IF(I451="Lib","Laberica",""))))</f>
        <v>Robusta</v>
      </c>
      <c r="O451" t="str">
        <f t="shared" ref="O451:O514" si="7">IF(J451="M","Medium",IF(J451="L","Light",IF(J451="D","Dark","")))</f>
        <v>Dark</v>
      </c>
      <c r="P451" t="str">
        <f>INDEX(customers!$I$1:$I$1001, MATCH(Orders[[#This Row],[Customer ID]], customers!$A$1:$A$1001, 0))</f>
        <v>No</v>
      </c>
    </row>
    <row r="452" spans="1:16" x14ac:dyDescent="0.25">
      <c r="A452" s="2" t="s">
        <v>3027</v>
      </c>
      <c r="B452" s="3">
        <v>44207</v>
      </c>
      <c r="C452" s="2" t="s">
        <v>3028</v>
      </c>
      <c r="D452" t="s">
        <v>6145</v>
      </c>
      <c r="E452" s="2">
        <v>5</v>
      </c>
      <c r="F452" s="2" t="str">
        <f>IFERROR(INDEX(customers!B$1:B$1001, MATCH(C452, customers!A$1:A$1001, 0)), "Not Found")</f>
        <v>Sim Pamphilon</v>
      </c>
      <c r="G452" s="2" t="str">
        <f>IF(IFERROR(INDEX(customers!C$1:C$1001, MATCH(C452, customers!A$1:A$1001, 0)), "Not Found")=0,"",IFERROR(INDEX(customers!C$1:C$1001, MATCH(C452, customers!A$1:A$1001, 0)), "Not Found"))</f>
        <v>spamphilonci@mlb.com</v>
      </c>
      <c r="H452" s="2" t="str">
        <f>IFERROR(INDEX(customers!G$1:G$1001, MATCH(C452, customers!A$1:A$1001, 0)), "Not Found")</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L452*E452</f>
        <v>23.774999999999999</v>
      </c>
      <c r="N452" t="str">
        <f>IF(I452="Rob","Robusta",IF(I452="Exc","Excelsa",IF(I452="Ara","Arabica",IF(I452="Lib","Laberica",""))))</f>
        <v>Laberica</v>
      </c>
      <c r="O452" t="str">
        <f t="shared" si="7"/>
        <v>Light</v>
      </c>
      <c r="P452" t="str">
        <f>INDEX(customers!$I$1:$I$1001, MATCH(Orders[[#This Row],[Customer ID]], customers!$A$1:$A$1001, 0))</f>
        <v>No</v>
      </c>
    </row>
    <row r="453" spans="1:16" x14ac:dyDescent="0.25">
      <c r="A453" s="2" t="s">
        <v>3035</v>
      </c>
      <c r="B453" s="3">
        <v>43518</v>
      </c>
      <c r="C453" s="2" t="s">
        <v>3036</v>
      </c>
      <c r="D453" t="s">
        <v>6149</v>
      </c>
      <c r="E453" s="2">
        <v>2</v>
      </c>
      <c r="F453" s="2" t="str">
        <f>IFERROR(INDEX(customers!B$1:B$1001, MATCH(C453, customers!A$1:A$1001, 0)), "Not Found")</f>
        <v>Mohandis Spurden</v>
      </c>
      <c r="G453" s="2" t="str">
        <f>IF(IFERROR(INDEX(customers!C$1:C$1001, MATCH(C453, customers!A$1:A$1001, 0)), "Not Found")=0,"",IFERROR(INDEX(customers!C$1:C$1001, MATCH(C453, customers!A$1:A$1001, 0)), "Not Found"))</f>
        <v>mspurdencj@exblog.jp</v>
      </c>
      <c r="H453" s="2" t="str">
        <f>IFERROR(INDEX(customers!G$1:G$1001, MATCH(C453, customers!A$1:A$1001, 0)), "Not Found")</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L453*E453</f>
        <v>41.169999999999995</v>
      </c>
      <c r="N453" t="str">
        <f>IF(I453="Rob","Robusta",IF(I453="Exc","Excelsa",IF(I453="Ara","Arabica",IF(I453="Lib","Laberica",""))))</f>
        <v>Robusta</v>
      </c>
      <c r="O453" t="str">
        <f t="shared" si="7"/>
        <v>Dark</v>
      </c>
      <c r="P453" t="str">
        <f>INDEX(customers!$I$1:$I$1001, MATCH(Orders[[#This Row],[Customer ID]], customers!$A$1:$A$1001, 0))</f>
        <v>Yes</v>
      </c>
    </row>
    <row r="454" spans="1:16" x14ac:dyDescent="0.25">
      <c r="A454" s="2" t="s">
        <v>3041</v>
      </c>
      <c r="B454" s="3">
        <v>44524</v>
      </c>
      <c r="C454" s="2" t="s">
        <v>3042</v>
      </c>
      <c r="D454" t="s">
        <v>6167</v>
      </c>
      <c r="E454" s="2">
        <v>3</v>
      </c>
      <c r="F454" s="2" t="str">
        <f>IFERROR(INDEX(customers!B$1:B$1001, MATCH(C454, customers!A$1:A$1001, 0)), "Not Found")</f>
        <v>Morgen Seson</v>
      </c>
      <c r="G454" s="2" t="str">
        <f>IF(IFERROR(INDEX(customers!C$1:C$1001, MATCH(C454, customers!A$1:A$1001, 0)), "Not Found")=0,"",IFERROR(INDEX(customers!C$1:C$1001, MATCH(C454, customers!A$1:A$1001, 0)), "Not Found"))</f>
        <v>msesonck@census.gov</v>
      </c>
      <c r="H454" s="2" t="str">
        <f>IFERROR(INDEX(customers!G$1:G$1001, MATCH(C454, customers!A$1:A$1001, 0)), "Not Found")</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L454*E454</f>
        <v>11.654999999999999</v>
      </c>
      <c r="N454" t="str">
        <f>IF(I454="Rob","Robusta",IF(I454="Exc","Excelsa",IF(I454="Ara","Arabica",IF(I454="Lib","Laberica",""))))</f>
        <v>Arabica</v>
      </c>
      <c r="O454" t="str">
        <f t="shared" si="7"/>
        <v>Light</v>
      </c>
      <c r="P454" t="str">
        <f>INDEX(customers!$I$1:$I$1001, MATCH(Orders[[#This Row],[Customer ID]], customers!$A$1:$A$1001, 0))</f>
        <v>No</v>
      </c>
    </row>
    <row r="455" spans="1:16" x14ac:dyDescent="0.25">
      <c r="A455" s="2" t="s">
        <v>3047</v>
      </c>
      <c r="B455" s="3">
        <v>44579</v>
      </c>
      <c r="C455" s="2" t="s">
        <v>3048</v>
      </c>
      <c r="D455" t="s">
        <v>6161</v>
      </c>
      <c r="E455" s="2">
        <v>4</v>
      </c>
      <c r="F455" s="2" t="str">
        <f>IFERROR(INDEX(customers!B$1:B$1001, MATCH(C455, customers!A$1:A$1001, 0)), "Not Found")</f>
        <v>Nalani Pirrone</v>
      </c>
      <c r="G455" s="2" t="str">
        <f>IF(IFERROR(INDEX(customers!C$1:C$1001, MATCH(C455, customers!A$1:A$1001, 0)), "Not Found")=0,"",IFERROR(INDEX(customers!C$1:C$1001, MATCH(C455, customers!A$1:A$1001, 0)), "Not Found"))</f>
        <v>npirronecl@weibo.com</v>
      </c>
      <c r="H455" s="2" t="str">
        <f>IFERROR(INDEX(customers!G$1:G$1001, MATCH(C455, customers!A$1:A$1001, 0)), "Not Found")</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L455*E455</f>
        <v>38.04</v>
      </c>
      <c r="N455" t="str">
        <f>IF(I455="Rob","Robusta",IF(I455="Exc","Excelsa",IF(I455="Ara","Arabica",IF(I455="Lib","Laberica",""))))</f>
        <v>Laberica</v>
      </c>
      <c r="O455" t="str">
        <f t="shared" si="7"/>
        <v>Light</v>
      </c>
      <c r="P455" t="str">
        <f>INDEX(customers!$I$1:$I$1001, MATCH(Orders[[#This Row],[Customer ID]], customers!$A$1:$A$1001, 0))</f>
        <v>No</v>
      </c>
    </row>
    <row r="456" spans="1:16" x14ac:dyDescent="0.25">
      <c r="A456" s="2" t="s">
        <v>3053</v>
      </c>
      <c r="B456" s="3">
        <v>44421</v>
      </c>
      <c r="C456" s="2" t="s">
        <v>3054</v>
      </c>
      <c r="D456" t="s">
        <v>6149</v>
      </c>
      <c r="E456" s="2">
        <v>4</v>
      </c>
      <c r="F456" s="2" t="str">
        <f>IFERROR(INDEX(customers!B$1:B$1001, MATCH(C456, customers!A$1:A$1001, 0)), "Not Found")</f>
        <v>Reube Cawley</v>
      </c>
      <c r="G456" s="2" t="str">
        <f>IF(IFERROR(INDEX(customers!C$1:C$1001, MATCH(C456, customers!A$1:A$1001, 0)), "Not Found")=0,"",IFERROR(INDEX(customers!C$1:C$1001, MATCH(C456, customers!A$1:A$1001, 0)), "Not Found"))</f>
        <v>rcawleycm@yellowbook.com</v>
      </c>
      <c r="H456" s="2" t="str">
        <f>IFERROR(INDEX(customers!G$1:G$1001, MATCH(C456, customers!A$1:A$1001, 0)), "Not Found")</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L456*E456</f>
        <v>82.339999999999989</v>
      </c>
      <c r="N456" t="str">
        <f>IF(I456="Rob","Robusta",IF(I456="Exc","Excelsa",IF(I456="Ara","Arabica",IF(I456="Lib","Laberica",""))))</f>
        <v>Robusta</v>
      </c>
      <c r="O456" t="str">
        <f t="shared" si="7"/>
        <v>Dark</v>
      </c>
      <c r="P456" t="str">
        <f>INDEX(customers!$I$1:$I$1001, MATCH(Orders[[#This Row],[Customer ID]], customers!$A$1:$A$1001, 0))</f>
        <v>Yes</v>
      </c>
    </row>
    <row r="457" spans="1:16" x14ac:dyDescent="0.25">
      <c r="A457" s="2" t="s">
        <v>3058</v>
      </c>
      <c r="B457" s="3">
        <v>43841</v>
      </c>
      <c r="C457" s="2" t="s">
        <v>3059</v>
      </c>
      <c r="D457" t="s">
        <v>6145</v>
      </c>
      <c r="E457" s="2">
        <v>2</v>
      </c>
      <c r="F457" s="2" t="str">
        <f>IFERROR(INDEX(customers!B$1:B$1001, MATCH(C457, customers!A$1:A$1001, 0)), "Not Found")</f>
        <v>Stan Barribal</v>
      </c>
      <c r="G457" s="2" t="str">
        <f>IF(IFERROR(INDEX(customers!C$1:C$1001, MATCH(C457, customers!A$1:A$1001, 0)), "Not Found")=0,"",IFERROR(INDEX(customers!C$1:C$1001, MATCH(C457, customers!A$1:A$1001, 0)), "Not Found"))</f>
        <v>sbarribalcn@microsoft.com</v>
      </c>
      <c r="H457" s="2" t="str">
        <f>IFERROR(INDEX(customers!G$1:G$1001, MATCH(C457, customers!A$1:A$1001, 0)), "Not Found")</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L457*E457</f>
        <v>9.51</v>
      </c>
      <c r="N457" t="str">
        <f>IF(I457="Rob","Robusta",IF(I457="Exc","Excelsa",IF(I457="Ara","Arabica",IF(I457="Lib","Laberica",""))))</f>
        <v>Laberica</v>
      </c>
      <c r="O457" t="str">
        <f t="shared" si="7"/>
        <v>Light</v>
      </c>
      <c r="P457" t="str">
        <f>INDEX(customers!$I$1:$I$1001, MATCH(Orders[[#This Row],[Customer ID]], customers!$A$1:$A$1001, 0))</f>
        <v>Yes</v>
      </c>
    </row>
    <row r="458" spans="1:16" x14ac:dyDescent="0.25">
      <c r="A458" s="2" t="s">
        <v>3064</v>
      </c>
      <c r="B458" s="3">
        <v>44017</v>
      </c>
      <c r="C458" s="2" t="s">
        <v>3065</v>
      </c>
      <c r="D458" t="s">
        <v>6149</v>
      </c>
      <c r="E458" s="2">
        <v>2</v>
      </c>
      <c r="F458" s="2" t="str">
        <f>IFERROR(INDEX(customers!B$1:B$1001, MATCH(C458, customers!A$1:A$1001, 0)), "Not Found")</f>
        <v>Agnes Adamides</v>
      </c>
      <c r="G458" s="2" t="str">
        <f>IF(IFERROR(INDEX(customers!C$1:C$1001, MATCH(C458, customers!A$1:A$1001, 0)), "Not Found")=0,"",IFERROR(INDEX(customers!C$1:C$1001, MATCH(C458, customers!A$1:A$1001, 0)), "Not Found"))</f>
        <v>aadamidesco@bizjournals.com</v>
      </c>
      <c r="H458" s="2" t="str">
        <f>IFERROR(INDEX(customers!G$1:G$1001, MATCH(C458, customers!A$1:A$1001, 0)), "Not Found")</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L458*E458</f>
        <v>41.169999999999995</v>
      </c>
      <c r="N458" t="str">
        <f>IF(I458="Rob","Robusta",IF(I458="Exc","Excelsa",IF(I458="Ara","Arabica",IF(I458="Lib","Laberica",""))))</f>
        <v>Robusta</v>
      </c>
      <c r="O458" t="str">
        <f t="shared" si="7"/>
        <v>Dark</v>
      </c>
      <c r="P458" t="str">
        <f>INDEX(customers!$I$1:$I$1001, MATCH(Orders[[#This Row],[Customer ID]], customers!$A$1:$A$1001, 0))</f>
        <v>No</v>
      </c>
    </row>
    <row r="459" spans="1:16" x14ac:dyDescent="0.25">
      <c r="A459" s="2" t="s">
        <v>3070</v>
      </c>
      <c r="B459" s="3">
        <v>43671</v>
      </c>
      <c r="C459" s="2" t="s">
        <v>3071</v>
      </c>
      <c r="D459" t="s">
        <v>6161</v>
      </c>
      <c r="E459" s="2">
        <v>5</v>
      </c>
      <c r="F459" s="2" t="str">
        <f>IFERROR(INDEX(customers!B$1:B$1001, MATCH(C459, customers!A$1:A$1001, 0)), "Not Found")</f>
        <v>Carmelita Thowes</v>
      </c>
      <c r="G459" s="2" t="str">
        <f>IF(IFERROR(INDEX(customers!C$1:C$1001, MATCH(C459, customers!A$1:A$1001, 0)), "Not Found")=0,"",IFERROR(INDEX(customers!C$1:C$1001, MATCH(C459, customers!A$1:A$1001, 0)), "Not Found"))</f>
        <v>cthowescp@craigslist.org</v>
      </c>
      <c r="H459" s="2" t="str">
        <f>IFERROR(INDEX(customers!G$1:G$1001, MATCH(C459, customers!A$1:A$1001, 0)), "Not Found")</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L459*E459</f>
        <v>47.55</v>
      </c>
      <c r="N459" t="str">
        <f>IF(I459="Rob","Robusta",IF(I459="Exc","Excelsa",IF(I459="Ara","Arabica",IF(I459="Lib","Laberica",""))))</f>
        <v>Laberica</v>
      </c>
      <c r="O459" t="str">
        <f t="shared" si="7"/>
        <v>Light</v>
      </c>
      <c r="P459" t="str">
        <f>INDEX(customers!$I$1:$I$1001, MATCH(Orders[[#This Row],[Customer ID]], customers!$A$1:$A$1001, 0))</f>
        <v>No</v>
      </c>
    </row>
    <row r="460" spans="1:16" x14ac:dyDescent="0.25">
      <c r="A460" s="2" t="s">
        <v>3076</v>
      </c>
      <c r="B460" s="3">
        <v>44707</v>
      </c>
      <c r="C460" s="2" t="s">
        <v>3077</v>
      </c>
      <c r="D460" t="s">
        <v>6155</v>
      </c>
      <c r="E460" s="2">
        <v>4</v>
      </c>
      <c r="F460" s="2" t="str">
        <f>IFERROR(INDEX(customers!B$1:B$1001, MATCH(C460, customers!A$1:A$1001, 0)), "Not Found")</f>
        <v>Rodolfo Willoway</v>
      </c>
      <c r="G460" s="2" t="str">
        <f>IF(IFERROR(INDEX(customers!C$1:C$1001, MATCH(C460, customers!A$1:A$1001, 0)), "Not Found")=0,"",IFERROR(INDEX(customers!C$1:C$1001, MATCH(C460, customers!A$1:A$1001, 0)), "Not Found"))</f>
        <v>rwillowaycq@admin.ch</v>
      </c>
      <c r="H460" s="2" t="str">
        <f>IFERROR(INDEX(customers!G$1:G$1001, MATCH(C460, customers!A$1:A$1001, 0)), "Not Found")</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L460*E460</f>
        <v>45</v>
      </c>
      <c r="N460" t="str">
        <f>IF(I460="Rob","Robusta",IF(I460="Exc","Excelsa",IF(I460="Ara","Arabica",IF(I460="Lib","Laberica",""))))</f>
        <v>Arabica</v>
      </c>
      <c r="O460" t="str">
        <f t="shared" si="7"/>
        <v>Medium</v>
      </c>
      <c r="P460" t="str">
        <f>INDEX(customers!$I$1:$I$1001, MATCH(Orders[[#This Row],[Customer ID]], customers!$A$1:$A$1001, 0))</f>
        <v>No</v>
      </c>
    </row>
    <row r="461" spans="1:16" x14ac:dyDescent="0.25">
      <c r="A461" s="2" t="s">
        <v>3082</v>
      </c>
      <c r="B461" s="3">
        <v>43840</v>
      </c>
      <c r="C461" s="2" t="s">
        <v>3083</v>
      </c>
      <c r="D461" t="s">
        <v>6145</v>
      </c>
      <c r="E461" s="2">
        <v>5</v>
      </c>
      <c r="F461" s="2" t="str">
        <f>IFERROR(INDEX(customers!B$1:B$1001, MATCH(C461, customers!A$1:A$1001, 0)), "Not Found")</f>
        <v>Alvis Elwin</v>
      </c>
      <c r="G461" s="2" t="str">
        <f>IF(IFERROR(INDEX(customers!C$1:C$1001, MATCH(C461, customers!A$1:A$1001, 0)), "Not Found")=0,"",IFERROR(INDEX(customers!C$1:C$1001, MATCH(C461, customers!A$1:A$1001, 0)), "Not Found"))</f>
        <v>aelwincr@privacy.gov.au</v>
      </c>
      <c r="H461" s="2" t="str">
        <f>IFERROR(INDEX(customers!G$1:G$1001, MATCH(C461, customers!A$1:A$1001, 0)), "Not Found")</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L461*E461</f>
        <v>23.774999999999999</v>
      </c>
      <c r="N461" t="str">
        <f>IF(I461="Rob","Robusta",IF(I461="Exc","Excelsa",IF(I461="Ara","Arabica",IF(I461="Lib","Laberica",""))))</f>
        <v>Laberica</v>
      </c>
      <c r="O461" t="str">
        <f t="shared" si="7"/>
        <v>Light</v>
      </c>
      <c r="P461" t="str">
        <f>INDEX(customers!$I$1:$I$1001, MATCH(Orders[[#This Row],[Customer ID]], customers!$A$1:$A$1001, 0))</f>
        <v>No</v>
      </c>
    </row>
    <row r="462" spans="1:16" x14ac:dyDescent="0.25">
      <c r="A462" s="2" t="s">
        <v>3088</v>
      </c>
      <c r="B462" s="3">
        <v>43602</v>
      </c>
      <c r="C462" s="2" t="s">
        <v>3089</v>
      </c>
      <c r="D462" t="s">
        <v>6172</v>
      </c>
      <c r="E462" s="2">
        <v>3</v>
      </c>
      <c r="F462" s="2" t="str">
        <f>IFERROR(INDEX(customers!B$1:B$1001, MATCH(C462, customers!A$1:A$1001, 0)), "Not Found")</f>
        <v>Araldo Bilbrook</v>
      </c>
      <c r="G462" s="2" t="str">
        <f>IF(IFERROR(INDEX(customers!C$1:C$1001, MATCH(C462, customers!A$1:A$1001, 0)), "Not Found")=0,"",IFERROR(INDEX(customers!C$1:C$1001, MATCH(C462, customers!A$1:A$1001, 0)), "Not Found"))</f>
        <v>abilbrookcs@booking.com</v>
      </c>
      <c r="H462" s="2" t="str">
        <f>IFERROR(INDEX(customers!G$1:G$1001, MATCH(C462, customers!A$1:A$1001, 0)), "Not Found")</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L462*E462</f>
        <v>16.11</v>
      </c>
      <c r="N462" t="str">
        <f>IF(I462="Rob","Robusta",IF(I462="Exc","Excelsa",IF(I462="Ara","Arabica",IF(I462="Lib","Laberica",""))))</f>
        <v>Robusta</v>
      </c>
      <c r="O462" t="str">
        <f t="shared" si="7"/>
        <v>Dark</v>
      </c>
      <c r="P462" t="str">
        <f>INDEX(customers!$I$1:$I$1001, MATCH(Orders[[#This Row],[Customer ID]], customers!$A$1:$A$1001, 0))</f>
        <v>Yes</v>
      </c>
    </row>
    <row r="463" spans="1:16" x14ac:dyDescent="0.25">
      <c r="A463" s="2" t="s">
        <v>3094</v>
      </c>
      <c r="B463" s="3">
        <v>44036</v>
      </c>
      <c r="C463" s="2" t="s">
        <v>3095</v>
      </c>
      <c r="D463" t="s">
        <v>6163</v>
      </c>
      <c r="E463" s="2">
        <v>4</v>
      </c>
      <c r="F463" s="2" t="str">
        <f>IFERROR(INDEX(customers!B$1:B$1001, MATCH(C463, customers!A$1:A$1001, 0)), "Not Found")</f>
        <v>Ransell McKall</v>
      </c>
      <c r="G463" s="2" t="str">
        <f>IF(IFERROR(INDEX(customers!C$1:C$1001, MATCH(C463, customers!A$1:A$1001, 0)), "Not Found")=0,"",IFERROR(INDEX(customers!C$1:C$1001, MATCH(C463, customers!A$1:A$1001, 0)), "Not Found"))</f>
        <v>rmckallct@sakura.ne.jp</v>
      </c>
      <c r="H463" s="2" t="str">
        <f>IFERROR(INDEX(customers!G$1:G$1001, MATCH(C463, customers!A$1:A$1001, 0)), "Not Found")</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L463*E463</f>
        <v>10.739999999999998</v>
      </c>
      <c r="N463" t="str">
        <f>IF(I463="Rob","Robusta",IF(I463="Exc","Excelsa",IF(I463="Ara","Arabica",IF(I463="Lib","Laberica",""))))</f>
        <v>Robusta</v>
      </c>
      <c r="O463" t="str">
        <f t="shared" si="7"/>
        <v>Dark</v>
      </c>
      <c r="P463" t="str">
        <f>INDEX(customers!$I$1:$I$1001, MATCH(Orders[[#This Row],[Customer ID]], customers!$A$1:$A$1001, 0))</f>
        <v>Yes</v>
      </c>
    </row>
    <row r="464" spans="1:16" x14ac:dyDescent="0.25">
      <c r="A464" s="2" t="s">
        <v>3100</v>
      </c>
      <c r="B464" s="3">
        <v>44124</v>
      </c>
      <c r="C464" s="2" t="s">
        <v>3101</v>
      </c>
      <c r="D464" t="s">
        <v>6147</v>
      </c>
      <c r="E464" s="2">
        <v>5</v>
      </c>
      <c r="F464" s="2" t="str">
        <f>IFERROR(INDEX(customers!B$1:B$1001, MATCH(C464, customers!A$1:A$1001, 0)), "Not Found")</f>
        <v>Borg Daile</v>
      </c>
      <c r="G464" s="2" t="str">
        <f>IF(IFERROR(INDEX(customers!C$1:C$1001, MATCH(C464, customers!A$1:A$1001, 0)), "Not Found")=0,"",IFERROR(INDEX(customers!C$1:C$1001, MATCH(C464, customers!A$1:A$1001, 0)), "Not Found"))</f>
        <v>bdailecu@vistaprint.com</v>
      </c>
      <c r="H464" s="2" t="str">
        <f>IFERROR(INDEX(customers!G$1:G$1001, MATCH(C464, customers!A$1:A$1001, 0)), "Not Found")</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L464*E464</f>
        <v>49.75</v>
      </c>
      <c r="N464" t="str">
        <f>IF(I464="Rob","Robusta",IF(I464="Exc","Excelsa",IF(I464="Ara","Arabica",IF(I464="Lib","Laberica",""))))</f>
        <v>Arabica</v>
      </c>
      <c r="O464" t="str">
        <f t="shared" si="7"/>
        <v>Dark</v>
      </c>
      <c r="P464" t="str">
        <f>INDEX(customers!$I$1:$I$1001, MATCH(Orders[[#This Row],[Customer ID]], customers!$A$1:$A$1001, 0))</f>
        <v>Yes</v>
      </c>
    </row>
    <row r="465" spans="1:16" x14ac:dyDescent="0.25">
      <c r="A465" s="2" t="s">
        <v>3106</v>
      </c>
      <c r="B465" s="3">
        <v>43730</v>
      </c>
      <c r="C465" s="2" t="s">
        <v>3107</v>
      </c>
      <c r="D465" t="s">
        <v>6141</v>
      </c>
      <c r="E465" s="2">
        <v>2</v>
      </c>
      <c r="F465" s="2" t="str">
        <f>IFERROR(INDEX(customers!B$1:B$1001, MATCH(C465, customers!A$1:A$1001, 0)), "Not Found")</f>
        <v>Adolphe Treherne</v>
      </c>
      <c r="G465" s="2" t="str">
        <f>IF(IFERROR(INDEX(customers!C$1:C$1001, MATCH(C465, customers!A$1:A$1001, 0)), "Not Found")=0,"",IFERROR(INDEX(customers!C$1:C$1001, MATCH(C465, customers!A$1:A$1001, 0)), "Not Found"))</f>
        <v>atrehernecv@state.tx.us</v>
      </c>
      <c r="H465" s="2" t="str">
        <f>IFERROR(INDEX(customers!G$1:G$1001, MATCH(C465, customers!A$1:A$1001, 0)), "Not Found")</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L465*E465</f>
        <v>27.5</v>
      </c>
      <c r="N465" t="str">
        <f>IF(I465="Rob","Robusta",IF(I465="Exc","Excelsa",IF(I465="Ara","Arabica",IF(I465="Lib","Laberica",""))))</f>
        <v>Excelsa</v>
      </c>
      <c r="O465" t="str">
        <f t="shared" si="7"/>
        <v>Medium</v>
      </c>
      <c r="P465" t="str">
        <f>INDEX(customers!$I$1:$I$1001, MATCH(Orders[[#This Row],[Customer ID]], customers!$A$1:$A$1001, 0))</f>
        <v>No</v>
      </c>
    </row>
    <row r="466" spans="1:16" x14ac:dyDescent="0.25">
      <c r="A466" s="2" t="s">
        <v>3112</v>
      </c>
      <c r="B466" s="3">
        <v>43989</v>
      </c>
      <c r="C466" s="2" t="s">
        <v>3113</v>
      </c>
      <c r="D466" t="s">
        <v>6165</v>
      </c>
      <c r="E466" s="2">
        <v>4</v>
      </c>
      <c r="F466" s="2" t="str">
        <f>IFERROR(INDEX(customers!B$1:B$1001, MATCH(C466, customers!A$1:A$1001, 0)), "Not Found")</f>
        <v>Annetta Brentnall</v>
      </c>
      <c r="G466" s="2" t="str">
        <f>IF(IFERROR(INDEX(customers!C$1:C$1001, MATCH(C466, customers!A$1:A$1001, 0)), "Not Found")=0,"",IFERROR(INDEX(customers!C$1:C$1001, MATCH(C466, customers!A$1:A$1001, 0)), "Not Found"))</f>
        <v>abrentnallcw@biglobe.ne.jp</v>
      </c>
      <c r="H466" s="2" t="str">
        <f>IFERROR(INDEX(customers!G$1:G$1001, MATCH(C466, customers!A$1:A$1001, 0)), "Not Found")</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L466*E466</f>
        <v>119.13999999999999</v>
      </c>
      <c r="N466" t="str">
        <f>IF(I466="Rob","Robusta",IF(I466="Exc","Excelsa",IF(I466="Ara","Arabica",IF(I466="Lib","Laberica",""))))</f>
        <v>Laberica</v>
      </c>
      <c r="O466" t="str">
        <f t="shared" si="7"/>
        <v>Dark</v>
      </c>
      <c r="P466" t="str">
        <f>INDEX(customers!$I$1:$I$1001, MATCH(Orders[[#This Row],[Customer ID]], customers!$A$1:$A$1001, 0))</f>
        <v>No</v>
      </c>
    </row>
    <row r="467" spans="1:16" x14ac:dyDescent="0.25">
      <c r="A467" s="2" t="s">
        <v>3118</v>
      </c>
      <c r="B467" s="3">
        <v>43814</v>
      </c>
      <c r="C467" s="2" t="s">
        <v>3119</v>
      </c>
      <c r="D467" t="s">
        <v>6149</v>
      </c>
      <c r="E467" s="2">
        <v>1</v>
      </c>
      <c r="F467" s="2" t="str">
        <f>IFERROR(INDEX(customers!B$1:B$1001, MATCH(C467, customers!A$1:A$1001, 0)), "Not Found")</f>
        <v>Dick Drinkall</v>
      </c>
      <c r="G467" s="2" t="str">
        <f>IF(IFERROR(INDEX(customers!C$1:C$1001, MATCH(C467, customers!A$1:A$1001, 0)), "Not Found")=0,"",IFERROR(INDEX(customers!C$1:C$1001, MATCH(C467, customers!A$1:A$1001, 0)), "Not Found"))</f>
        <v>ddrinkallcx@psu.edu</v>
      </c>
      <c r="H467" s="2" t="str">
        <f>IFERROR(INDEX(customers!G$1:G$1001, MATCH(C467, customers!A$1:A$1001, 0)), "Not Found")</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L467*E467</f>
        <v>20.584999999999997</v>
      </c>
      <c r="N467" t="str">
        <f>IF(I467="Rob","Robusta",IF(I467="Exc","Excelsa",IF(I467="Ara","Arabica",IF(I467="Lib","Laberica",""))))</f>
        <v>Robusta</v>
      </c>
      <c r="O467" t="str">
        <f t="shared" si="7"/>
        <v>Dark</v>
      </c>
      <c r="P467" t="str">
        <f>INDEX(customers!$I$1:$I$1001, MATCH(Orders[[#This Row],[Customer ID]], customers!$A$1:$A$1001, 0))</f>
        <v>Yes</v>
      </c>
    </row>
    <row r="468" spans="1:16" x14ac:dyDescent="0.25">
      <c r="A468" s="2" t="s">
        <v>3124</v>
      </c>
      <c r="B468" s="3">
        <v>44171</v>
      </c>
      <c r="C468" s="2" t="s">
        <v>3125</v>
      </c>
      <c r="D468" t="s">
        <v>6154</v>
      </c>
      <c r="E468" s="2">
        <v>3</v>
      </c>
      <c r="F468" s="2" t="str">
        <f>IFERROR(INDEX(customers!B$1:B$1001, MATCH(C468, customers!A$1:A$1001, 0)), "Not Found")</f>
        <v>Dagny Kornel</v>
      </c>
      <c r="G468" s="2" t="str">
        <f>IF(IFERROR(INDEX(customers!C$1:C$1001, MATCH(C468, customers!A$1:A$1001, 0)), "Not Found")=0,"",IFERROR(INDEX(customers!C$1:C$1001, MATCH(C468, customers!A$1:A$1001, 0)), "Not Found"))</f>
        <v>dkornelcy@cyberchimps.com</v>
      </c>
      <c r="H468" s="2" t="str">
        <f>IFERROR(INDEX(customers!G$1:G$1001, MATCH(C468, customers!A$1:A$1001, 0)), "Not Found")</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L468*E468</f>
        <v>8.9550000000000001</v>
      </c>
      <c r="N468" t="str">
        <f>IF(I468="Rob","Robusta",IF(I468="Exc","Excelsa",IF(I468="Ara","Arabica",IF(I468="Lib","Laberica",""))))</f>
        <v>Arabica</v>
      </c>
      <c r="O468" t="str">
        <f t="shared" si="7"/>
        <v>Dark</v>
      </c>
      <c r="P468" t="str">
        <f>INDEX(customers!$I$1:$I$1001, MATCH(Orders[[#This Row],[Customer ID]], customers!$A$1:$A$1001, 0))</f>
        <v>Yes</v>
      </c>
    </row>
    <row r="469" spans="1:16" x14ac:dyDescent="0.25">
      <c r="A469" s="2" t="s">
        <v>3130</v>
      </c>
      <c r="B469" s="3">
        <v>44536</v>
      </c>
      <c r="C469" s="2" t="s">
        <v>3131</v>
      </c>
      <c r="D469" t="s">
        <v>6158</v>
      </c>
      <c r="E469" s="2">
        <v>1</v>
      </c>
      <c r="F469" s="2" t="str">
        <f>IFERROR(INDEX(customers!B$1:B$1001, MATCH(C469, customers!A$1:A$1001, 0)), "Not Found")</f>
        <v>Rhona Lequeux</v>
      </c>
      <c r="G469" s="2" t="str">
        <f>IF(IFERROR(INDEX(customers!C$1:C$1001, MATCH(C469, customers!A$1:A$1001, 0)), "Not Found")=0,"",IFERROR(INDEX(customers!C$1:C$1001, MATCH(C469, customers!A$1:A$1001, 0)), "Not Found"))</f>
        <v>rlequeuxcz@newyorker.com</v>
      </c>
      <c r="H469" s="2" t="str">
        <f>IFERROR(INDEX(customers!G$1:G$1001, MATCH(C469, customers!A$1:A$1001, 0)), "Not Found")</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L469*E469</f>
        <v>5.97</v>
      </c>
      <c r="N469" t="str">
        <f>IF(I469="Rob","Robusta",IF(I469="Exc","Excelsa",IF(I469="Ara","Arabica",IF(I469="Lib","Laberica",""))))</f>
        <v>Arabica</v>
      </c>
      <c r="O469" t="str">
        <f t="shared" si="7"/>
        <v>Dark</v>
      </c>
      <c r="P469" t="str">
        <f>INDEX(customers!$I$1:$I$1001, MATCH(Orders[[#This Row],[Customer ID]], customers!$A$1:$A$1001, 0))</f>
        <v>No</v>
      </c>
    </row>
    <row r="470" spans="1:16" x14ac:dyDescent="0.25">
      <c r="A470" s="2" t="s">
        <v>3136</v>
      </c>
      <c r="B470" s="3">
        <v>44023</v>
      </c>
      <c r="C470" s="2" t="s">
        <v>3137</v>
      </c>
      <c r="D470" t="s">
        <v>6141</v>
      </c>
      <c r="E470" s="2">
        <v>3</v>
      </c>
      <c r="F470" s="2" t="str">
        <f>IFERROR(INDEX(customers!B$1:B$1001, MATCH(C470, customers!A$1:A$1001, 0)), "Not Found")</f>
        <v>Julius Mccaull</v>
      </c>
      <c r="G470" s="2" t="str">
        <f>IF(IFERROR(INDEX(customers!C$1:C$1001, MATCH(C470, customers!A$1:A$1001, 0)), "Not Found")=0,"",IFERROR(INDEX(customers!C$1:C$1001, MATCH(C470, customers!A$1:A$1001, 0)), "Not Found"))</f>
        <v>jmccaulld0@parallels.com</v>
      </c>
      <c r="H470" s="2" t="str">
        <f>IFERROR(INDEX(customers!G$1:G$1001, MATCH(C470, customers!A$1:A$1001, 0)), "Not Found")</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L470*E470</f>
        <v>41.25</v>
      </c>
      <c r="N470" t="str">
        <f>IF(I470="Rob","Robusta",IF(I470="Exc","Excelsa",IF(I470="Ara","Arabica",IF(I470="Lib","Laberica",""))))</f>
        <v>Excelsa</v>
      </c>
      <c r="O470" t="str">
        <f t="shared" si="7"/>
        <v>Medium</v>
      </c>
      <c r="P470" t="str">
        <f>INDEX(customers!$I$1:$I$1001, MATCH(Orders[[#This Row],[Customer ID]], customers!$A$1:$A$1001, 0))</f>
        <v>Yes</v>
      </c>
    </row>
    <row r="471" spans="1:16" x14ac:dyDescent="0.25">
      <c r="A471" s="2" t="s">
        <v>3141</v>
      </c>
      <c r="B471" s="3">
        <v>44375</v>
      </c>
      <c r="C471" s="2" t="s">
        <v>3194</v>
      </c>
      <c r="D471" t="s">
        <v>6184</v>
      </c>
      <c r="E471" s="2">
        <v>5</v>
      </c>
      <c r="F471" s="2" t="str">
        <f>IFERROR(INDEX(customers!B$1:B$1001, MATCH(C471, customers!A$1:A$1001, 0)), "Not Found")</f>
        <v>Ailey Brash</v>
      </c>
      <c r="G471" s="2" t="str">
        <f>IF(IFERROR(INDEX(customers!C$1:C$1001, MATCH(C471, customers!A$1:A$1001, 0)), "Not Found")=0,"",IFERROR(INDEX(customers!C$1:C$1001, MATCH(C471, customers!A$1:A$1001, 0)), "Not Found"))</f>
        <v>abrashda@plala.or.jp</v>
      </c>
      <c r="H471" s="2" t="str">
        <f>IFERROR(INDEX(customers!G$1:G$1001, MATCH(C471, customers!A$1:A$1001, 0)), "Not Found")</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L471*E471</f>
        <v>22.274999999999999</v>
      </c>
      <c r="N471" t="str">
        <f>IF(I471="Rob","Robusta",IF(I471="Exc","Excelsa",IF(I471="Ara","Arabica",IF(I471="Lib","Laberica",""))))</f>
        <v>Excelsa</v>
      </c>
      <c r="O471" t="str">
        <f t="shared" si="7"/>
        <v>Light</v>
      </c>
      <c r="P471" t="str">
        <f>INDEX(customers!$I$1:$I$1001, MATCH(Orders[[#This Row],[Customer ID]], customers!$A$1:$A$1001, 0))</f>
        <v>Yes</v>
      </c>
    </row>
    <row r="472" spans="1:16" x14ac:dyDescent="0.25">
      <c r="A472" s="2" t="s">
        <v>3147</v>
      </c>
      <c r="B472" s="3">
        <v>44656</v>
      </c>
      <c r="C472" s="2" t="s">
        <v>3148</v>
      </c>
      <c r="D472" t="s">
        <v>6157</v>
      </c>
      <c r="E472" s="2">
        <v>1</v>
      </c>
      <c r="F472" s="2" t="str">
        <f>IFERROR(INDEX(customers!B$1:B$1001, MATCH(C472, customers!A$1:A$1001, 0)), "Not Found")</f>
        <v>Alberto Hutchinson</v>
      </c>
      <c r="G472" s="2" t="str">
        <f>IF(IFERROR(INDEX(customers!C$1:C$1001, MATCH(C472, customers!A$1:A$1001, 0)), "Not Found")=0,"",IFERROR(INDEX(customers!C$1:C$1001, MATCH(C472, customers!A$1:A$1001, 0)), "Not Found"))</f>
        <v>ahutchinsond2@imgur.com</v>
      </c>
      <c r="H472" s="2" t="str">
        <f>IFERROR(INDEX(customers!G$1:G$1001, MATCH(C472, customers!A$1:A$1001, 0)), "Not Found")</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L472*E472</f>
        <v>6.75</v>
      </c>
      <c r="N472" t="str">
        <f>IF(I472="Rob","Robusta",IF(I472="Exc","Excelsa",IF(I472="Ara","Arabica",IF(I472="Lib","Laberica",""))))</f>
        <v>Arabica</v>
      </c>
      <c r="O472" t="str">
        <f t="shared" si="7"/>
        <v>Medium</v>
      </c>
      <c r="P472" t="str">
        <f>INDEX(customers!$I$1:$I$1001, MATCH(Orders[[#This Row],[Customer ID]], customers!$A$1:$A$1001, 0))</f>
        <v>Yes</v>
      </c>
    </row>
    <row r="473" spans="1:16" x14ac:dyDescent="0.25">
      <c r="A473" s="2" t="s">
        <v>3153</v>
      </c>
      <c r="B473" s="3">
        <v>44644</v>
      </c>
      <c r="C473" s="2" t="s">
        <v>3154</v>
      </c>
      <c r="D473" t="s">
        <v>6181</v>
      </c>
      <c r="E473" s="2">
        <v>4</v>
      </c>
      <c r="F473" s="2" t="str">
        <f>IFERROR(INDEX(customers!B$1:B$1001, MATCH(C473, customers!A$1:A$1001, 0)), "Not Found")</f>
        <v>Lamond Gheeraert</v>
      </c>
      <c r="G473" s="2" t="str">
        <f>IF(IFERROR(INDEX(customers!C$1:C$1001, MATCH(C473, customers!A$1:A$1001, 0)), "Not Found")=0,"",IFERROR(INDEX(customers!C$1:C$1001, MATCH(C473, customers!A$1:A$1001, 0)), "Not Found"))</f>
        <v/>
      </c>
      <c r="H473" s="2" t="str">
        <f>IFERROR(INDEX(customers!G$1:G$1001, MATCH(C473, customers!A$1:A$1001, 0)), "Not Found")</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L473*E473</f>
        <v>133.85999999999999</v>
      </c>
      <c r="N473" t="str">
        <f>IF(I473="Rob","Robusta",IF(I473="Exc","Excelsa",IF(I473="Ara","Arabica",IF(I473="Lib","Laberica",""))))</f>
        <v>Laberica</v>
      </c>
      <c r="O473" t="str">
        <f t="shared" si="7"/>
        <v>Medium</v>
      </c>
      <c r="P473" t="str">
        <f>INDEX(customers!$I$1:$I$1001, MATCH(Orders[[#This Row],[Customer ID]], customers!$A$1:$A$1001, 0))</f>
        <v>Yes</v>
      </c>
    </row>
    <row r="474" spans="1:16" x14ac:dyDescent="0.25">
      <c r="A474" s="2" t="s">
        <v>3158</v>
      </c>
      <c r="B474" s="3">
        <v>43869</v>
      </c>
      <c r="C474" s="2" t="s">
        <v>3159</v>
      </c>
      <c r="D474" t="s">
        <v>6154</v>
      </c>
      <c r="E474" s="2">
        <v>2</v>
      </c>
      <c r="F474" s="2" t="str">
        <f>IFERROR(INDEX(customers!B$1:B$1001, MATCH(C474, customers!A$1:A$1001, 0)), "Not Found")</f>
        <v>Roxine Drivers</v>
      </c>
      <c r="G474" s="2" t="str">
        <f>IF(IFERROR(INDEX(customers!C$1:C$1001, MATCH(C474, customers!A$1:A$1001, 0)), "Not Found")=0,"",IFERROR(INDEX(customers!C$1:C$1001, MATCH(C474, customers!A$1:A$1001, 0)), "Not Found"))</f>
        <v>rdriversd4@hexun.com</v>
      </c>
      <c r="H474" s="2" t="str">
        <f>IFERROR(INDEX(customers!G$1:G$1001, MATCH(C474, customers!A$1:A$1001, 0)), "Not Found")</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L474*E474</f>
        <v>5.97</v>
      </c>
      <c r="N474" t="str">
        <f>IF(I474="Rob","Robusta",IF(I474="Exc","Excelsa",IF(I474="Ara","Arabica",IF(I474="Lib","Laberica",""))))</f>
        <v>Arabica</v>
      </c>
      <c r="O474" t="str">
        <f t="shared" si="7"/>
        <v>Dark</v>
      </c>
      <c r="P474" t="str">
        <f>INDEX(customers!$I$1:$I$1001, MATCH(Orders[[#This Row],[Customer ID]], customers!$A$1:$A$1001, 0))</f>
        <v>No</v>
      </c>
    </row>
    <row r="475" spans="1:16" x14ac:dyDescent="0.25">
      <c r="A475" s="2" t="s">
        <v>3164</v>
      </c>
      <c r="B475" s="3">
        <v>44603</v>
      </c>
      <c r="C475" s="2" t="s">
        <v>3165</v>
      </c>
      <c r="D475" t="s">
        <v>6140</v>
      </c>
      <c r="E475" s="2">
        <v>2</v>
      </c>
      <c r="F475" s="2" t="str">
        <f>IFERROR(INDEX(customers!B$1:B$1001, MATCH(C475, customers!A$1:A$1001, 0)), "Not Found")</f>
        <v>Heloise Zeal</v>
      </c>
      <c r="G475" s="2" t="str">
        <f>IF(IFERROR(INDEX(customers!C$1:C$1001, MATCH(C475, customers!A$1:A$1001, 0)), "Not Found")=0,"",IFERROR(INDEX(customers!C$1:C$1001, MATCH(C475, customers!A$1:A$1001, 0)), "Not Found"))</f>
        <v>hzeald5@google.de</v>
      </c>
      <c r="H475" s="2" t="str">
        <f>IFERROR(INDEX(customers!G$1:G$1001, MATCH(C475, customers!A$1:A$1001, 0)), "Not Found")</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L475*E475</f>
        <v>25.9</v>
      </c>
      <c r="N475" t="str">
        <f>IF(I475="Rob","Robusta",IF(I475="Exc","Excelsa",IF(I475="Ara","Arabica",IF(I475="Lib","Laberica",""))))</f>
        <v>Arabica</v>
      </c>
      <c r="O475" t="str">
        <f t="shared" si="7"/>
        <v>Light</v>
      </c>
      <c r="P475" t="str">
        <f>INDEX(customers!$I$1:$I$1001, MATCH(Orders[[#This Row],[Customer ID]], customers!$A$1:$A$1001, 0))</f>
        <v>No</v>
      </c>
    </row>
    <row r="476" spans="1:16" x14ac:dyDescent="0.25">
      <c r="A476" s="2" t="s">
        <v>3170</v>
      </c>
      <c r="B476" s="3">
        <v>44014</v>
      </c>
      <c r="C476" s="2" t="s">
        <v>3171</v>
      </c>
      <c r="D476" t="s">
        <v>6166</v>
      </c>
      <c r="E476" s="2">
        <v>1</v>
      </c>
      <c r="F476" s="2" t="str">
        <f>IFERROR(INDEX(customers!B$1:B$1001, MATCH(C476, customers!A$1:A$1001, 0)), "Not Found")</f>
        <v>Granger Smallcombe</v>
      </c>
      <c r="G476" s="2" t="str">
        <f>IF(IFERROR(INDEX(customers!C$1:C$1001, MATCH(C476, customers!A$1:A$1001, 0)), "Not Found")=0,"",IFERROR(INDEX(customers!C$1:C$1001, MATCH(C476, customers!A$1:A$1001, 0)), "Not Found"))</f>
        <v>gsmallcombed6@ucla.edu</v>
      </c>
      <c r="H476" s="2" t="str">
        <f>IFERROR(INDEX(customers!G$1:G$1001, MATCH(C476, customers!A$1:A$1001, 0)), "Not Found")</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L476*E476</f>
        <v>31.624999999999996</v>
      </c>
      <c r="N476" t="str">
        <f>IF(I476="Rob","Robusta",IF(I476="Exc","Excelsa",IF(I476="Ara","Arabica",IF(I476="Lib","Laberica",""))))</f>
        <v>Excelsa</v>
      </c>
      <c r="O476" t="str">
        <f t="shared" si="7"/>
        <v>Medium</v>
      </c>
      <c r="P476" t="str">
        <f>INDEX(customers!$I$1:$I$1001, MATCH(Orders[[#This Row],[Customer ID]], customers!$A$1:$A$1001, 0))</f>
        <v>Yes</v>
      </c>
    </row>
    <row r="477" spans="1:16" x14ac:dyDescent="0.25">
      <c r="A477" s="2" t="s">
        <v>3176</v>
      </c>
      <c r="B477" s="3">
        <v>44767</v>
      </c>
      <c r="C477" s="2" t="s">
        <v>3177</v>
      </c>
      <c r="D477" t="s">
        <v>6159</v>
      </c>
      <c r="E477" s="2">
        <v>2</v>
      </c>
      <c r="F477" s="2" t="str">
        <f>IFERROR(INDEX(customers!B$1:B$1001, MATCH(C477, customers!A$1:A$1001, 0)), "Not Found")</f>
        <v>Daryn Dibley</v>
      </c>
      <c r="G477" s="2" t="str">
        <f>IF(IFERROR(INDEX(customers!C$1:C$1001, MATCH(C477, customers!A$1:A$1001, 0)), "Not Found")=0,"",IFERROR(INDEX(customers!C$1:C$1001, MATCH(C477, customers!A$1:A$1001, 0)), "Not Found"))</f>
        <v>ddibleyd7@feedburner.com</v>
      </c>
      <c r="H477" s="2" t="str">
        <f>IFERROR(INDEX(customers!G$1:G$1001, MATCH(C477, customers!A$1:A$1001, 0)), "Not Found")</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L477*E477</f>
        <v>8.73</v>
      </c>
      <c r="N477" t="str">
        <f>IF(I477="Rob","Robusta",IF(I477="Exc","Excelsa",IF(I477="Ara","Arabica",IF(I477="Lib","Laberica",""))))</f>
        <v>Laberica</v>
      </c>
      <c r="O477" t="str">
        <f t="shared" si="7"/>
        <v>Medium</v>
      </c>
      <c r="P477" t="str">
        <f>INDEX(customers!$I$1:$I$1001, MATCH(Orders[[#This Row],[Customer ID]], customers!$A$1:$A$1001, 0))</f>
        <v>No</v>
      </c>
    </row>
    <row r="478" spans="1:16" x14ac:dyDescent="0.25">
      <c r="A478" s="2" t="s">
        <v>3181</v>
      </c>
      <c r="B478" s="3">
        <v>44274</v>
      </c>
      <c r="C478" s="2" t="s">
        <v>3182</v>
      </c>
      <c r="D478" t="s">
        <v>6184</v>
      </c>
      <c r="E478" s="2">
        <v>6</v>
      </c>
      <c r="F478" s="2" t="str">
        <f>IFERROR(INDEX(customers!B$1:B$1001, MATCH(C478, customers!A$1:A$1001, 0)), "Not Found")</f>
        <v>Gardy Dimitriou</v>
      </c>
      <c r="G478" s="2" t="str">
        <f>IF(IFERROR(INDEX(customers!C$1:C$1001, MATCH(C478, customers!A$1:A$1001, 0)), "Not Found")=0,"",IFERROR(INDEX(customers!C$1:C$1001, MATCH(C478, customers!A$1:A$1001, 0)), "Not Found"))</f>
        <v>gdimitrioud8@chronoengine.com</v>
      </c>
      <c r="H478" s="2" t="str">
        <f>IFERROR(INDEX(customers!G$1:G$1001, MATCH(C478, customers!A$1:A$1001, 0)), "Not Found")</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L478*E478</f>
        <v>26.73</v>
      </c>
      <c r="N478" t="str">
        <f>IF(I478="Rob","Robusta",IF(I478="Exc","Excelsa",IF(I478="Ara","Arabica",IF(I478="Lib","Laberica",""))))</f>
        <v>Excelsa</v>
      </c>
      <c r="O478" t="str">
        <f t="shared" si="7"/>
        <v>Light</v>
      </c>
      <c r="P478" t="str">
        <f>INDEX(customers!$I$1:$I$1001, MATCH(Orders[[#This Row],[Customer ID]], customers!$A$1:$A$1001, 0))</f>
        <v>Yes</v>
      </c>
    </row>
    <row r="479" spans="1:16" x14ac:dyDescent="0.25">
      <c r="A479" s="2" t="s">
        <v>3187</v>
      </c>
      <c r="B479" s="3">
        <v>43962</v>
      </c>
      <c r="C479" s="2" t="s">
        <v>3188</v>
      </c>
      <c r="D479" t="s">
        <v>6159</v>
      </c>
      <c r="E479" s="2">
        <v>6</v>
      </c>
      <c r="F479" s="2" t="str">
        <f>IFERROR(INDEX(customers!B$1:B$1001, MATCH(C479, customers!A$1:A$1001, 0)), "Not Found")</f>
        <v>Fanny Flanagan</v>
      </c>
      <c r="G479" s="2" t="str">
        <f>IF(IFERROR(INDEX(customers!C$1:C$1001, MATCH(C479, customers!A$1:A$1001, 0)), "Not Found")=0,"",IFERROR(INDEX(customers!C$1:C$1001, MATCH(C479, customers!A$1:A$1001, 0)), "Not Found"))</f>
        <v>fflanagand9@woothemes.com</v>
      </c>
      <c r="H479" s="2" t="str">
        <f>IFERROR(INDEX(customers!G$1:G$1001, MATCH(C479, customers!A$1:A$1001, 0)), "Not Found")</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L479*E479</f>
        <v>26.19</v>
      </c>
      <c r="N479" t="str">
        <f>IF(I479="Rob","Robusta",IF(I479="Exc","Excelsa",IF(I479="Ara","Arabica",IF(I479="Lib","Laberica",""))))</f>
        <v>Laberica</v>
      </c>
      <c r="O479" t="str">
        <f t="shared" si="7"/>
        <v>Medium</v>
      </c>
      <c r="P479" t="str">
        <f>INDEX(customers!$I$1:$I$1001, MATCH(Orders[[#This Row],[Customer ID]], customers!$A$1:$A$1001, 0))</f>
        <v>No</v>
      </c>
    </row>
    <row r="480" spans="1:16" x14ac:dyDescent="0.25">
      <c r="A480" s="2" t="s">
        <v>3193</v>
      </c>
      <c r="B480" s="3">
        <v>43624</v>
      </c>
      <c r="C480" s="2" t="s">
        <v>3194</v>
      </c>
      <c r="D480" t="s">
        <v>6177</v>
      </c>
      <c r="E480" s="2">
        <v>6</v>
      </c>
      <c r="F480" s="2" t="str">
        <f>IFERROR(INDEX(customers!B$1:B$1001, MATCH(C480, customers!A$1:A$1001, 0)), "Not Found")</f>
        <v>Ailey Brash</v>
      </c>
      <c r="G480" s="2" t="str">
        <f>IF(IFERROR(INDEX(customers!C$1:C$1001, MATCH(C480, customers!A$1:A$1001, 0)), "Not Found")=0,"",IFERROR(INDEX(customers!C$1:C$1001, MATCH(C480, customers!A$1:A$1001, 0)), "Not Found"))</f>
        <v>abrashda@plala.or.jp</v>
      </c>
      <c r="H480" s="2" t="str">
        <f>IFERROR(INDEX(customers!G$1:G$1001, MATCH(C480, customers!A$1:A$1001, 0)), "Not Found")</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L480*E480</f>
        <v>53.699999999999996</v>
      </c>
      <c r="N480" t="str">
        <f>IF(I480="Rob","Robusta",IF(I480="Exc","Excelsa",IF(I480="Ara","Arabica",IF(I480="Lib","Laberica",""))))</f>
        <v>Robusta</v>
      </c>
      <c r="O480" t="str">
        <f t="shared" si="7"/>
        <v>Dark</v>
      </c>
      <c r="P480" t="str">
        <f>INDEX(customers!$I$1:$I$1001, MATCH(Orders[[#This Row],[Customer ID]], customers!$A$1:$A$1001, 0))</f>
        <v>Yes</v>
      </c>
    </row>
    <row r="481" spans="1:16" x14ac:dyDescent="0.25">
      <c r="A481" s="2" t="s">
        <v>3193</v>
      </c>
      <c r="B481" s="3">
        <v>43624</v>
      </c>
      <c r="C481" s="2" t="s">
        <v>3194</v>
      </c>
      <c r="D481" t="s">
        <v>6166</v>
      </c>
      <c r="E481" s="2">
        <v>4</v>
      </c>
      <c r="F481" s="2" t="str">
        <f>IFERROR(INDEX(customers!B$1:B$1001, MATCH(C481, customers!A$1:A$1001, 0)), "Not Found")</f>
        <v>Ailey Brash</v>
      </c>
      <c r="G481" s="2" t="str">
        <f>IF(IFERROR(INDEX(customers!C$1:C$1001, MATCH(C481, customers!A$1:A$1001, 0)), "Not Found")=0,"",IFERROR(INDEX(customers!C$1:C$1001, MATCH(C481, customers!A$1:A$1001, 0)), "Not Found"))</f>
        <v>abrashda@plala.or.jp</v>
      </c>
      <c r="H481" s="2" t="str">
        <f>IFERROR(INDEX(customers!G$1:G$1001, MATCH(C481, customers!A$1:A$1001, 0)), "Not Found")</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L481*E481</f>
        <v>126.49999999999999</v>
      </c>
      <c r="N481" t="str">
        <f>IF(I481="Rob","Robusta",IF(I481="Exc","Excelsa",IF(I481="Ara","Arabica",IF(I481="Lib","Laberica",""))))</f>
        <v>Excelsa</v>
      </c>
      <c r="O481" t="str">
        <f t="shared" si="7"/>
        <v>Medium</v>
      </c>
      <c r="P481" t="str">
        <f>INDEX(customers!$I$1:$I$1001, MATCH(Orders[[#This Row],[Customer ID]], customers!$A$1:$A$1001, 0))</f>
        <v>Yes</v>
      </c>
    </row>
    <row r="482" spans="1:16" x14ac:dyDescent="0.25">
      <c r="A482" s="2" t="s">
        <v>3193</v>
      </c>
      <c r="B482" s="3">
        <v>43624</v>
      </c>
      <c r="C482" s="2" t="s">
        <v>3194</v>
      </c>
      <c r="D482" t="s">
        <v>6156</v>
      </c>
      <c r="E482" s="2">
        <v>1</v>
      </c>
      <c r="F482" s="2" t="str">
        <f>IFERROR(INDEX(customers!B$1:B$1001, MATCH(C482, customers!A$1:A$1001, 0)), "Not Found")</f>
        <v>Ailey Brash</v>
      </c>
      <c r="G482" s="2" t="str">
        <f>IF(IFERROR(INDEX(customers!C$1:C$1001, MATCH(C482, customers!A$1:A$1001, 0)), "Not Found")=0,"",IFERROR(INDEX(customers!C$1:C$1001, MATCH(C482, customers!A$1:A$1001, 0)), "Not Found"))</f>
        <v>abrashda@plala.or.jp</v>
      </c>
      <c r="H482" s="2" t="str">
        <f>IFERROR(INDEX(customers!G$1:G$1001, MATCH(C482, customers!A$1:A$1001, 0)), "Not Found")</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L482*E482</f>
        <v>4.125</v>
      </c>
      <c r="N482" t="str">
        <f>IF(I482="Rob","Robusta",IF(I482="Exc","Excelsa",IF(I482="Ara","Arabica",IF(I482="Lib","Laberica",""))))</f>
        <v>Excelsa</v>
      </c>
      <c r="O482" t="str">
        <f t="shared" si="7"/>
        <v>Medium</v>
      </c>
      <c r="P482" t="str">
        <f>INDEX(customers!$I$1:$I$1001, MATCH(Orders[[#This Row],[Customer ID]], customers!$A$1:$A$1001, 0))</f>
        <v>Yes</v>
      </c>
    </row>
    <row r="483" spans="1:16" x14ac:dyDescent="0.25">
      <c r="A483" s="2" t="s">
        <v>3208</v>
      </c>
      <c r="B483" s="3">
        <v>43747</v>
      </c>
      <c r="C483" s="2" t="s">
        <v>3209</v>
      </c>
      <c r="D483" t="s">
        <v>6179</v>
      </c>
      <c r="E483" s="2">
        <v>2</v>
      </c>
      <c r="F483" s="2" t="str">
        <f>IFERROR(INDEX(customers!B$1:B$1001, MATCH(C483, customers!A$1:A$1001, 0)), "Not Found")</f>
        <v>Nanny Izhakov</v>
      </c>
      <c r="G483" s="2" t="str">
        <f>IF(IFERROR(INDEX(customers!C$1:C$1001, MATCH(C483, customers!A$1:A$1001, 0)), "Not Found")=0,"",IFERROR(INDEX(customers!C$1:C$1001, MATCH(C483, customers!A$1:A$1001, 0)), "Not Found"))</f>
        <v>nizhakovdd@aol.com</v>
      </c>
      <c r="H483" s="2" t="str">
        <f>IFERROR(INDEX(customers!G$1:G$1001, MATCH(C483, customers!A$1:A$1001, 0)), "Not Found")</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L483*E483</f>
        <v>23.9</v>
      </c>
      <c r="N483" t="str">
        <f>IF(I483="Rob","Robusta",IF(I483="Exc","Excelsa",IF(I483="Ara","Arabica",IF(I483="Lib","Laberica",""))))</f>
        <v>Robusta</v>
      </c>
      <c r="O483" t="str">
        <f t="shared" si="7"/>
        <v>Light</v>
      </c>
      <c r="P483" t="str">
        <f>INDEX(customers!$I$1:$I$1001, MATCH(Orders[[#This Row],[Customer ID]], customers!$A$1:$A$1001, 0))</f>
        <v>No</v>
      </c>
    </row>
    <row r="484" spans="1:16" x14ac:dyDescent="0.25">
      <c r="A484" s="2" t="s">
        <v>3214</v>
      </c>
      <c r="B484" s="3">
        <v>44247</v>
      </c>
      <c r="C484" s="2" t="s">
        <v>3215</v>
      </c>
      <c r="D484" t="s">
        <v>6185</v>
      </c>
      <c r="E484" s="2">
        <v>5</v>
      </c>
      <c r="F484" s="2" t="str">
        <f>IFERROR(INDEX(customers!B$1:B$1001, MATCH(C484, customers!A$1:A$1001, 0)), "Not Found")</f>
        <v>Stanly Keets</v>
      </c>
      <c r="G484" s="2" t="str">
        <f>IF(IFERROR(INDEX(customers!C$1:C$1001, MATCH(C484, customers!A$1:A$1001, 0)), "Not Found")=0,"",IFERROR(INDEX(customers!C$1:C$1001, MATCH(C484, customers!A$1:A$1001, 0)), "Not Found"))</f>
        <v>skeetsde@answers.com</v>
      </c>
      <c r="H484" s="2" t="str">
        <f>IFERROR(INDEX(customers!G$1:G$1001, MATCH(C484, customers!A$1:A$1001, 0)), "Not Found")</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L484*E484</f>
        <v>139.72499999999999</v>
      </c>
      <c r="N484" t="str">
        <f>IF(I484="Rob","Robusta",IF(I484="Exc","Excelsa",IF(I484="Ara","Arabica",IF(I484="Lib","Laberica",""))))</f>
        <v>Excelsa</v>
      </c>
      <c r="O484" t="str">
        <f t="shared" si="7"/>
        <v>Dark</v>
      </c>
      <c r="P484" t="str">
        <f>INDEX(customers!$I$1:$I$1001, MATCH(Orders[[#This Row],[Customer ID]], customers!$A$1:$A$1001, 0))</f>
        <v>Yes</v>
      </c>
    </row>
    <row r="485" spans="1:16" x14ac:dyDescent="0.25">
      <c r="A485" s="2" t="s">
        <v>3220</v>
      </c>
      <c r="B485" s="3">
        <v>43790</v>
      </c>
      <c r="C485" s="2" t="s">
        <v>3221</v>
      </c>
      <c r="D485" t="s">
        <v>6165</v>
      </c>
      <c r="E485" s="2">
        <v>2</v>
      </c>
      <c r="F485" s="2" t="str">
        <f>IFERROR(INDEX(customers!B$1:B$1001, MATCH(C485, customers!A$1:A$1001, 0)), "Not Found")</f>
        <v>Orion Dyott</v>
      </c>
      <c r="G485" s="2" t="str">
        <f>IF(IFERROR(INDEX(customers!C$1:C$1001, MATCH(C485, customers!A$1:A$1001, 0)), "Not Found")=0,"",IFERROR(INDEX(customers!C$1:C$1001, MATCH(C485, customers!A$1:A$1001, 0)), "Not Found"))</f>
        <v/>
      </c>
      <c r="H485" s="2" t="str">
        <f>IFERROR(INDEX(customers!G$1:G$1001, MATCH(C485, customers!A$1:A$1001, 0)), "Not Found")</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L485*E485</f>
        <v>59.569999999999993</v>
      </c>
      <c r="N485" t="str">
        <f>IF(I485="Rob","Robusta",IF(I485="Exc","Excelsa",IF(I485="Ara","Arabica",IF(I485="Lib","Laberica",""))))</f>
        <v>Laberica</v>
      </c>
      <c r="O485" t="str">
        <f t="shared" si="7"/>
        <v>Dark</v>
      </c>
      <c r="P485" t="str">
        <f>INDEX(customers!$I$1:$I$1001, MATCH(Orders[[#This Row],[Customer ID]], customers!$A$1:$A$1001, 0))</f>
        <v>Yes</v>
      </c>
    </row>
    <row r="486" spans="1:16" x14ac:dyDescent="0.25">
      <c r="A486" s="2" t="s">
        <v>3225</v>
      </c>
      <c r="B486" s="3">
        <v>44479</v>
      </c>
      <c r="C486" s="2" t="s">
        <v>3226</v>
      </c>
      <c r="D486" t="s">
        <v>6161</v>
      </c>
      <c r="E486" s="2">
        <v>6</v>
      </c>
      <c r="F486" s="2" t="str">
        <f>IFERROR(INDEX(customers!B$1:B$1001, MATCH(C486, customers!A$1:A$1001, 0)), "Not Found")</f>
        <v>Keefer Cake</v>
      </c>
      <c r="G486" s="2" t="str">
        <f>IF(IFERROR(INDEX(customers!C$1:C$1001, MATCH(C486, customers!A$1:A$1001, 0)), "Not Found")=0,"",IFERROR(INDEX(customers!C$1:C$1001, MATCH(C486, customers!A$1:A$1001, 0)), "Not Found"))</f>
        <v>kcakedg@huffingtonpost.com</v>
      </c>
      <c r="H486" s="2" t="str">
        <f>IFERROR(INDEX(customers!G$1:G$1001, MATCH(C486, customers!A$1:A$1001, 0)), "Not Found")</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L486*E486</f>
        <v>57.06</v>
      </c>
      <c r="N486" t="str">
        <f>IF(I486="Rob","Robusta",IF(I486="Exc","Excelsa",IF(I486="Ara","Arabica",IF(I486="Lib","Laberica",""))))</f>
        <v>Laberica</v>
      </c>
      <c r="O486" t="str">
        <f t="shared" si="7"/>
        <v>Light</v>
      </c>
      <c r="P486" t="str">
        <f>INDEX(customers!$I$1:$I$1001, MATCH(Orders[[#This Row],[Customer ID]], customers!$A$1:$A$1001, 0))</f>
        <v>No</v>
      </c>
    </row>
    <row r="487" spans="1:16" x14ac:dyDescent="0.25">
      <c r="A487" s="2" t="s">
        <v>3230</v>
      </c>
      <c r="B487" s="3">
        <v>44413</v>
      </c>
      <c r="C487" s="2" t="s">
        <v>3231</v>
      </c>
      <c r="D487" t="s">
        <v>6178</v>
      </c>
      <c r="E487" s="2">
        <v>6</v>
      </c>
      <c r="F487" s="2" t="str">
        <f>IFERROR(INDEX(customers!B$1:B$1001, MATCH(C487, customers!A$1:A$1001, 0)), "Not Found")</f>
        <v>Morna Hansed</v>
      </c>
      <c r="G487" s="2" t="str">
        <f>IF(IFERROR(INDEX(customers!C$1:C$1001, MATCH(C487, customers!A$1:A$1001, 0)), "Not Found")=0,"",IFERROR(INDEX(customers!C$1:C$1001, MATCH(C487, customers!A$1:A$1001, 0)), "Not Found"))</f>
        <v>mhanseddh@instagram.com</v>
      </c>
      <c r="H487" s="2" t="str">
        <f>IFERROR(INDEX(customers!G$1:G$1001, MATCH(C487, customers!A$1:A$1001, 0)), "Not Found")</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L487*E487</f>
        <v>21.509999999999998</v>
      </c>
      <c r="N487" t="str">
        <f>IF(I487="Rob","Robusta",IF(I487="Exc","Excelsa",IF(I487="Ara","Arabica",IF(I487="Lib","Laberica",""))))</f>
        <v>Robusta</v>
      </c>
      <c r="O487" t="str">
        <f t="shared" si="7"/>
        <v>Light</v>
      </c>
      <c r="P487" t="str">
        <f>INDEX(customers!$I$1:$I$1001, MATCH(Orders[[#This Row],[Customer ID]], customers!$A$1:$A$1001, 0))</f>
        <v>Yes</v>
      </c>
    </row>
    <row r="488" spans="1:16" x14ac:dyDescent="0.25">
      <c r="A488" s="2" t="s">
        <v>3236</v>
      </c>
      <c r="B488" s="3">
        <v>44043</v>
      </c>
      <c r="C488" s="2" t="s">
        <v>3237</v>
      </c>
      <c r="D488" t="s">
        <v>6160</v>
      </c>
      <c r="E488" s="2">
        <v>6</v>
      </c>
      <c r="F488" s="2" t="str">
        <f>IFERROR(INDEX(customers!B$1:B$1001, MATCH(C488, customers!A$1:A$1001, 0)), "Not Found")</f>
        <v>Franny Kienlein</v>
      </c>
      <c r="G488" s="2" t="str">
        <f>IF(IFERROR(INDEX(customers!C$1:C$1001, MATCH(C488, customers!A$1:A$1001, 0)), "Not Found")=0,"",IFERROR(INDEX(customers!C$1:C$1001, MATCH(C488, customers!A$1:A$1001, 0)), "Not Found"))</f>
        <v>fkienleindi@trellian.com</v>
      </c>
      <c r="H488" s="2" t="str">
        <f>IFERROR(INDEX(customers!G$1:G$1001, MATCH(C488, customers!A$1:A$1001, 0)), "Not Found")</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L488*E488</f>
        <v>52.38</v>
      </c>
      <c r="N488" t="str">
        <f>IF(I488="Rob","Robusta",IF(I488="Exc","Excelsa",IF(I488="Ara","Arabica",IF(I488="Lib","Laberica",""))))</f>
        <v>Laberica</v>
      </c>
      <c r="O488" t="str">
        <f t="shared" si="7"/>
        <v>Medium</v>
      </c>
      <c r="P488" t="str">
        <f>INDEX(customers!$I$1:$I$1001, MATCH(Orders[[#This Row],[Customer ID]], customers!$A$1:$A$1001, 0))</f>
        <v>Yes</v>
      </c>
    </row>
    <row r="489" spans="1:16" x14ac:dyDescent="0.25">
      <c r="A489" s="2" t="s">
        <v>3242</v>
      </c>
      <c r="B489" s="3">
        <v>44093</v>
      </c>
      <c r="C489" s="2" t="s">
        <v>3243</v>
      </c>
      <c r="D489" t="s">
        <v>6183</v>
      </c>
      <c r="E489" s="2">
        <v>6</v>
      </c>
      <c r="F489" s="2" t="str">
        <f>IFERROR(INDEX(customers!B$1:B$1001, MATCH(C489, customers!A$1:A$1001, 0)), "Not Found")</f>
        <v>Klarika Egglestone</v>
      </c>
      <c r="G489" s="2" t="str">
        <f>IF(IFERROR(INDEX(customers!C$1:C$1001, MATCH(C489, customers!A$1:A$1001, 0)), "Not Found")=0,"",IFERROR(INDEX(customers!C$1:C$1001, MATCH(C489, customers!A$1:A$1001, 0)), "Not Found"))</f>
        <v>kegglestonedj@sphinn.com</v>
      </c>
      <c r="H489" s="2" t="str">
        <f>IFERROR(INDEX(customers!G$1:G$1001, MATCH(C489, customers!A$1:A$1001, 0)), "Not Found")</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L489*E489</f>
        <v>72.900000000000006</v>
      </c>
      <c r="N489" t="str">
        <f>IF(I489="Rob","Robusta",IF(I489="Exc","Excelsa",IF(I489="Ara","Arabica",IF(I489="Lib","Laberica",""))))</f>
        <v>Excelsa</v>
      </c>
      <c r="O489" t="str">
        <f t="shared" si="7"/>
        <v>Dark</v>
      </c>
      <c r="P489" t="str">
        <f>INDEX(customers!$I$1:$I$1001, MATCH(Orders[[#This Row],[Customer ID]], customers!$A$1:$A$1001, 0))</f>
        <v>No</v>
      </c>
    </row>
    <row r="490" spans="1:16" x14ac:dyDescent="0.25">
      <c r="A490" s="2" t="s">
        <v>3248</v>
      </c>
      <c r="B490" s="3">
        <v>43954</v>
      </c>
      <c r="C490" s="2" t="s">
        <v>3249</v>
      </c>
      <c r="D490" t="s">
        <v>6174</v>
      </c>
      <c r="E490" s="2">
        <v>5</v>
      </c>
      <c r="F490" s="2" t="str">
        <f>IFERROR(INDEX(customers!B$1:B$1001, MATCH(C490, customers!A$1:A$1001, 0)), "Not Found")</f>
        <v>Becky Semkins</v>
      </c>
      <c r="G490" s="2" t="str">
        <f>IF(IFERROR(INDEX(customers!C$1:C$1001, MATCH(C490, customers!A$1:A$1001, 0)), "Not Found")=0,"",IFERROR(INDEX(customers!C$1:C$1001, MATCH(C490, customers!A$1:A$1001, 0)), "Not Found"))</f>
        <v>bsemkinsdk@unc.edu</v>
      </c>
      <c r="H490" s="2" t="str">
        <f>IFERROR(INDEX(customers!G$1:G$1001, MATCH(C490, customers!A$1:A$1001, 0)), "Not Found")</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L490*E490</f>
        <v>14.924999999999999</v>
      </c>
      <c r="N490" t="str">
        <f>IF(I490="Rob","Robusta",IF(I490="Exc","Excelsa",IF(I490="Ara","Arabica",IF(I490="Lib","Laberica",""))))</f>
        <v>Robusta</v>
      </c>
      <c r="O490" t="str">
        <f t="shared" si="7"/>
        <v>Medium</v>
      </c>
      <c r="P490" t="str">
        <f>INDEX(customers!$I$1:$I$1001, MATCH(Orders[[#This Row],[Customer ID]], customers!$A$1:$A$1001, 0))</f>
        <v>Yes</v>
      </c>
    </row>
    <row r="491" spans="1:16" x14ac:dyDescent="0.25">
      <c r="A491" s="2" t="s">
        <v>3254</v>
      </c>
      <c r="B491" s="3">
        <v>43654</v>
      </c>
      <c r="C491" s="2" t="s">
        <v>3255</v>
      </c>
      <c r="D491" t="s">
        <v>6170</v>
      </c>
      <c r="E491" s="2">
        <v>6</v>
      </c>
      <c r="F491" s="2" t="str">
        <f>IFERROR(INDEX(customers!B$1:B$1001, MATCH(C491, customers!A$1:A$1001, 0)), "Not Found")</f>
        <v>Sean Lorenzetti</v>
      </c>
      <c r="G491" s="2" t="str">
        <f>IF(IFERROR(INDEX(customers!C$1:C$1001, MATCH(C491, customers!A$1:A$1001, 0)), "Not Found")=0,"",IFERROR(INDEX(customers!C$1:C$1001, MATCH(C491, customers!A$1:A$1001, 0)), "Not Found"))</f>
        <v>slorenzettidl@is.gd</v>
      </c>
      <c r="H491" s="2" t="str">
        <f>IFERROR(INDEX(customers!G$1:G$1001, MATCH(C491, customers!A$1:A$1001, 0)), "Not Found")</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L491*E491</f>
        <v>95.1</v>
      </c>
      <c r="N491" t="str">
        <f>IF(I491="Rob","Robusta",IF(I491="Exc","Excelsa",IF(I491="Ara","Arabica",IF(I491="Lib","Laberica",""))))</f>
        <v>Laberica</v>
      </c>
      <c r="O491" t="str">
        <f t="shared" si="7"/>
        <v>Light</v>
      </c>
      <c r="P491" t="str">
        <f>INDEX(customers!$I$1:$I$1001, MATCH(Orders[[#This Row],[Customer ID]], customers!$A$1:$A$1001, 0))</f>
        <v>No</v>
      </c>
    </row>
    <row r="492" spans="1:16" x14ac:dyDescent="0.25">
      <c r="A492" s="2" t="s">
        <v>3260</v>
      </c>
      <c r="B492" s="3">
        <v>43764</v>
      </c>
      <c r="C492" s="2" t="s">
        <v>3261</v>
      </c>
      <c r="D492" t="s">
        <v>6169</v>
      </c>
      <c r="E492" s="2">
        <v>2</v>
      </c>
      <c r="F492" s="2" t="str">
        <f>IFERROR(INDEX(customers!B$1:B$1001, MATCH(C492, customers!A$1:A$1001, 0)), "Not Found")</f>
        <v>Bob Giannazzi</v>
      </c>
      <c r="G492" s="2" t="str">
        <f>IF(IFERROR(INDEX(customers!C$1:C$1001, MATCH(C492, customers!A$1:A$1001, 0)), "Not Found")=0,"",IFERROR(INDEX(customers!C$1:C$1001, MATCH(C492, customers!A$1:A$1001, 0)), "Not Found"))</f>
        <v>bgiannazzidm@apple.com</v>
      </c>
      <c r="H492" s="2" t="str">
        <f>IFERROR(INDEX(customers!G$1:G$1001, MATCH(C492, customers!A$1:A$1001, 0)), "Not Found")</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L492*E492</f>
        <v>15.54</v>
      </c>
      <c r="N492" t="str">
        <f>IF(I492="Rob","Robusta",IF(I492="Exc","Excelsa",IF(I492="Ara","Arabica",IF(I492="Lib","Laberica",""))))</f>
        <v>Laberica</v>
      </c>
      <c r="O492" t="str">
        <f t="shared" si="7"/>
        <v>Dark</v>
      </c>
      <c r="P492" t="str">
        <f>INDEX(customers!$I$1:$I$1001, MATCH(Orders[[#This Row],[Customer ID]], customers!$A$1:$A$1001, 0))</f>
        <v>No</v>
      </c>
    </row>
    <row r="493" spans="1:16" x14ac:dyDescent="0.25">
      <c r="A493" s="2" t="s">
        <v>3266</v>
      </c>
      <c r="B493" s="3">
        <v>44101</v>
      </c>
      <c r="C493" s="2" t="s">
        <v>3267</v>
      </c>
      <c r="D493" t="s">
        <v>6150</v>
      </c>
      <c r="E493" s="2">
        <v>6</v>
      </c>
      <c r="F493" s="2" t="str">
        <f>IFERROR(INDEX(customers!B$1:B$1001, MATCH(C493, customers!A$1:A$1001, 0)), "Not Found")</f>
        <v>Kendra Backshell</v>
      </c>
      <c r="G493" s="2" t="str">
        <f>IF(IFERROR(INDEX(customers!C$1:C$1001, MATCH(C493, customers!A$1:A$1001, 0)), "Not Found")=0,"",IFERROR(INDEX(customers!C$1:C$1001, MATCH(C493, customers!A$1:A$1001, 0)), "Not Found"))</f>
        <v/>
      </c>
      <c r="H493" s="2" t="str">
        <f>IFERROR(INDEX(customers!G$1:G$1001, MATCH(C493, customers!A$1:A$1001, 0)), "Not Found")</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L493*E493</f>
        <v>23.31</v>
      </c>
      <c r="N493" t="str">
        <f>IF(I493="Rob","Robusta",IF(I493="Exc","Excelsa",IF(I493="Ara","Arabica",IF(I493="Lib","Laberica",""))))</f>
        <v>Laberica</v>
      </c>
      <c r="O493" t="str">
        <f t="shared" si="7"/>
        <v>Dark</v>
      </c>
      <c r="P493" t="str">
        <f>INDEX(customers!$I$1:$I$1001, MATCH(Orders[[#This Row],[Customer ID]], customers!$A$1:$A$1001, 0))</f>
        <v>No</v>
      </c>
    </row>
    <row r="494" spans="1:16" x14ac:dyDescent="0.25">
      <c r="A494" s="2" t="s">
        <v>3271</v>
      </c>
      <c r="B494" s="3">
        <v>44620</v>
      </c>
      <c r="C494" s="2" t="s">
        <v>3272</v>
      </c>
      <c r="D494" t="s">
        <v>6156</v>
      </c>
      <c r="E494" s="2">
        <v>1</v>
      </c>
      <c r="F494" s="2" t="str">
        <f>IFERROR(INDEX(customers!B$1:B$1001, MATCH(C494, customers!A$1:A$1001, 0)), "Not Found")</f>
        <v>Uriah Lethbrig</v>
      </c>
      <c r="G494" s="2" t="str">
        <f>IF(IFERROR(INDEX(customers!C$1:C$1001, MATCH(C494, customers!A$1:A$1001, 0)), "Not Found")=0,"",IFERROR(INDEX(customers!C$1:C$1001, MATCH(C494, customers!A$1:A$1001, 0)), "Not Found"))</f>
        <v>ulethbrigdo@hc360.com</v>
      </c>
      <c r="H494" s="2" t="str">
        <f>IFERROR(INDEX(customers!G$1:G$1001, MATCH(C494, customers!A$1:A$1001, 0)), "Not Found")</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L494*E494</f>
        <v>4.125</v>
      </c>
      <c r="N494" t="str">
        <f>IF(I494="Rob","Robusta",IF(I494="Exc","Excelsa",IF(I494="Ara","Arabica",IF(I494="Lib","Laberica",""))))</f>
        <v>Excelsa</v>
      </c>
      <c r="O494" t="str">
        <f t="shared" si="7"/>
        <v>Medium</v>
      </c>
      <c r="P494" t="str">
        <f>INDEX(customers!$I$1:$I$1001, MATCH(Orders[[#This Row],[Customer ID]], customers!$A$1:$A$1001, 0))</f>
        <v>Yes</v>
      </c>
    </row>
    <row r="495" spans="1:16" x14ac:dyDescent="0.25">
      <c r="A495" s="2" t="s">
        <v>3277</v>
      </c>
      <c r="B495" s="3">
        <v>44090</v>
      </c>
      <c r="C495" s="2" t="s">
        <v>3278</v>
      </c>
      <c r="D495" t="s">
        <v>6146</v>
      </c>
      <c r="E495" s="2">
        <v>6</v>
      </c>
      <c r="F495" s="2" t="str">
        <f>IFERROR(INDEX(customers!B$1:B$1001, MATCH(C495, customers!A$1:A$1001, 0)), "Not Found")</f>
        <v>Sky Farnish</v>
      </c>
      <c r="G495" s="2" t="str">
        <f>IF(IFERROR(INDEX(customers!C$1:C$1001, MATCH(C495, customers!A$1:A$1001, 0)), "Not Found")=0,"",IFERROR(INDEX(customers!C$1:C$1001, MATCH(C495, customers!A$1:A$1001, 0)), "Not Found"))</f>
        <v>sfarnishdp@dmoz.org</v>
      </c>
      <c r="H495" s="2" t="str">
        <f>IFERROR(INDEX(customers!G$1:G$1001, MATCH(C495, customers!A$1:A$1001, 0)), "Not Found")</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L495*E495</f>
        <v>35.82</v>
      </c>
      <c r="N495" t="str">
        <f>IF(I495="Rob","Robusta",IF(I495="Exc","Excelsa",IF(I495="Ara","Arabica",IF(I495="Lib","Laberica",""))))</f>
        <v>Robusta</v>
      </c>
      <c r="O495" t="str">
        <f t="shared" si="7"/>
        <v>Medium</v>
      </c>
      <c r="P495" t="str">
        <f>INDEX(customers!$I$1:$I$1001, MATCH(Orders[[#This Row],[Customer ID]], customers!$A$1:$A$1001, 0))</f>
        <v>No</v>
      </c>
    </row>
    <row r="496" spans="1:16" x14ac:dyDescent="0.25">
      <c r="A496" s="2" t="s">
        <v>3283</v>
      </c>
      <c r="B496" s="3">
        <v>44132</v>
      </c>
      <c r="C496" s="2" t="s">
        <v>3284</v>
      </c>
      <c r="D496" t="s">
        <v>6170</v>
      </c>
      <c r="E496" s="2">
        <v>2</v>
      </c>
      <c r="F496" s="2" t="str">
        <f>IFERROR(INDEX(customers!B$1:B$1001, MATCH(C496, customers!A$1:A$1001, 0)), "Not Found")</f>
        <v>Felicia Jecock</v>
      </c>
      <c r="G496" s="2" t="str">
        <f>IF(IFERROR(INDEX(customers!C$1:C$1001, MATCH(C496, customers!A$1:A$1001, 0)), "Not Found")=0,"",IFERROR(INDEX(customers!C$1:C$1001, MATCH(C496, customers!A$1:A$1001, 0)), "Not Found"))</f>
        <v>fjecockdq@unicef.org</v>
      </c>
      <c r="H496" s="2" t="str">
        <f>IFERROR(INDEX(customers!G$1:G$1001, MATCH(C496, customers!A$1:A$1001, 0)), "Not Found")</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L496*E496</f>
        <v>31.7</v>
      </c>
      <c r="N496" t="str">
        <f>IF(I496="Rob","Robusta",IF(I496="Exc","Excelsa",IF(I496="Ara","Arabica",IF(I496="Lib","Laberica",""))))</f>
        <v>Laberica</v>
      </c>
      <c r="O496" t="str">
        <f t="shared" si="7"/>
        <v>Light</v>
      </c>
      <c r="P496" t="str">
        <f>INDEX(customers!$I$1:$I$1001, MATCH(Orders[[#This Row],[Customer ID]], customers!$A$1:$A$1001, 0))</f>
        <v>No</v>
      </c>
    </row>
    <row r="497" spans="1:16" x14ac:dyDescent="0.25">
      <c r="A497" s="2" t="s">
        <v>3289</v>
      </c>
      <c r="B497" s="3">
        <v>43710</v>
      </c>
      <c r="C497" s="2" t="s">
        <v>3290</v>
      </c>
      <c r="D497" t="s">
        <v>6170</v>
      </c>
      <c r="E497" s="2">
        <v>5</v>
      </c>
      <c r="F497" s="2" t="str">
        <f>IFERROR(INDEX(customers!B$1:B$1001, MATCH(C497, customers!A$1:A$1001, 0)), "Not Found")</f>
        <v>Currey MacAllister</v>
      </c>
      <c r="G497" s="2" t="str">
        <f>IF(IFERROR(INDEX(customers!C$1:C$1001, MATCH(C497, customers!A$1:A$1001, 0)), "Not Found")=0,"",IFERROR(INDEX(customers!C$1:C$1001, MATCH(C497, customers!A$1:A$1001, 0)), "Not Found"))</f>
        <v/>
      </c>
      <c r="H497" s="2" t="str">
        <f>IFERROR(INDEX(customers!G$1:G$1001, MATCH(C497, customers!A$1:A$1001, 0)), "Not Found")</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L497*E497</f>
        <v>79.25</v>
      </c>
      <c r="N497" t="str">
        <f>IF(I497="Rob","Robusta",IF(I497="Exc","Excelsa",IF(I497="Ara","Arabica",IF(I497="Lib","Laberica",""))))</f>
        <v>Laberica</v>
      </c>
      <c r="O497" t="str">
        <f t="shared" si="7"/>
        <v>Light</v>
      </c>
      <c r="P497" t="str">
        <f>INDEX(customers!$I$1:$I$1001, MATCH(Orders[[#This Row],[Customer ID]], customers!$A$1:$A$1001, 0))</f>
        <v>Yes</v>
      </c>
    </row>
    <row r="498" spans="1:16" x14ac:dyDescent="0.25">
      <c r="A498" s="2" t="s">
        <v>3294</v>
      </c>
      <c r="B498" s="3">
        <v>44438</v>
      </c>
      <c r="C498" s="2" t="s">
        <v>3295</v>
      </c>
      <c r="D498" t="s">
        <v>6153</v>
      </c>
      <c r="E498" s="2">
        <v>3</v>
      </c>
      <c r="F498" s="2" t="str">
        <f>IFERROR(INDEX(customers!B$1:B$1001, MATCH(C498, customers!A$1:A$1001, 0)), "Not Found")</f>
        <v>Hamlen Pallister</v>
      </c>
      <c r="G498" s="2" t="str">
        <f>IF(IFERROR(INDEX(customers!C$1:C$1001, MATCH(C498, customers!A$1:A$1001, 0)), "Not Found")=0,"",IFERROR(INDEX(customers!C$1:C$1001, MATCH(C498, customers!A$1:A$1001, 0)), "Not Found"))</f>
        <v>hpallisterds@ning.com</v>
      </c>
      <c r="H498" s="2" t="str">
        <f>IFERROR(INDEX(customers!G$1:G$1001, MATCH(C498, customers!A$1:A$1001, 0)), "Not Found")</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L498*E498</f>
        <v>10.935</v>
      </c>
      <c r="N498" t="str">
        <f>IF(I498="Rob","Robusta",IF(I498="Exc","Excelsa",IF(I498="Ara","Arabica",IF(I498="Lib","Laberica",""))))</f>
        <v>Excelsa</v>
      </c>
      <c r="O498" t="str">
        <f t="shared" si="7"/>
        <v>Dark</v>
      </c>
      <c r="P498" t="str">
        <f>INDEX(customers!$I$1:$I$1001, MATCH(Orders[[#This Row],[Customer ID]], customers!$A$1:$A$1001, 0))</f>
        <v>No</v>
      </c>
    </row>
    <row r="499" spans="1:16" x14ac:dyDescent="0.25">
      <c r="A499" s="2" t="s">
        <v>3300</v>
      </c>
      <c r="B499" s="3">
        <v>44351</v>
      </c>
      <c r="C499" s="2" t="s">
        <v>3301</v>
      </c>
      <c r="D499" t="s">
        <v>6147</v>
      </c>
      <c r="E499" s="2">
        <v>4</v>
      </c>
      <c r="F499" s="2" t="str">
        <f>IFERROR(INDEX(customers!B$1:B$1001, MATCH(C499, customers!A$1:A$1001, 0)), "Not Found")</f>
        <v>Chantal Mersh</v>
      </c>
      <c r="G499" s="2" t="str">
        <f>IF(IFERROR(INDEX(customers!C$1:C$1001, MATCH(C499, customers!A$1:A$1001, 0)), "Not Found")=0,"",IFERROR(INDEX(customers!C$1:C$1001, MATCH(C499, customers!A$1:A$1001, 0)), "Not Found"))</f>
        <v>cmershdt@drupal.org</v>
      </c>
      <c r="H499" s="2" t="str">
        <f>IFERROR(INDEX(customers!G$1:G$1001, MATCH(C499, customers!A$1:A$1001, 0)), "Not Found")</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L499*E499</f>
        <v>39.799999999999997</v>
      </c>
      <c r="N499" t="str">
        <f>IF(I499="Rob","Robusta",IF(I499="Exc","Excelsa",IF(I499="Ara","Arabica",IF(I499="Lib","Laberica",""))))</f>
        <v>Arabica</v>
      </c>
      <c r="O499" t="str">
        <f t="shared" si="7"/>
        <v>Dark</v>
      </c>
      <c r="P499" t="str">
        <f>INDEX(customers!$I$1:$I$1001, MATCH(Orders[[#This Row],[Customer ID]], customers!$A$1:$A$1001, 0))</f>
        <v>No</v>
      </c>
    </row>
    <row r="500" spans="1:16" x14ac:dyDescent="0.25">
      <c r="A500" s="2" t="s">
        <v>3307</v>
      </c>
      <c r="B500" s="3">
        <v>44159</v>
      </c>
      <c r="C500" s="2" t="s">
        <v>3368</v>
      </c>
      <c r="D500" t="s">
        <v>6138</v>
      </c>
      <c r="E500" s="2">
        <v>5</v>
      </c>
      <c r="F500" s="2" t="str">
        <f>IFERROR(INDEX(customers!B$1:B$1001, MATCH(C500, customers!A$1:A$1001, 0)), "Not Found")</f>
        <v>Marja Urion</v>
      </c>
      <c r="G500" s="2" t="str">
        <f>IF(IFERROR(INDEX(customers!C$1:C$1001, MATCH(C500, customers!A$1:A$1001, 0)), "Not Found")=0,"",IFERROR(INDEX(customers!C$1:C$1001, MATCH(C500, customers!A$1:A$1001, 0)), "Not Found"))</f>
        <v>murione5@alexa.com</v>
      </c>
      <c r="H500" s="2" t="str">
        <f>IFERROR(INDEX(customers!G$1:G$1001, MATCH(C500, customers!A$1:A$1001, 0)), "Not Found")</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L500*E500</f>
        <v>49.75</v>
      </c>
      <c r="N500" t="str">
        <f>IF(I500="Rob","Robusta",IF(I500="Exc","Excelsa",IF(I500="Ara","Arabica",IF(I500="Lib","Laberica",""))))</f>
        <v>Robusta</v>
      </c>
      <c r="O500" t="str">
        <f t="shared" si="7"/>
        <v>Medium</v>
      </c>
      <c r="P500" t="str">
        <f>INDEX(customers!$I$1:$I$1001, MATCH(Orders[[#This Row],[Customer ID]], customers!$A$1:$A$1001, 0))</f>
        <v>Yes</v>
      </c>
    </row>
    <row r="501" spans="1:16" x14ac:dyDescent="0.25">
      <c r="A501" s="2" t="s">
        <v>3313</v>
      </c>
      <c r="B501" s="3">
        <v>44003</v>
      </c>
      <c r="C501" s="2" t="s">
        <v>3314</v>
      </c>
      <c r="D501" t="s">
        <v>6163</v>
      </c>
      <c r="E501" s="2">
        <v>3</v>
      </c>
      <c r="F501" s="2" t="str">
        <f>IFERROR(INDEX(customers!B$1:B$1001, MATCH(C501, customers!A$1:A$1001, 0)), "Not Found")</f>
        <v>Malynda Purbrick</v>
      </c>
      <c r="G501" s="2" t="str">
        <f>IF(IFERROR(INDEX(customers!C$1:C$1001, MATCH(C501, customers!A$1:A$1001, 0)), "Not Found")=0,"",IFERROR(INDEX(customers!C$1:C$1001, MATCH(C501, customers!A$1:A$1001, 0)), "Not Found"))</f>
        <v/>
      </c>
      <c r="H501" s="2" t="str">
        <f>IFERROR(INDEX(customers!G$1:G$1001, MATCH(C501, customers!A$1:A$1001, 0)), "Not Found")</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L501*E501</f>
        <v>8.0549999999999997</v>
      </c>
      <c r="N501" t="str">
        <f>IF(I501="Rob","Robusta",IF(I501="Exc","Excelsa",IF(I501="Ara","Arabica",IF(I501="Lib","Laberica",""))))</f>
        <v>Robusta</v>
      </c>
      <c r="O501" t="str">
        <f t="shared" si="7"/>
        <v>Dark</v>
      </c>
      <c r="P501" t="str">
        <f>INDEX(customers!$I$1:$I$1001, MATCH(Orders[[#This Row],[Customer ID]], customers!$A$1:$A$1001, 0))</f>
        <v>Yes</v>
      </c>
    </row>
    <row r="502" spans="1:16" x14ac:dyDescent="0.25">
      <c r="A502" s="2" t="s">
        <v>3318</v>
      </c>
      <c r="B502" s="3">
        <v>44025</v>
      </c>
      <c r="C502" s="2" t="s">
        <v>3319</v>
      </c>
      <c r="D502" t="s">
        <v>6179</v>
      </c>
      <c r="E502" s="2">
        <v>4</v>
      </c>
      <c r="F502" s="2" t="str">
        <f>IFERROR(INDEX(customers!B$1:B$1001, MATCH(C502, customers!A$1:A$1001, 0)), "Not Found")</f>
        <v>Alf Housaman</v>
      </c>
      <c r="G502" s="2" t="str">
        <f>IF(IFERROR(INDEX(customers!C$1:C$1001, MATCH(C502, customers!A$1:A$1001, 0)), "Not Found")=0,"",IFERROR(INDEX(customers!C$1:C$1001, MATCH(C502, customers!A$1:A$1001, 0)), "Not Found"))</f>
        <v/>
      </c>
      <c r="H502" s="2" t="str">
        <f>IFERROR(INDEX(customers!G$1:G$1001, MATCH(C502, customers!A$1:A$1001, 0)), "Not Found")</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L502*E502</f>
        <v>47.8</v>
      </c>
      <c r="N502" t="str">
        <f>IF(I502="Rob","Robusta",IF(I502="Exc","Excelsa",IF(I502="Ara","Arabica",IF(I502="Lib","Laberica",""))))</f>
        <v>Robusta</v>
      </c>
      <c r="O502" t="str">
        <f t="shared" si="7"/>
        <v>Light</v>
      </c>
      <c r="P502" t="str">
        <f>INDEX(customers!$I$1:$I$1001, MATCH(Orders[[#This Row],[Customer ID]], customers!$A$1:$A$1001, 0))</f>
        <v>No</v>
      </c>
    </row>
    <row r="503" spans="1:16" x14ac:dyDescent="0.25">
      <c r="A503" s="2" t="s">
        <v>3323</v>
      </c>
      <c r="B503" s="3">
        <v>43467</v>
      </c>
      <c r="C503" s="2" t="s">
        <v>3324</v>
      </c>
      <c r="D503" t="s">
        <v>6174</v>
      </c>
      <c r="E503" s="2">
        <v>4</v>
      </c>
      <c r="F503" s="2" t="str">
        <f>IFERROR(INDEX(customers!B$1:B$1001, MATCH(C503, customers!A$1:A$1001, 0)), "Not Found")</f>
        <v>Gladi Ducker</v>
      </c>
      <c r="G503" s="2" t="str">
        <f>IF(IFERROR(INDEX(customers!C$1:C$1001, MATCH(C503, customers!A$1:A$1001, 0)), "Not Found")=0,"",IFERROR(INDEX(customers!C$1:C$1001, MATCH(C503, customers!A$1:A$1001, 0)), "Not Found"))</f>
        <v>gduckerdx@patch.com</v>
      </c>
      <c r="H503" s="2" t="str">
        <f>IFERROR(INDEX(customers!G$1:G$1001, MATCH(C503, customers!A$1:A$1001, 0)), "Not Found")</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L503*E503</f>
        <v>11.94</v>
      </c>
      <c r="N503" t="str">
        <f>IF(I503="Rob","Robusta",IF(I503="Exc","Excelsa",IF(I503="Ara","Arabica",IF(I503="Lib","Laberica",""))))</f>
        <v>Robusta</v>
      </c>
      <c r="O503" t="str">
        <f t="shared" si="7"/>
        <v>Medium</v>
      </c>
      <c r="P503" t="str">
        <f>INDEX(customers!$I$1:$I$1001, MATCH(Orders[[#This Row],[Customer ID]], customers!$A$1:$A$1001, 0))</f>
        <v>No</v>
      </c>
    </row>
    <row r="504" spans="1:16" x14ac:dyDescent="0.25">
      <c r="A504" s="2" t="s">
        <v>3323</v>
      </c>
      <c r="B504" s="3">
        <v>43467</v>
      </c>
      <c r="C504" s="2" t="s">
        <v>3324</v>
      </c>
      <c r="D504" t="s">
        <v>6156</v>
      </c>
      <c r="E504" s="2">
        <v>4</v>
      </c>
      <c r="F504" s="2" t="str">
        <f>IFERROR(INDEX(customers!B$1:B$1001, MATCH(C504, customers!A$1:A$1001, 0)), "Not Found")</f>
        <v>Gladi Ducker</v>
      </c>
      <c r="G504" s="2" t="str">
        <f>IF(IFERROR(INDEX(customers!C$1:C$1001, MATCH(C504, customers!A$1:A$1001, 0)), "Not Found")=0,"",IFERROR(INDEX(customers!C$1:C$1001, MATCH(C504, customers!A$1:A$1001, 0)), "Not Found"))</f>
        <v>gduckerdx@patch.com</v>
      </c>
      <c r="H504" s="2" t="str">
        <f>IFERROR(INDEX(customers!G$1:G$1001, MATCH(C504, customers!A$1:A$1001, 0)), "Not Found")</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L504*E504</f>
        <v>16.5</v>
      </c>
      <c r="N504" t="str">
        <f>IF(I504="Rob","Robusta",IF(I504="Exc","Excelsa",IF(I504="Ara","Arabica",IF(I504="Lib","Laberica",""))))</f>
        <v>Excelsa</v>
      </c>
      <c r="O504" t="str">
        <f t="shared" si="7"/>
        <v>Medium</v>
      </c>
      <c r="P504" t="str">
        <f>INDEX(customers!$I$1:$I$1001, MATCH(Orders[[#This Row],[Customer ID]], customers!$A$1:$A$1001, 0))</f>
        <v>No</v>
      </c>
    </row>
    <row r="505" spans="1:16" x14ac:dyDescent="0.25">
      <c r="A505" s="2" t="s">
        <v>3323</v>
      </c>
      <c r="B505" s="3">
        <v>43467</v>
      </c>
      <c r="C505" s="2" t="s">
        <v>3324</v>
      </c>
      <c r="D505" t="s">
        <v>6143</v>
      </c>
      <c r="E505" s="2">
        <v>4</v>
      </c>
      <c r="F505" s="2" t="str">
        <f>IFERROR(INDEX(customers!B$1:B$1001, MATCH(C505, customers!A$1:A$1001, 0)), "Not Found")</f>
        <v>Gladi Ducker</v>
      </c>
      <c r="G505" s="2" t="str">
        <f>IF(IFERROR(INDEX(customers!C$1:C$1001, MATCH(C505, customers!A$1:A$1001, 0)), "Not Found")=0,"",IFERROR(INDEX(customers!C$1:C$1001, MATCH(C505, customers!A$1:A$1001, 0)), "Not Found"))</f>
        <v>gduckerdx@patch.com</v>
      </c>
      <c r="H505" s="2" t="str">
        <f>IFERROR(INDEX(customers!G$1:G$1001, MATCH(C505, customers!A$1:A$1001, 0)), "Not Found")</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L505*E505</f>
        <v>51.8</v>
      </c>
      <c r="N505" t="str">
        <f>IF(I505="Rob","Robusta",IF(I505="Exc","Excelsa",IF(I505="Ara","Arabica",IF(I505="Lib","Laberica",""))))</f>
        <v>Laberica</v>
      </c>
      <c r="O505" t="str">
        <f t="shared" si="7"/>
        <v>Dark</v>
      </c>
      <c r="P505" t="str">
        <f>INDEX(customers!$I$1:$I$1001, MATCH(Orders[[#This Row],[Customer ID]], customers!$A$1:$A$1001, 0))</f>
        <v>No</v>
      </c>
    </row>
    <row r="506" spans="1:16" x14ac:dyDescent="0.25">
      <c r="A506" s="2" t="s">
        <v>3323</v>
      </c>
      <c r="B506" s="3">
        <v>43467</v>
      </c>
      <c r="C506" s="2" t="s">
        <v>3324</v>
      </c>
      <c r="D506" t="s">
        <v>6145</v>
      </c>
      <c r="E506" s="2">
        <v>3</v>
      </c>
      <c r="F506" s="2" t="str">
        <f>IFERROR(INDEX(customers!B$1:B$1001, MATCH(C506, customers!A$1:A$1001, 0)), "Not Found")</f>
        <v>Gladi Ducker</v>
      </c>
      <c r="G506" s="2" t="str">
        <f>IF(IFERROR(INDEX(customers!C$1:C$1001, MATCH(C506, customers!A$1:A$1001, 0)), "Not Found")=0,"",IFERROR(INDEX(customers!C$1:C$1001, MATCH(C506, customers!A$1:A$1001, 0)), "Not Found"))</f>
        <v>gduckerdx@patch.com</v>
      </c>
      <c r="H506" s="2" t="str">
        <f>IFERROR(INDEX(customers!G$1:G$1001, MATCH(C506, customers!A$1:A$1001, 0)), "Not Found")</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L506*E506</f>
        <v>14.265000000000001</v>
      </c>
      <c r="N506" t="str">
        <f>IF(I506="Rob","Robusta",IF(I506="Exc","Excelsa",IF(I506="Ara","Arabica",IF(I506="Lib","Laberica",""))))</f>
        <v>Laberica</v>
      </c>
      <c r="O506" t="str">
        <f t="shared" si="7"/>
        <v>Light</v>
      </c>
      <c r="P506" t="str">
        <f>INDEX(customers!$I$1:$I$1001, MATCH(Orders[[#This Row],[Customer ID]], customers!$A$1:$A$1001, 0))</f>
        <v>No</v>
      </c>
    </row>
    <row r="507" spans="1:16" x14ac:dyDescent="0.25">
      <c r="A507" s="2" t="s">
        <v>3343</v>
      </c>
      <c r="B507" s="3">
        <v>44609</v>
      </c>
      <c r="C507" s="2" t="s">
        <v>3344</v>
      </c>
      <c r="D507" t="s">
        <v>6159</v>
      </c>
      <c r="E507" s="2">
        <v>6</v>
      </c>
      <c r="F507" s="2" t="str">
        <f>IFERROR(INDEX(customers!B$1:B$1001, MATCH(C507, customers!A$1:A$1001, 0)), "Not Found")</f>
        <v>Wain Stearley</v>
      </c>
      <c r="G507" s="2" t="str">
        <f>IF(IFERROR(INDEX(customers!C$1:C$1001, MATCH(C507, customers!A$1:A$1001, 0)), "Not Found")=0,"",IFERROR(INDEX(customers!C$1:C$1001, MATCH(C507, customers!A$1:A$1001, 0)), "Not Found"))</f>
        <v>wstearleye1@census.gov</v>
      </c>
      <c r="H507" s="2" t="str">
        <f>IFERROR(INDEX(customers!G$1:G$1001, MATCH(C507, customers!A$1:A$1001, 0)), "Not Found")</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L507*E507</f>
        <v>26.19</v>
      </c>
      <c r="N507" t="str">
        <f>IF(I507="Rob","Robusta",IF(I507="Exc","Excelsa",IF(I507="Ara","Arabica",IF(I507="Lib","Laberica",""))))</f>
        <v>Laberica</v>
      </c>
      <c r="O507" t="str">
        <f t="shared" si="7"/>
        <v>Medium</v>
      </c>
      <c r="P507" t="str">
        <f>INDEX(customers!$I$1:$I$1001, MATCH(Orders[[#This Row],[Customer ID]], customers!$A$1:$A$1001, 0))</f>
        <v>No</v>
      </c>
    </row>
    <row r="508" spans="1:16" x14ac:dyDescent="0.25">
      <c r="A508" s="2" t="s">
        <v>3349</v>
      </c>
      <c r="B508" s="3">
        <v>44184</v>
      </c>
      <c r="C508" s="2" t="s">
        <v>3350</v>
      </c>
      <c r="D508" t="s">
        <v>6140</v>
      </c>
      <c r="E508" s="2">
        <v>2</v>
      </c>
      <c r="F508" s="2" t="str">
        <f>IFERROR(INDEX(customers!B$1:B$1001, MATCH(C508, customers!A$1:A$1001, 0)), "Not Found")</f>
        <v>Diane-marie Wincer</v>
      </c>
      <c r="G508" s="2" t="str">
        <f>IF(IFERROR(INDEX(customers!C$1:C$1001, MATCH(C508, customers!A$1:A$1001, 0)), "Not Found")=0,"",IFERROR(INDEX(customers!C$1:C$1001, MATCH(C508, customers!A$1:A$1001, 0)), "Not Found"))</f>
        <v>dwincere2@marriott.com</v>
      </c>
      <c r="H508" s="2" t="str">
        <f>IFERROR(INDEX(customers!G$1:G$1001, MATCH(C508, customers!A$1:A$1001, 0)), "Not Found")</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L508*E508</f>
        <v>25.9</v>
      </c>
      <c r="N508" t="str">
        <f>IF(I508="Rob","Robusta",IF(I508="Exc","Excelsa",IF(I508="Ara","Arabica",IF(I508="Lib","Laberica",""))))</f>
        <v>Arabica</v>
      </c>
      <c r="O508" t="str">
        <f t="shared" si="7"/>
        <v>Light</v>
      </c>
      <c r="P508" t="str">
        <f>INDEX(customers!$I$1:$I$1001, MATCH(Orders[[#This Row],[Customer ID]], customers!$A$1:$A$1001, 0))</f>
        <v>Yes</v>
      </c>
    </row>
    <row r="509" spans="1:16" x14ac:dyDescent="0.25">
      <c r="A509" s="2" t="s">
        <v>3355</v>
      </c>
      <c r="B509" s="3">
        <v>43516</v>
      </c>
      <c r="C509" s="2" t="s">
        <v>3356</v>
      </c>
      <c r="D509" t="s">
        <v>6182</v>
      </c>
      <c r="E509" s="2">
        <v>3</v>
      </c>
      <c r="F509" s="2" t="str">
        <f>IFERROR(INDEX(customers!B$1:B$1001, MATCH(C509, customers!A$1:A$1001, 0)), "Not Found")</f>
        <v>Perry Lyfield</v>
      </c>
      <c r="G509" s="2" t="str">
        <f>IF(IFERROR(INDEX(customers!C$1:C$1001, MATCH(C509, customers!A$1:A$1001, 0)), "Not Found")=0,"",IFERROR(INDEX(customers!C$1:C$1001, MATCH(C509, customers!A$1:A$1001, 0)), "Not Found"))</f>
        <v>plyfielde3@baidu.com</v>
      </c>
      <c r="H509" s="2" t="str">
        <f>IFERROR(INDEX(customers!G$1:G$1001, MATCH(C509, customers!A$1:A$1001, 0)), "Not Found")</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L509*E509</f>
        <v>89.35499999999999</v>
      </c>
      <c r="N509" t="str">
        <f>IF(I509="Rob","Robusta",IF(I509="Exc","Excelsa",IF(I509="Ara","Arabica",IF(I509="Lib","Laberica",""))))</f>
        <v>Arabica</v>
      </c>
      <c r="O509" t="str">
        <f t="shared" si="7"/>
        <v>Light</v>
      </c>
      <c r="P509" t="str">
        <f>INDEX(customers!$I$1:$I$1001, MATCH(Orders[[#This Row],[Customer ID]], customers!$A$1:$A$1001, 0))</f>
        <v>Yes</v>
      </c>
    </row>
    <row r="510" spans="1:16" x14ac:dyDescent="0.25">
      <c r="A510" s="2" t="s">
        <v>3361</v>
      </c>
      <c r="B510" s="3">
        <v>44210</v>
      </c>
      <c r="C510" s="2" t="s">
        <v>3362</v>
      </c>
      <c r="D510" t="s">
        <v>6169</v>
      </c>
      <c r="E510" s="2">
        <v>6</v>
      </c>
      <c r="F510" s="2" t="str">
        <f>IFERROR(INDEX(customers!B$1:B$1001, MATCH(C510, customers!A$1:A$1001, 0)), "Not Found")</f>
        <v>Heall Perris</v>
      </c>
      <c r="G510" s="2" t="str">
        <f>IF(IFERROR(INDEX(customers!C$1:C$1001, MATCH(C510, customers!A$1:A$1001, 0)), "Not Found")=0,"",IFERROR(INDEX(customers!C$1:C$1001, MATCH(C510, customers!A$1:A$1001, 0)), "Not Found"))</f>
        <v>hperrise4@studiopress.com</v>
      </c>
      <c r="H510" s="2" t="str">
        <f>IFERROR(INDEX(customers!G$1:G$1001, MATCH(C510, customers!A$1:A$1001, 0)), "Not Found")</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L510*E510</f>
        <v>46.62</v>
      </c>
      <c r="N510" t="str">
        <f>IF(I510="Rob","Robusta",IF(I510="Exc","Excelsa",IF(I510="Ara","Arabica",IF(I510="Lib","Laberica",""))))</f>
        <v>Laberica</v>
      </c>
      <c r="O510" t="str">
        <f t="shared" si="7"/>
        <v>Dark</v>
      </c>
      <c r="P510" t="str">
        <f>INDEX(customers!$I$1:$I$1001, MATCH(Orders[[#This Row],[Customer ID]], customers!$A$1:$A$1001, 0))</f>
        <v>No</v>
      </c>
    </row>
    <row r="511" spans="1:16" x14ac:dyDescent="0.25">
      <c r="A511" s="2" t="s">
        <v>3367</v>
      </c>
      <c r="B511" s="3">
        <v>43785</v>
      </c>
      <c r="C511" s="2" t="s">
        <v>3368</v>
      </c>
      <c r="D511" t="s">
        <v>6147</v>
      </c>
      <c r="E511" s="2">
        <v>3</v>
      </c>
      <c r="F511" s="2" t="str">
        <f>IFERROR(INDEX(customers!B$1:B$1001, MATCH(C511, customers!A$1:A$1001, 0)), "Not Found")</f>
        <v>Marja Urion</v>
      </c>
      <c r="G511" s="2" t="str">
        <f>IF(IFERROR(INDEX(customers!C$1:C$1001, MATCH(C511, customers!A$1:A$1001, 0)), "Not Found")=0,"",IFERROR(INDEX(customers!C$1:C$1001, MATCH(C511, customers!A$1:A$1001, 0)), "Not Found"))</f>
        <v>murione5@alexa.com</v>
      </c>
      <c r="H511" s="2" t="str">
        <f>IFERROR(INDEX(customers!G$1:G$1001, MATCH(C511, customers!A$1:A$1001, 0)), "Not Found")</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L511*E511</f>
        <v>29.849999999999998</v>
      </c>
      <c r="N511" t="str">
        <f>IF(I511="Rob","Robusta",IF(I511="Exc","Excelsa",IF(I511="Ara","Arabica",IF(I511="Lib","Laberica",""))))</f>
        <v>Arabica</v>
      </c>
      <c r="O511" t="str">
        <f t="shared" si="7"/>
        <v>Dark</v>
      </c>
      <c r="P511" t="str">
        <f>INDEX(customers!$I$1:$I$1001, MATCH(Orders[[#This Row],[Customer ID]], customers!$A$1:$A$1001, 0))</f>
        <v>Yes</v>
      </c>
    </row>
    <row r="512" spans="1:16" x14ac:dyDescent="0.25">
      <c r="A512" s="2" t="s">
        <v>3373</v>
      </c>
      <c r="B512" s="3">
        <v>43803</v>
      </c>
      <c r="C512" s="2" t="s">
        <v>3374</v>
      </c>
      <c r="D512" t="s">
        <v>6178</v>
      </c>
      <c r="E512" s="2">
        <v>3</v>
      </c>
      <c r="F512" s="2" t="str">
        <f>IFERROR(INDEX(customers!B$1:B$1001, MATCH(C512, customers!A$1:A$1001, 0)), "Not Found")</f>
        <v>Camellia Kid</v>
      </c>
      <c r="G512" s="2" t="str">
        <f>IF(IFERROR(INDEX(customers!C$1:C$1001, MATCH(C512, customers!A$1:A$1001, 0)), "Not Found")=0,"",IFERROR(INDEX(customers!C$1:C$1001, MATCH(C512, customers!A$1:A$1001, 0)), "Not Found"))</f>
        <v>ckide6@narod.ru</v>
      </c>
      <c r="H512" s="2" t="str">
        <f>IFERROR(INDEX(customers!G$1:G$1001, MATCH(C512, customers!A$1:A$1001, 0)), "Not Found")</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L512*E512</f>
        <v>10.754999999999999</v>
      </c>
      <c r="N512" t="str">
        <f>IF(I512="Rob","Robusta",IF(I512="Exc","Excelsa",IF(I512="Ara","Arabica",IF(I512="Lib","Laberica",""))))</f>
        <v>Robusta</v>
      </c>
      <c r="O512" t="str">
        <f t="shared" si="7"/>
        <v>Light</v>
      </c>
      <c r="P512" t="str">
        <f>INDEX(customers!$I$1:$I$1001, MATCH(Orders[[#This Row],[Customer ID]], customers!$A$1:$A$1001, 0))</f>
        <v>Yes</v>
      </c>
    </row>
    <row r="513" spans="1:16" x14ac:dyDescent="0.25">
      <c r="A513" s="2" t="s">
        <v>3379</v>
      </c>
      <c r="B513" s="3">
        <v>44043</v>
      </c>
      <c r="C513" s="2" t="s">
        <v>3380</v>
      </c>
      <c r="D513" t="s">
        <v>6152</v>
      </c>
      <c r="E513" s="2">
        <v>4</v>
      </c>
      <c r="F513" s="2" t="str">
        <f>IFERROR(INDEX(customers!B$1:B$1001, MATCH(C513, customers!A$1:A$1001, 0)), "Not Found")</f>
        <v>Carolann Beine</v>
      </c>
      <c r="G513" s="2" t="str">
        <f>IF(IFERROR(INDEX(customers!C$1:C$1001, MATCH(C513, customers!A$1:A$1001, 0)), "Not Found")=0,"",IFERROR(INDEX(customers!C$1:C$1001, MATCH(C513, customers!A$1:A$1001, 0)), "Not Found"))</f>
        <v>cbeinee7@xinhuanet.com</v>
      </c>
      <c r="H513" s="2" t="str">
        <f>IFERROR(INDEX(customers!G$1:G$1001, MATCH(C513, customers!A$1:A$1001, 0)), "Not Found")</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L513*E513</f>
        <v>13.5</v>
      </c>
      <c r="N513" t="str">
        <f>IF(I513="Rob","Robusta",IF(I513="Exc","Excelsa",IF(I513="Ara","Arabica",IF(I513="Lib","Laberica",""))))</f>
        <v>Arabica</v>
      </c>
      <c r="O513" t="str">
        <f t="shared" si="7"/>
        <v>Medium</v>
      </c>
      <c r="P513" t="str">
        <f>INDEX(customers!$I$1:$I$1001, MATCH(Orders[[#This Row],[Customer ID]], customers!$A$1:$A$1001, 0))</f>
        <v>Yes</v>
      </c>
    </row>
    <row r="514" spans="1:16" x14ac:dyDescent="0.25">
      <c r="A514" s="2" t="s">
        <v>3385</v>
      </c>
      <c r="B514" s="3">
        <v>43535</v>
      </c>
      <c r="C514" s="2" t="s">
        <v>3386</v>
      </c>
      <c r="D514" t="s">
        <v>6170</v>
      </c>
      <c r="E514" s="2">
        <v>3</v>
      </c>
      <c r="F514" s="2" t="str">
        <f>IFERROR(INDEX(customers!B$1:B$1001, MATCH(C514, customers!A$1:A$1001, 0)), "Not Found")</f>
        <v>Celia Bakeup</v>
      </c>
      <c r="G514" s="2" t="str">
        <f>IF(IFERROR(INDEX(customers!C$1:C$1001, MATCH(C514, customers!A$1:A$1001, 0)), "Not Found")=0,"",IFERROR(INDEX(customers!C$1:C$1001, MATCH(C514, customers!A$1:A$1001, 0)), "Not Found"))</f>
        <v>cbakeupe8@globo.com</v>
      </c>
      <c r="H514" s="2" t="str">
        <f>IFERROR(INDEX(customers!G$1:G$1001, MATCH(C514, customers!A$1:A$1001, 0)), "Not Found")</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L514*E514</f>
        <v>47.55</v>
      </c>
      <c r="N514" t="str">
        <f>IF(I514="Rob","Robusta",IF(I514="Exc","Excelsa",IF(I514="Ara","Arabica",IF(I514="Lib","Laberica",""))))</f>
        <v>Laberica</v>
      </c>
      <c r="O514" t="str">
        <f t="shared" si="7"/>
        <v>Light</v>
      </c>
      <c r="P514" t="str">
        <f>INDEX(customers!$I$1:$I$1001, MATCH(Orders[[#This Row],[Customer ID]], customers!$A$1:$A$1001, 0))</f>
        <v>No</v>
      </c>
    </row>
    <row r="515" spans="1:16" x14ac:dyDescent="0.25">
      <c r="A515" s="2" t="s">
        <v>3391</v>
      </c>
      <c r="B515" s="3">
        <v>44691</v>
      </c>
      <c r="C515" s="2" t="s">
        <v>3392</v>
      </c>
      <c r="D515" t="s">
        <v>6170</v>
      </c>
      <c r="E515" s="2">
        <v>5</v>
      </c>
      <c r="F515" s="2" t="str">
        <f>IFERROR(INDEX(customers!B$1:B$1001, MATCH(C515, customers!A$1:A$1001, 0)), "Not Found")</f>
        <v>Nataniel Helkin</v>
      </c>
      <c r="G515" s="2" t="str">
        <f>IF(IFERROR(INDEX(customers!C$1:C$1001, MATCH(C515, customers!A$1:A$1001, 0)), "Not Found")=0,"",IFERROR(INDEX(customers!C$1:C$1001, MATCH(C515, customers!A$1:A$1001, 0)), "Not Found"))</f>
        <v>nhelkine9@example.com</v>
      </c>
      <c r="H515" s="2" t="str">
        <f>IFERROR(INDEX(customers!G$1:G$1001, MATCH(C515, customers!A$1:A$1001, 0)), "Not Found")</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L515*E515</f>
        <v>79.25</v>
      </c>
      <c r="N515" t="str">
        <f>IF(I515="Rob","Robusta",IF(I515="Exc","Excelsa",IF(I515="Ara","Arabica",IF(I515="Lib","Laberica",""))))</f>
        <v>Laberica</v>
      </c>
      <c r="O515" t="str">
        <f t="shared" ref="O515:O578" si="8">IF(J515="M","Medium",IF(J515="L","Light",IF(J515="D","Dark","")))</f>
        <v>Light</v>
      </c>
      <c r="P515" t="str">
        <f>INDEX(customers!$I$1:$I$1001, MATCH(Orders[[#This Row],[Customer ID]], customers!$A$1:$A$1001, 0))</f>
        <v>No</v>
      </c>
    </row>
    <row r="516" spans="1:16" x14ac:dyDescent="0.25">
      <c r="A516" s="2" t="s">
        <v>3396</v>
      </c>
      <c r="B516" s="3">
        <v>44555</v>
      </c>
      <c r="C516" s="2" t="s">
        <v>3397</v>
      </c>
      <c r="D516" t="s">
        <v>6159</v>
      </c>
      <c r="E516" s="2">
        <v>6</v>
      </c>
      <c r="F516" s="2" t="str">
        <f>IFERROR(INDEX(customers!B$1:B$1001, MATCH(C516, customers!A$1:A$1001, 0)), "Not Found")</f>
        <v>Pippo Witherington</v>
      </c>
      <c r="G516" s="2" t="str">
        <f>IF(IFERROR(INDEX(customers!C$1:C$1001, MATCH(C516, customers!A$1:A$1001, 0)), "Not Found")=0,"",IFERROR(INDEX(customers!C$1:C$1001, MATCH(C516, customers!A$1:A$1001, 0)), "Not Found"))</f>
        <v>pwitheringtonea@networkadvertising.org</v>
      </c>
      <c r="H516" s="2" t="str">
        <f>IFERROR(INDEX(customers!G$1:G$1001, MATCH(C516, customers!A$1:A$1001, 0)), "Not Found")</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L516*E516</f>
        <v>26.19</v>
      </c>
      <c r="N516" t="str">
        <f>IF(I516="Rob","Robusta",IF(I516="Exc","Excelsa",IF(I516="Ara","Arabica",IF(I516="Lib","Laberica",""))))</f>
        <v>Laberica</v>
      </c>
      <c r="O516" t="str">
        <f t="shared" si="8"/>
        <v>Medium</v>
      </c>
      <c r="P516" t="str">
        <f>INDEX(customers!$I$1:$I$1001, MATCH(Orders[[#This Row],[Customer ID]], customers!$A$1:$A$1001, 0))</f>
        <v>Yes</v>
      </c>
    </row>
    <row r="517" spans="1:16" x14ac:dyDescent="0.25">
      <c r="A517" s="2" t="s">
        <v>3402</v>
      </c>
      <c r="B517" s="3">
        <v>44673</v>
      </c>
      <c r="C517" s="2" t="s">
        <v>3403</v>
      </c>
      <c r="D517" t="s">
        <v>6173</v>
      </c>
      <c r="E517" s="2">
        <v>3</v>
      </c>
      <c r="F517" s="2" t="str">
        <f>IFERROR(INDEX(customers!B$1:B$1001, MATCH(C517, customers!A$1:A$1001, 0)), "Not Found")</f>
        <v>Tildie Tilzey</v>
      </c>
      <c r="G517" s="2" t="str">
        <f>IF(IFERROR(INDEX(customers!C$1:C$1001, MATCH(C517, customers!A$1:A$1001, 0)), "Not Found")=0,"",IFERROR(INDEX(customers!C$1:C$1001, MATCH(C517, customers!A$1:A$1001, 0)), "Not Found"))</f>
        <v>ttilzeyeb@hostgator.com</v>
      </c>
      <c r="H517" s="2" t="str">
        <f>IFERROR(INDEX(customers!G$1:G$1001, MATCH(C517, customers!A$1:A$1001, 0)), "Not Found")</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L517*E517</f>
        <v>21.509999999999998</v>
      </c>
      <c r="N517" t="str">
        <f>IF(I517="Rob","Robusta",IF(I517="Exc","Excelsa",IF(I517="Ara","Arabica",IF(I517="Lib","Laberica",""))))</f>
        <v>Robusta</v>
      </c>
      <c r="O517" t="str">
        <f t="shared" si="8"/>
        <v>Light</v>
      </c>
      <c r="P517" t="str">
        <f>INDEX(customers!$I$1:$I$1001, MATCH(Orders[[#This Row],[Customer ID]], customers!$A$1:$A$1001, 0))</f>
        <v>No</v>
      </c>
    </row>
    <row r="518" spans="1:16" x14ac:dyDescent="0.25">
      <c r="A518" s="2" t="s">
        <v>3408</v>
      </c>
      <c r="B518" s="3">
        <v>44723</v>
      </c>
      <c r="C518" s="2" t="s">
        <v>3409</v>
      </c>
      <c r="D518" t="s">
        <v>6149</v>
      </c>
      <c r="E518" s="2">
        <v>5</v>
      </c>
      <c r="F518" s="2" t="str">
        <f>IFERROR(INDEX(customers!B$1:B$1001, MATCH(C518, customers!A$1:A$1001, 0)), "Not Found")</f>
        <v>Cindra Burling</v>
      </c>
      <c r="G518" s="2" t="str">
        <f>IF(IFERROR(INDEX(customers!C$1:C$1001, MATCH(C518, customers!A$1:A$1001, 0)), "Not Found")=0,"",IFERROR(INDEX(customers!C$1:C$1001, MATCH(C518, customers!A$1:A$1001, 0)), "Not Found"))</f>
        <v/>
      </c>
      <c r="H518" s="2" t="str">
        <f>IFERROR(INDEX(customers!G$1:G$1001, MATCH(C518, customers!A$1:A$1001, 0)), "Not Found")</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L518*E518</f>
        <v>102.92499999999998</v>
      </c>
      <c r="N518" t="str">
        <f>IF(I518="Rob","Robusta",IF(I518="Exc","Excelsa",IF(I518="Ara","Arabica",IF(I518="Lib","Laberica",""))))</f>
        <v>Robusta</v>
      </c>
      <c r="O518" t="str">
        <f t="shared" si="8"/>
        <v>Dark</v>
      </c>
      <c r="P518" t="str">
        <f>INDEX(customers!$I$1:$I$1001, MATCH(Orders[[#This Row],[Customer ID]], customers!$A$1:$A$1001, 0))</f>
        <v>Yes</v>
      </c>
    </row>
    <row r="519" spans="1:16" x14ac:dyDescent="0.25">
      <c r="A519" s="2" t="s">
        <v>3413</v>
      </c>
      <c r="B519" s="3">
        <v>44678</v>
      </c>
      <c r="C519" s="2" t="s">
        <v>3414</v>
      </c>
      <c r="D519" t="s">
        <v>6150</v>
      </c>
      <c r="E519" s="2">
        <v>2</v>
      </c>
      <c r="F519" s="2" t="str">
        <f>IFERROR(INDEX(customers!B$1:B$1001, MATCH(C519, customers!A$1:A$1001, 0)), "Not Found")</f>
        <v>Channa Belamy</v>
      </c>
      <c r="G519" s="2" t="str">
        <f>IF(IFERROR(INDEX(customers!C$1:C$1001, MATCH(C519, customers!A$1:A$1001, 0)), "Not Found")=0,"",IFERROR(INDEX(customers!C$1:C$1001, MATCH(C519, customers!A$1:A$1001, 0)), "Not Found"))</f>
        <v/>
      </c>
      <c r="H519" s="2" t="str">
        <f>IFERROR(INDEX(customers!G$1:G$1001, MATCH(C519, customers!A$1:A$1001, 0)), "Not Found")</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L519*E519</f>
        <v>7.77</v>
      </c>
      <c r="N519" t="str">
        <f>IF(I519="Rob","Robusta",IF(I519="Exc","Excelsa",IF(I519="Ara","Arabica",IF(I519="Lib","Laberica",""))))</f>
        <v>Laberica</v>
      </c>
      <c r="O519" t="str">
        <f t="shared" si="8"/>
        <v>Dark</v>
      </c>
      <c r="P519" t="str">
        <f>INDEX(customers!$I$1:$I$1001, MATCH(Orders[[#This Row],[Customer ID]], customers!$A$1:$A$1001, 0))</f>
        <v>No</v>
      </c>
    </row>
    <row r="520" spans="1:16" x14ac:dyDescent="0.25">
      <c r="A520" s="2" t="s">
        <v>3418</v>
      </c>
      <c r="B520" s="3">
        <v>44194</v>
      </c>
      <c r="C520" s="2" t="s">
        <v>3419</v>
      </c>
      <c r="D520" t="s">
        <v>6185</v>
      </c>
      <c r="E520" s="2">
        <v>5</v>
      </c>
      <c r="F520" s="2" t="str">
        <f>IFERROR(INDEX(customers!B$1:B$1001, MATCH(C520, customers!A$1:A$1001, 0)), "Not Found")</f>
        <v>Karl Imorts</v>
      </c>
      <c r="G520" s="2" t="str">
        <f>IF(IFERROR(INDEX(customers!C$1:C$1001, MATCH(C520, customers!A$1:A$1001, 0)), "Not Found")=0,"",IFERROR(INDEX(customers!C$1:C$1001, MATCH(C520, customers!A$1:A$1001, 0)), "Not Found"))</f>
        <v>kimortsee@alexa.com</v>
      </c>
      <c r="H520" s="2" t="str">
        <f>IFERROR(INDEX(customers!G$1:G$1001, MATCH(C520, customers!A$1:A$1001, 0)), "Not Found")</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L520*E520</f>
        <v>139.72499999999999</v>
      </c>
      <c r="N520" t="str">
        <f>IF(I520="Rob","Robusta",IF(I520="Exc","Excelsa",IF(I520="Ara","Arabica",IF(I520="Lib","Laberica",""))))</f>
        <v>Excelsa</v>
      </c>
      <c r="O520" t="str">
        <f t="shared" si="8"/>
        <v>Dark</v>
      </c>
      <c r="P520" t="str">
        <f>INDEX(customers!$I$1:$I$1001, MATCH(Orders[[#This Row],[Customer ID]], customers!$A$1:$A$1001, 0))</f>
        <v>No</v>
      </c>
    </row>
    <row r="521" spans="1:16" x14ac:dyDescent="0.25">
      <c r="A521" s="2" t="s">
        <v>3424</v>
      </c>
      <c r="B521" s="3">
        <v>44026</v>
      </c>
      <c r="C521" s="2" t="s">
        <v>3368</v>
      </c>
      <c r="D521" t="s">
        <v>6158</v>
      </c>
      <c r="E521" s="2">
        <v>2</v>
      </c>
      <c r="F521" s="2" t="str">
        <f>IFERROR(INDEX(customers!B$1:B$1001, MATCH(C521, customers!A$1:A$1001, 0)), "Not Found")</f>
        <v>Marja Urion</v>
      </c>
      <c r="G521" s="2" t="str">
        <f>IF(IFERROR(INDEX(customers!C$1:C$1001, MATCH(C521, customers!A$1:A$1001, 0)), "Not Found")=0,"",IFERROR(INDEX(customers!C$1:C$1001, MATCH(C521, customers!A$1:A$1001, 0)), "Not Found"))</f>
        <v>murione5@alexa.com</v>
      </c>
      <c r="H521" s="2" t="str">
        <f>IFERROR(INDEX(customers!G$1:G$1001, MATCH(C521, customers!A$1:A$1001, 0)), "Not Found")</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L521*E521</f>
        <v>11.94</v>
      </c>
      <c r="N521" t="str">
        <f>IF(I521="Rob","Robusta",IF(I521="Exc","Excelsa",IF(I521="Ara","Arabica",IF(I521="Lib","Laberica",""))))</f>
        <v>Arabica</v>
      </c>
      <c r="O521" t="str">
        <f t="shared" si="8"/>
        <v>Dark</v>
      </c>
      <c r="P521" t="str">
        <f>INDEX(customers!$I$1:$I$1001, MATCH(Orders[[#This Row],[Customer ID]], customers!$A$1:$A$1001, 0))</f>
        <v>Yes</v>
      </c>
    </row>
    <row r="522" spans="1:16" x14ac:dyDescent="0.25">
      <c r="A522" s="2" t="s">
        <v>3430</v>
      </c>
      <c r="B522" s="3">
        <v>44446</v>
      </c>
      <c r="C522" s="2" t="s">
        <v>3431</v>
      </c>
      <c r="D522" t="s">
        <v>6150</v>
      </c>
      <c r="E522" s="2">
        <v>1</v>
      </c>
      <c r="F522" s="2" t="str">
        <f>IFERROR(INDEX(customers!B$1:B$1001, MATCH(C522, customers!A$1:A$1001, 0)), "Not Found")</f>
        <v>Mag Armistead</v>
      </c>
      <c r="G522" s="2" t="str">
        <f>IF(IFERROR(INDEX(customers!C$1:C$1001, MATCH(C522, customers!A$1:A$1001, 0)), "Not Found")=0,"",IFERROR(INDEX(customers!C$1:C$1001, MATCH(C522, customers!A$1:A$1001, 0)), "Not Found"))</f>
        <v>marmisteadeg@blogtalkradio.com</v>
      </c>
      <c r="H522" s="2" t="str">
        <f>IFERROR(INDEX(customers!G$1:G$1001, MATCH(C522, customers!A$1:A$1001, 0)), "Not Found")</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L522*E522</f>
        <v>3.8849999999999998</v>
      </c>
      <c r="N522" t="str">
        <f>IF(I522="Rob","Robusta",IF(I522="Exc","Excelsa",IF(I522="Ara","Arabica",IF(I522="Lib","Laberica",""))))</f>
        <v>Laberica</v>
      </c>
      <c r="O522" t="str">
        <f t="shared" si="8"/>
        <v>Dark</v>
      </c>
      <c r="P522" t="str">
        <f>INDEX(customers!$I$1:$I$1001, MATCH(Orders[[#This Row],[Customer ID]], customers!$A$1:$A$1001, 0))</f>
        <v>No</v>
      </c>
    </row>
    <row r="523" spans="1:16" x14ac:dyDescent="0.25">
      <c r="A523" s="2" t="s">
        <v>3430</v>
      </c>
      <c r="B523" s="3">
        <v>44446</v>
      </c>
      <c r="C523" s="2" t="s">
        <v>3431</v>
      </c>
      <c r="D523" t="s">
        <v>6138</v>
      </c>
      <c r="E523" s="2">
        <v>4</v>
      </c>
      <c r="F523" s="2" t="str">
        <f>IFERROR(INDEX(customers!B$1:B$1001, MATCH(C523, customers!A$1:A$1001, 0)), "Not Found")</f>
        <v>Mag Armistead</v>
      </c>
      <c r="G523" s="2" t="str">
        <f>IF(IFERROR(INDEX(customers!C$1:C$1001, MATCH(C523, customers!A$1:A$1001, 0)), "Not Found")=0,"",IFERROR(INDEX(customers!C$1:C$1001, MATCH(C523, customers!A$1:A$1001, 0)), "Not Found"))</f>
        <v>marmisteadeg@blogtalkradio.com</v>
      </c>
      <c r="H523" s="2" t="str">
        <f>IFERROR(INDEX(customers!G$1:G$1001, MATCH(C523, customers!A$1:A$1001, 0)), "Not Found")</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L523*E523</f>
        <v>39.799999999999997</v>
      </c>
      <c r="N523" t="str">
        <f>IF(I523="Rob","Robusta",IF(I523="Exc","Excelsa",IF(I523="Ara","Arabica",IF(I523="Lib","Laberica",""))))</f>
        <v>Robusta</v>
      </c>
      <c r="O523" t="str">
        <f t="shared" si="8"/>
        <v>Medium</v>
      </c>
      <c r="P523" t="str">
        <f>INDEX(customers!$I$1:$I$1001, MATCH(Orders[[#This Row],[Customer ID]], customers!$A$1:$A$1001, 0))</f>
        <v>No</v>
      </c>
    </row>
    <row r="524" spans="1:16" x14ac:dyDescent="0.25">
      <c r="A524" s="2" t="s">
        <v>3441</v>
      </c>
      <c r="B524" s="3">
        <v>43625</v>
      </c>
      <c r="C524" s="2" t="s">
        <v>3442</v>
      </c>
      <c r="D524" t="s">
        <v>6146</v>
      </c>
      <c r="E524" s="2">
        <v>5</v>
      </c>
      <c r="F524" s="2" t="str">
        <f>IFERROR(INDEX(customers!B$1:B$1001, MATCH(C524, customers!A$1:A$1001, 0)), "Not Found")</f>
        <v>Vasili Upstone</v>
      </c>
      <c r="G524" s="2" t="str">
        <f>IF(IFERROR(INDEX(customers!C$1:C$1001, MATCH(C524, customers!A$1:A$1001, 0)), "Not Found")=0,"",IFERROR(INDEX(customers!C$1:C$1001, MATCH(C524, customers!A$1:A$1001, 0)), "Not Found"))</f>
        <v>vupstoneei@google.pl</v>
      </c>
      <c r="H524" s="2" t="str">
        <f>IFERROR(INDEX(customers!G$1:G$1001, MATCH(C524, customers!A$1:A$1001, 0)), "Not Found")</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L524*E524</f>
        <v>29.849999999999998</v>
      </c>
      <c r="N524" t="str">
        <f>IF(I524="Rob","Robusta",IF(I524="Exc","Excelsa",IF(I524="Ara","Arabica",IF(I524="Lib","Laberica",""))))</f>
        <v>Robusta</v>
      </c>
      <c r="O524" t="str">
        <f t="shared" si="8"/>
        <v>Medium</v>
      </c>
      <c r="P524" t="str">
        <f>INDEX(customers!$I$1:$I$1001, MATCH(Orders[[#This Row],[Customer ID]], customers!$A$1:$A$1001, 0))</f>
        <v>No</v>
      </c>
    </row>
    <row r="525" spans="1:16" x14ac:dyDescent="0.25">
      <c r="A525" s="2" t="s">
        <v>3447</v>
      </c>
      <c r="B525" s="3">
        <v>44129</v>
      </c>
      <c r="C525" s="2" t="s">
        <v>3448</v>
      </c>
      <c r="D525" t="s">
        <v>6165</v>
      </c>
      <c r="E525" s="2">
        <v>1</v>
      </c>
      <c r="F525" s="2" t="str">
        <f>IFERROR(INDEX(customers!B$1:B$1001, MATCH(C525, customers!A$1:A$1001, 0)), "Not Found")</f>
        <v>Berty Beelby</v>
      </c>
      <c r="G525" s="2" t="str">
        <f>IF(IFERROR(INDEX(customers!C$1:C$1001, MATCH(C525, customers!A$1:A$1001, 0)), "Not Found")=0,"",IFERROR(INDEX(customers!C$1:C$1001, MATCH(C525, customers!A$1:A$1001, 0)), "Not Found"))</f>
        <v>bbeelbyej@rediff.com</v>
      </c>
      <c r="H525" s="2" t="str">
        <f>IFERROR(INDEX(customers!G$1:G$1001, MATCH(C525, customers!A$1:A$1001, 0)), "Not Found")</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L525*E525</f>
        <v>29.784999999999997</v>
      </c>
      <c r="N525" t="str">
        <f>IF(I525="Rob","Robusta",IF(I525="Exc","Excelsa",IF(I525="Ara","Arabica",IF(I525="Lib","Laberica",""))))</f>
        <v>Laberica</v>
      </c>
      <c r="O525" t="str">
        <f t="shared" si="8"/>
        <v>Dark</v>
      </c>
      <c r="P525" t="str">
        <f>INDEX(customers!$I$1:$I$1001, MATCH(Orders[[#This Row],[Customer ID]], customers!$A$1:$A$1001, 0))</f>
        <v>No</v>
      </c>
    </row>
    <row r="526" spans="1:16" x14ac:dyDescent="0.25">
      <c r="A526" s="2" t="s">
        <v>3453</v>
      </c>
      <c r="B526" s="3">
        <v>44255</v>
      </c>
      <c r="C526" s="2" t="s">
        <v>3454</v>
      </c>
      <c r="D526" t="s">
        <v>6164</v>
      </c>
      <c r="E526" s="2">
        <v>2</v>
      </c>
      <c r="F526" s="2" t="str">
        <f>IFERROR(INDEX(customers!B$1:B$1001, MATCH(C526, customers!A$1:A$1001, 0)), "Not Found")</f>
        <v>Erny Stenyng</v>
      </c>
      <c r="G526" s="2" t="str">
        <f>IF(IFERROR(INDEX(customers!C$1:C$1001, MATCH(C526, customers!A$1:A$1001, 0)), "Not Found")=0,"",IFERROR(INDEX(customers!C$1:C$1001, MATCH(C526, customers!A$1:A$1001, 0)), "Not Found"))</f>
        <v/>
      </c>
      <c r="H526" s="2" t="str">
        <f>IFERROR(INDEX(customers!G$1:G$1001, MATCH(C526, customers!A$1:A$1001, 0)), "Not Found")</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L526*E526</f>
        <v>72.91</v>
      </c>
      <c r="N526" t="str">
        <f>IF(I526="Rob","Robusta",IF(I526="Exc","Excelsa",IF(I526="Ara","Arabica",IF(I526="Lib","Laberica",""))))</f>
        <v>Laberica</v>
      </c>
      <c r="O526" t="str">
        <f t="shared" si="8"/>
        <v>Light</v>
      </c>
      <c r="P526" t="str">
        <f>INDEX(customers!$I$1:$I$1001, MATCH(Orders[[#This Row],[Customer ID]], customers!$A$1:$A$1001, 0))</f>
        <v>No</v>
      </c>
    </row>
    <row r="527" spans="1:16" x14ac:dyDescent="0.25">
      <c r="A527" s="2" t="s">
        <v>3458</v>
      </c>
      <c r="B527" s="3">
        <v>44038</v>
      </c>
      <c r="C527" s="2" t="s">
        <v>3459</v>
      </c>
      <c r="D527" t="s">
        <v>6163</v>
      </c>
      <c r="E527" s="2">
        <v>5</v>
      </c>
      <c r="F527" s="2" t="str">
        <f>IFERROR(INDEX(customers!B$1:B$1001, MATCH(C527, customers!A$1:A$1001, 0)), "Not Found")</f>
        <v>Edin Yantsurev</v>
      </c>
      <c r="G527" s="2" t="str">
        <f>IF(IFERROR(INDEX(customers!C$1:C$1001, MATCH(C527, customers!A$1:A$1001, 0)), "Not Found")=0,"",IFERROR(INDEX(customers!C$1:C$1001, MATCH(C527, customers!A$1:A$1001, 0)), "Not Found"))</f>
        <v/>
      </c>
      <c r="H527" s="2" t="str">
        <f>IFERROR(INDEX(customers!G$1:G$1001, MATCH(C527, customers!A$1:A$1001, 0)), "Not Found")</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L527*E527</f>
        <v>13.424999999999997</v>
      </c>
      <c r="N527" t="str">
        <f>IF(I527="Rob","Robusta",IF(I527="Exc","Excelsa",IF(I527="Ara","Arabica",IF(I527="Lib","Laberica",""))))</f>
        <v>Robusta</v>
      </c>
      <c r="O527" t="str">
        <f t="shared" si="8"/>
        <v>Dark</v>
      </c>
      <c r="P527" t="str">
        <f>INDEX(customers!$I$1:$I$1001, MATCH(Orders[[#This Row],[Customer ID]], customers!$A$1:$A$1001, 0))</f>
        <v>Yes</v>
      </c>
    </row>
    <row r="528" spans="1:16" x14ac:dyDescent="0.25">
      <c r="A528" s="2" t="s">
        <v>3463</v>
      </c>
      <c r="B528" s="3">
        <v>44717</v>
      </c>
      <c r="C528" s="2" t="s">
        <v>3464</v>
      </c>
      <c r="D528" t="s">
        <v>6166</v>
      </c>
      <c r="E528" s="2">
        <v>4</v>
      </c>
      <c r="F528" s="2" t="str">
        <f>IFERROR(INDEX(customers!B$1:B$1001, MATCH(C528, customers!A$1:A$1001, 0)), "Not Found")</f>
        <v>Webb Speechly</v>
      </c>
      <c r="G528" s="2" t="str">
        <f>IF(IFERROR(INDEX(customers!C$1:C$1001, MATCH(C528, customers!A$1:A$1001, 0)), "Not Found")=0,"",IFERROR(INDEX(customers!C$1:C$1001, MATCH(C528, customers!A$1:A$1001, 0)), "Not Found"))</f>
        <v>wspeechlyem@amazon.com</v>
      </c>
      <c r="H528" s="2" t="str">
        <f>IFERROR(INDEX(customers!G$1:G$1001, MATCH(C528, customers!A$1:A$1001, 0)), "Not Found")</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L528*E528</f>
        <v>126.49999999999999</v>
      </c>
      <c r="N528" t="str">
        <f>IF(I528="Rob","Robusta",IF(I528="Exc","Excelsa",IF(I528="Ara","Arabica",IF(I528="Lib","Laberica",""))))</f>
        <v>Excelsa</v>
      </c>
      <c r="O528" t="str">
        <f t="shared" si="8"/>
        <v>Medium</v>
      </c>
      <c r="P528" t="str">
        <f>INDEX(customers!$I$1:$I$1001, MATCH(Orders[[#This Row],[Customer ID]], customers!$A$1:$A$1001, 0))</f>
        <v>Yes</v>
      </c>
    </row>
    <row r="529" spans="1:16" x14ac:dyDescent="0.25">
      <c r="A529" s="2" t="s">
        <v>3469</v>
      </c>
      <c r="B529" s="3">
        <v>43517</v>
      </c>
      <c r="C529" s="2" t="s">
        <v>3470</v>
      </c>
      <c r="D529" t="s">
        <v>6139</v>
      </c>
      <c r="E529" s="2">
        <v>5</v>
      </c>
      <c r="F529" s="2" t="str">
        <f>IFERROR(INDEX(customers!B$1:B$1001, MATCH(C529, customers!A$1:A$1001, 0)), "Not Found")</f>
        <v>Irvine Phillpot</v>
      </c>
      <c r="G529" s="2" t="str">
        <f>IF(IFERROR(INDEX(customers!C$1:C$1001, MATCH(C529, customers!A$1:A$1001, 0)), "Not Found")=0,"",IFERROR(INDEX(customers!C$1:C$1001, MATCH(C529, customers!A$1:A$1001, 0)), "Not Found"))</f>
        <v>iphillpoten@buzzfeed.com</v>
      </c>
      <c r="H529" s="2" t="str">
        <f>IFERROR(INDEX(customers!G$1:G$1001, MATCH(C529, customers!A$1:A$1001, 0)), "Not Found")</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L529*E529</f>
        <v>41.25</v>
      </c>
      <c r="N529" t="str">
        <f>IF(I529="Rob","Robusta",IF(I529="Exc","Excelsa",IF(I529="Ara","Arabica",IF(I529="Lib","Laberica",""))))</f>
        <v>Excelsa</v>
      </c>
      <c r="O529" t="str">
        <f t="shared" si="8"/>
        <v>Medium</v>
      </c>
      <c r="P529" t="str">
        <f>INDEX(customers!$I$1:$I$1001, MATCH(Orders[[#This Row],[Customer ID]], customers!$A$1:$A$1001, 0))</f>
        <v>No</v>
      </c>
    </row>
    <row r="530" spans="1:16" x14ac:dyDescent="0.25">
      <c r="A530" s="2" t="s">
        <v>3475</v>
      </c>
      <c r="B530" s="3">
        <v>43926</v>
      </c>
      <c r="C530" s="2" t="s">
        <v>3476</v>
      </c>
      <c r="D530" t="s">
        <v>6176</v>
      </c>
      <c r="E530" s="2">
        <v>6</v>
      </c>
      <c r="F530" s="2" t="str">
        <f>IFERROR(INDEX(customers!B$1:B$1001, MATCH(C530, customers!A$1:A$1001, 0)), "Not Found")</f>
        <v>Lem Pennacci</v>
      </c>
      <c r="G530" s="2" t="str">
        <f>IF(IFERROR(INDEX(customers!C$1:C$1001, MATCH(C530, customers!A$1:A$1001, 0)), "Not Found")=0,"",IFERROR(INDEX(customers!C$1:C$1001, MATCH(C530, customers!A$1:A$1001, 0)), "Not Found"))</f>
        <v>lpennaccieo@statcounter.com</v>
      </c>
      <c r="H530" s="2" t="str">
        <f>IFERROR(INDEX(customers!G$1:G$1001, MATCH(C530, customers!A$1:A$1001, 0)), "Not Found")</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L530*E530</f>
        <v>53.46</v>
      </c>
      <c r="N530" t="str">
        <f>IF(I530="Rob","Robusta",IF(I530="Exc","Excelsa",IF(I530="Ara","Arabica",IF(I530="Lib","Laberica",""))))</f>
        <v>Excelsa</v>
      </c>
      <c r="O530" t="str">
        <f t="shared" si="8"/>
        <v>Light</v>
      </c>
      <c r="P530" t="str">
        <f>INDEX(customers!$I$1:$I$1001, MATCH(Orders[[#This Row],[Customer ID]], customers!$A$1:$A$1001, 0))</f>
        <v>No</v>
      </c>
    </row>
    <row r="531" spans="1:16" x14ac:dyDescent="0.25">
      <c r="A531" s="2" t="s">
        <v>3481</v>
      </c>
      <c r="B531" s="3">
        <v>43475</v>
      </c>
      <c r="C531" s="2" t="s">
        <v>3482</v>
      </c>
      <c r="D531" t="s">
        <v>6138</v>
      </c>
      <c r="E531" s="2">
        <v>6</v>
      </c>
      <c r="F531" s="2" t="str">
        <f>IFERROR(INDEX(customers!B$1:B$1001, MATCH(C531, customers!A$1:A$1001, 0)), "Not Found")</f>
        <v>Starr Arpin</v>
      </c>
      <c r="G531" s="2" t="str">
        <f>IF(IFERROR(INDEX(customers!C$1:C$1001, MATCH(C531, customers!A$1:A$1001, 0)), "Not Found")=0,"",IFERROR(INDEX(customers!C$1:C$1001, MATCH(C531, customers!A$1:A$1001, 0)), "Not Found"))</f>
        <v>sarpinep@moonfruit.com</v>
      </c>
      <c r="H531" s="2" t="str">
        <f>IFERROR(INDEX(customers!G$1:G$1001, MATCH(C531, customers!A$1:A$1001, 0)), "Not Found")</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L531*E531</f>
        <v>59.699999999999996</v>
      </c>
      <c r="N531" t="str">
        <f>IF(I531="Rob","Robusta",IF(I531="Exc","Excelsa",IF(I531="Ara","Arabica",IF(I531="Lib","Laberica",""))))</f>
        <v>Robusta</v>
      </c>
      <c r="O531" t="str">
        <f t="shared" si="8"/>
        <v>Medium</v>
      </c>
      <c r="P531" t="str">
        <f>INDEX(customers!$I$1:$I$1001, MATCH(Orders[[#This Row],[Customer ID]], customers!$A$1:$A$1001, 0))</f>
        <v>No</v>
      </c>
    </row>
    <row r="532" spans="1:16" x14ac:dyDescent="0.25">
      <c r="A532" s="2" t="s">
        <v>3487</v>
      </c>
      <c r="B532" s="3">
        <v>44663</v>
      </c>
      <c r="C532" s="2" t="s">
        <v>3488</v>
      </c>
      <c r="D532" t="s">
        <v>6138</v>
      </c>
      <c r="E532" s="2">
        <v>6</v>
      </c>
      <c r="F532" s="2" t="str">
        <f>IFERROR(INDEX(customers!B$1:B$1001, MATCH(C532, customers!A$1:A$1001, 0)), "Not Found")</f>
        <v>Donny Fries</v>
      </c>
      <c r="G532" s="2" t="str">
        <f>IF(IFERROR(INDEX(customers!C$1:C$1001, MATCH(C532, customers!A$1:A$1001, 0)), "Not Found")=0,"",IFERROR(INDEX(customers!C$1:C$1001, MATCH(C532, customers!A$1:A$1001, 0)), "Not Found"))</f>
        <v>dfrieseq@cargocollective.com</v>
      </c>
      <c r="H532" s="2" t="str">
        <f>IFERROR(INDEX(customers!G$1:G$1001, MATCH(C532, customers!A$1:A$1001, 0)), "Not Found")</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L532*E532</f>
        <v>59.699999999999996</v>
      </c>
      <c r="N532" t="str">
        <f>IF(I532="Rob","Robusta",IF(I532="Exc","Excelsa",IF(I532="Ara","Arabica",IF(I532="Lib","Laberica",""))))</f>
        <v>Robusta</v>
      </c>
      <c r="O532" t="str">
        <f t="shared" si="8"/>
        <v>Medium</v>
      </c>
      <c r="P532" t="str">
        <f>INDEX(customers!$I$1:$I$1001, MATCH(Orders[[#This Row],[Customer ID]], customers!$A$1:$A$1001, 0))</f>
        <v>No</v>
      </c>
    </row>
    <row r="533" spans="1:16" x14ac:dyDescent="0.25">
      <c r="A533" s="2" t="s">
        <v>3493</v>
      </c>
      <c r="B533" s="3">
        <v>44591</v>
      </c>
      <c r="C533" s="2" t="s">
        <v>3494</v>
      </c>
      <c r="D533" t="s">
        <v>6177</v>
      </c>
      <c r="E533" s="2">
        <v>5</v>
      </c>
      <c r="F533" s="2" t="str">
        <f>IFERROR(INDEX(customers!B$1:B$1001, MATCH(C533, customers!A$1:A$1001, 0)), "Not Found")</f>
        <v>Rana Sharer</v>
      </c>
      <c r="G533" s="2" t="str">
        <f>IF(IFERROR(INDEX(customers!C$1:C$1001, MATCH(C533, customers!A$1:A$1001, 0)), "Not Found")=0,"",IFERROR(INDEX(customers!C$1:C$1001, MATCH(C533, customers!A$1:A$1001, 0)), "Not Found"))</f>
        <v>rsharerer@flavors.me</v>
      </c>
      <c r="H533" s="2" t="str">
        <f>IFERROR(INDEX(customers!G$1:G$1001, MATCH(C533, customers!A$1:A$1001, 0)), "Not Found")</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L533*E533</f>
        <v>44.75</v>
      </c>
      <c r="N533" t="str">
        <f>IF(I533="Rob","Robusta",IF(I533="Exc","Excelsa",IF(I533="Ara","Arabica",IF(I533="Lib","Laberica",""))))</f>
        <v>Robusta</v>
      </c>
      <c r="O533" t="str">
        <f t="shared" si="8"/>
        <v>Dark</v>
      </c>
      <c r="P533" t="str">
        <f>INDEX(customers!$I$1:$I$1001, MATCH(Orders[[#This Row],[Customer ID]], customers!$A$1:$A$1001, 0))</f>
        <v>No</v>
      </c>
    </row>
    <row r="534" spans="1:16" x14ac:dyDescent="0.25">
      <c r="A534" s="2" t="s">
        <v>3499</v>
      </c>
      <c r="B534" s="3">
        <v>44330</v>
      </c>
      <c r="C534" s="2" t="s">
        <v>3500</v>
      </c>
      <c r="D534" t="s">
        <v>6139</v>
      </c>
      <c r="E534" s="2">
        <v>2</v>
      </c>
      <c r="F534" s="2" t="str">
        <f>IFERROR(INDEX(customers!B$1:B$1001, MATCH(C534, customers!A$1:A$1001, 0)), "Not Found")</f>
        <v>Nannie Naseby</v>
      </c>
      <c r="G534" s="2" t="str">
        <f>IF(IFERROR(INDEX(customers!C$1:C$1001, MATCH(C534, customers!A$1:A$1001, 0)), "Not Found")=0,"",IFERROR(INDEX(customers!C$1:C$1001, MATCH(C534, customers!A$1:A$1001, 0)), "Not Found"))</f>
        <v>nnasebyes@umich.edu</v>
      </c>
      <c r="H534" s="2" t="str">
        <f>IFERROR(INDEX(customers!G$1:G$1001, MATCH(C534, customers!A$1:A$1001, 0)), "Not Found")</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L534*E534</f>
        <v>16.5</v>
      </c>
      <c r="N534" t="str">
        <f>IF(I534="Rob","Robusta",IF(I534="Exc","Excelsa",IF(I534="Ara","Arabica",IF(I534="Lib","Laberica",""))))</f>
        <v>Excelsa</v>
      </c>
      <c r="O534" t="str">
        <f t="shared" si="8"/>
        <v>Medium</v>
      </c>
      <c r="P534" t="str">
        <f>INDEX(customers!$I$1:$I$1001, MATCH(Orders[[#This Row],[Customer ID]], customers!$A$1:$A$1001, 0))</f>
        <v>Yes</v>
      </c>
    </row>
    <row r="535" spans="1:16" x14ac:dyDescent="0.25">
      <c r="A535" s="2" t="s">
        <v>3505</v>
      </c>
      <c r="B535" s="3">
        <v>44724</v>
      </c>
      <c r="C535" s="2" t="s">
        <v>3506</v>
      </c>
      <c r="D535" t="s">
        <v>6172</v>
      </c>
      <c r="E535" s="2">
        <v>4</v>
      </c>
      <c r="F535" s="2" t="str">
        <f>IFERROR(INDEX(customers!B$1:B$1001, MATCH(C535, customers!A$1:A$1001, 0)), "Not Found")</f>
        <v>Rea Offell</v>
      </c>
      <c r="G535" s="2" t="str">
        <f>IF(IFERROR(INDEX(customers!C$1:C$1001, MATCH(C535, customers!A$1:A$1001, 0)), "Not Found")=0,"",IFERROR(INDEX(customers!C$1:C$1001, MATCH(C535, customers!A$1:A$1001, 0)), "Not Found"))</f>
        <v/>
      </c>
      <c r="H535" s="2" t="str">
        <f>IFERROR(INDEX(customers!G$1:G$1001, MATCH(C535, customers!A$1:A$1001, 0)), "Not Found")</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L535*E535</f>
        <v>21.479999999999997</v>
      </c>
      <c r="N535" t="str">
        <f>IF(I535="Rob","Robusta",IF(I535="Exc","Excelsa",IF(I535="Ara","Arabica",IF(I535="Lib","Laberica",""))))</f>
        <v>Robusta</v>
      </c>
      <c r="O535" t="str">
        <f t="shared" si="8"/>
        <v>Dark</v>
      </c>
      <c r="P535" t="str">
        <f>INDEX(customers!$I$1:$I$1001, MATCH(Orders[[#This Row],[Customer ID]], customers!$A$1:$A$1001, 0))</f>
        <v>No</v>
      </c>
    </row>
    <row r="536" spans="1:16" x14ac:dyDescent="0.25">
      <c r="A536" s="2" t="s">
        <v>3510</v>
      </c>
      <c r="B536" s="3">
        <v>44563</v>
      </c>
      <c r="C536" s="2" t="s">
        <v>3511</v>
      </c>
      <c r="D536" t="s">
        <v>6151</v>
      </c>
      <c r="E536" s="2">
        <v>2</v>
      </c>
      <c r="F536" s="2" t="str">
        <f>IFERROR(INDEX(customers!B$1:B$1001, MATCH(C536, customers!A$1:A$1001, 0)), "Not Found")</f>
        <v>Kris O'Cullen</v>
      </c>
      <c r="G536" s="2" t="str">
        <f>IF(IFERROR(INDEX(customers!C$1:C$1001, MATCH(C536, customers!A$1:A$1001, 0)), "Not Found")=0,"",IFERROR(INDEX(customers!C$1:C$1001, MATCH(C536, customers!A$1:A$1001, 0)), "Not Found"))</f>
        <v>koculleneu@ca.gov</v>
      </c>
      <c r="H536" s="2" t="str">
        <f>IFERROR(INDEX(customers!G$1:G$1001, MATCH(C536, customers!A$1:A$1001, 0)), "Not Found")</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L536*E536</f>
        <v>45.769999999999996</v>
      </c>
      <c r="N536" t="str">
        <f>IF(I536="Rob","Robusta",IF(I536="Exc","Excelsa",IF(I536="Ara","Arabica",IF(I536="Lib","Laberica",""))))</f>
        <v>Robusta</v>
      </c>
      <c r="O536" t="str">
        <f t="shared" si="8"/>
        <v>Medium</v>
      </c>
      <c r="P536" t="str">
        <f>INDEX(customers!$I$1:$I$1001, MATCH(Orders[[#This Row],[Customer ID]], customers!$A$1:$A$1001, 0))</f>
        <v>Yes</v>
      </c>
    </row>
    <row r="537" spans="1:16" x14ac:dyDescent="0.25">
      <c r="A537" s="2" t="s">
        <v>3516</v>
      </c>
      <c r="B537" s="3">
        <v>44585</v>
      </c>
      <c r="C537" s="2" t="s">
        <v>3517</v>
      </c>
      <c r="D537" t="s">
        <v>6145</v>
      </c>
      <c r="E537" s="2">
        <v>2</v>
      </c>
      <c r="F537" s="2" t="str">
        <f>IFERROR(INDEX(customers!B$1:B$1001, MATCH(C537, customers!A$1:A$1001, 0)), "Not Found")</f>
        <v>Timoteo Glisane</v>
      </c>
      <c r="G537" s="2" t="str">
        <f>IF(IFERROR(INDEX(customers!C$1:C$1001, MATCH(C537, customers!A$1:A$1001, 0)), "Not Found")=0,"",IFERROR(INDEX(customers!C$1:C$1001, MATCH(C537, customers!A$1:A$1001, 0)), "Not Found"))</f>
        <v/>
      </c>
      <c r="H537" s="2" t="str">
        <f>IFERROR(INDEX(customers!G$1:G$1001, MATCH(C537, customers!A$1:A$1001, 0)), "Not Found")</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L537*E537</f>
        <v>9.51</v>
      </c>
      <c r="N537" t="str">
        <f>IF(I537="Rob","Robusta",IF(I537="Exc","Excelsa",IF(I537="Ara","Arabica",IF(I537="Lib","Laberica",""))))</f>
        <v>Laberica</v>
      </c>
      <c r="O537" t="str">
        <f t="shared" si="8"/>
        <v>Light</v>
      </c>
      <c r="P537" t="str">
        <f>INDEX(customers!$I$1:$I$1001, MATCH(Orders[[#This Row],[Customer ID]], customers!$A$1:$A$1001, 0))</f>
        <v>No</v>
      </c>
    </row>
    <row r="538" spans="1:16" x14ac:dyDescent="0.25">
      <c r="A538" s="2" t="s">
        <v>3521</v>
      </c>
      <c r="B538" s="3">
        <v>43544</v>
      </c>
      <c r="C538" s="2" t="s">
        <v>3368</v>
      </c>
      <c r="D538" t="s">
        <v>6163</v>
      </c>
      <c r="E538" s="2">
        <v>3</v>
      </c>
      <c r="F538" s="2" t="str">
        <f>IFERROR(INDEX(customers!B$1:B$1001, MATCH(C538, customers!A$1:A$1001, 0)), "Not Found")</f>
        <v>Marja Urion</v>
      </c>
      <c r="G538" s="2" t="str">
        <f>IF(IFERROR(INDEX(customers!C$1:C$1001, MATCH(C538, customers!A$1:A$1001, 0)), "Not Found")=0,"",IFERROR(INDEX(customers!C$1:C$1001, MATCH(C538, customers!A$1:A$1001, 0)), "Not Found"))</f>
        <v>murione5@alexa.com</v>
      </c>
      <c r="H538" s="2" t="str">
        <f>IFERROR(INDEX(customers!G$1:G$1001, MATCH(C538, customers!A$1:A$1001, 0)), "Not Found")</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L538*E538</f>
        <v>8.0549999999999997</v>
      </c>
      <c r="N538" t="str">
        <f>IF(I538="Rob","Robusta",IF(I538="Exc","Excelsa",IF(I538="Ara","Arabica",IF(I538="Lib","Laberica",""))))</f>
        <v>Robusta</v>
      </c>
      <c r="O538" t="str">
        <f t="shared" si="8"/>
        <v>Dark</v>
      </c>
      <c r="P538" t="str">
        <f>INDEX(customers!$I$1:$I$1001, MATCH(Orders[[#This Row],[Customer ID]], customers!$A$1:$A$1001, 0))</f>
        <v>Yes</v>
      </c>
    </row>
    <row r="539" spans="1:16" x14ac:dyDescent="0.25">
      <c r="A539" s="2" t="s">
        <v>3527</v>
      </c>
      <c r="B539" s="3">
        <v>44156</v>
      </c>
      <c r="C539" s="2" t="s">
        <v>3528</v>
      </c>
      <c r="D539" t="s">
        <v>6185</v>
      </c>
      <c r="E539" s="2">
        <v>4</v>
      </c>
      <c r="F539" s="2" t="str">
        <f>IFERROR(INDEX(customers!B$1:B$1001, MATCH(C539, customers!A$1:A$1001, 0)), "Not Found")</f>
        <v>Hildegarde Brangan</v>
      </c>
      <c r="G539" s="2" t="str">
        <f>IF(IFERROR(INDEX(customers!C$1:C$1001, MATCH(C539, customers!A$1:A$1001, 0)), "Not Found")=0,"",IFERROR(INDEX(customers!C$1:C$1001, MATCH(C539, customers!A$1:A$1001, 0)), "Not Found"))</f>
        <v>hbranganex@woothemes.com</v>
      </c>
      <c r="H539" s="2" t="str">
        <f>IFERROR(INDEX(customers!G$1:G$1001, MATCH(C539, customers!A$1:A$1001, 0)), "Not Found")</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L539*E539</f>
        <v>111.78</v>
      </c>
      <c r="N539" t="str">
        <f>IF(I539="Rob","Robusta",IF(I539="Exc","Excelsa",IF(I539="Ara","Arabica",IF(I539="Lib","Laberica",""))))</f>
        <v>Excelsa</v>
      </c>
      <c r="O539" t="str">
        <f t="shared" si="8"/>
        <v>Dark</v>
      </c>
      <c r="P539" t="str">
        <f>INDEX(customers!$I$1:$I$1001, MATCH(Orders[[#This Row],[Customer ID]], customers!$A$1:$A$1001, 0))</f>
        <v>Yes</v>
      </c>
    </row>
    <row r="540" spans="1:16" x14ac:dyDescent="0.25">
      <c r="A540" s="2" t="s">
        <v>3532</v>
      </c>
      <c r="B540" s="3">
        <v>44482</v>
      </c>
      <c r="C540" s="2" t="s">
        <v>3533</v>
      </c>
      <c r="D540" t="s">
        <v>6163</v>
      </c>
      <c r="E540" s="2">
        <v>4</v>
      </c>
      <c r="F540" s="2" t="str">
        <f>IFERROR(INDEX(customers!B$1:B$1001, MATCH(C540, customers!A$1:A$1001, 0)), "Not Found")</f>
        <v>Amii Gallyon</v>
      </c>
      <c r="G540" s="2" t="str">
        <f>IF(IFERROR(INDEX(customers!C$1:C$1001, MATCH(C540, customers!A$1:A$1001, 0)), "Not Found")=0,"",IFERROR(INDEX(customers!C$1:C$1001, MATCH(C540, customers!A$1:A$1001, 0)), "Not Found"))</f>
        <v>agallyoney@engadget.com</v>
      </c>
      <c r="H540" s="2" t="str">
        <f>IFERROR(INDEX(customers!G$1:G$1001, MATCH(C540, customers!A$1:A$1001, 0)), "Not Found")</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L540*E540</f>
        <v>10.739999999999998</v>
      </c>
      <c r="N540" t="str">
        <f>IF(I540="Rob","Robusta",IF(I540="Exc","Excelsa",IF(I540="Ara","Arabica",IF(I540="Lib","Laberica",""))))</f>
        <v>Robusta</v>
      </c>
      <c r="O540" t="str">
        <f t="shared" si="8"/>
        <v>Dark</v>
      </c>
      <c r="P540" t="str">
        <f>INDEX(customers!$I$1:$I$1001, MATCH(Orders[[#This Row],[Customer ID]], customers!$A$1:$A$1001, 0))</f>
        <v>Yes</v>
      </c>
    </row>
    <row r="541" spans="1:16" x14ac:dyDescent="0.25">
      <c r="A541" s="2" t="s">
        <v>3537</v>
      </c>
      <c r="B541" s="3">
        <v>44488</v>
      </c>
      <c r="C541" s="2" t="s">
        <v>3538</v>
      </c>
      <c r="D541" t="s">
        <v>6172</v>
      </c>
      <c r="E541" s="2">
        <v>5</v>
      </c>
      <c r="F541" s="2" t="str">
        <f>IFERROR(INDEX(customers!B$1:B$1001, MATCH(C541, customers!A$1:A$1001, 0)), "Not Found")</f>
        <v>Birgit Domange</v>
      </c>
      <c r="G541" s="2" t="str">
        <f>IF(IFERROR(INDEX(customers!C$1:C$1001, MATCH(C541, customers!A$1:A$1001, 0)), "Not Found")=0,"",IFERROR(INDEX(customers!C$1:C$1001, MATCH(C541, customers!A$1:A$1001, 0)), "Not Found"))</f>
        <v>bdomangeez@yahoo.co.jp</v>
      </c>
      <c r="H541" s="2" t="str">
        <f>IFERROR(INDEX(customers!G$1:G$1001, MATCH(C541, customers!A$1:A$1001, 0)), "Not Found")</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L541*E541</f>
        <v>26.849999999999994</v>
      </c>
      <c r="N541" t="str">
        <f>IF(I541="Rob","Robusta",IF(I541="Exc","Excelsa",IF(I541="Ara","Arabica",IF(I541="Lib","Laberica",""))))</f>
        <v>Robusta</v>
      </c>
      <c r="O541" t="str">
        <f t="shared" si="8"/>
        <v>Dark</v>
      </c>
      <c r="P541" t="str">
        <f>INDEX(customers!$I$1:$I$1001, MATCH(Orders[[#This Row],[Customer ID]], customers!$A$1:$A$1001, 0))</f>
        <v>No</v>
      </c>
    </row>
    <row r="542" spans="1:16" x14ac:dyDescent="0.25">
      <c r="A542" s="2" t="s">
        <v>3542</v>
      </c>
      <c r="B542" s="3">
        <v>43584</v>
      </c>
      <c r="C542" s="2" t="s">
        <v>3543</v>
      </c>
      <c r="D542" t="s">
        <v>6170</v>
      </c>
      <c r="E542" s="2">
        <v>4</v>
      </c>
      <c r="F542" s="2" t="str">
        <f>IFERROR(INDEX(customers!B$1:B$1001, MATCH(C542, customers!A$1:A$1001, 0)), "Not Found")</f>
        <v>Killian Osler</v>
      </c>
      <c r="G542" s="2" t="str">
        <f>IF(IFERROR(INDEX(customers!C$1:C$1001, MATCH(C542, customers!A$1:A$1001, 0)), "Not Found")=0,"",IFERROR(INDEX(customers!C$1:C$1001, MATCH(C542, customers!A$1:A$1001, 0)), "Not Found"))</f>
        <v>koslerf0@gmpg.org</v>
      </c>
      <c r="H542" s="2" t="str">
        <f>IFERROR(INDEX(customers!G$1:G$1001, MATCH(C542, customers!A$1:A$1001, 0)), "Not Found")</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L542*E542</f>
        <v>63.4</v>
      </c>
      <c r="N542" t="str">
        <f>IF(I542="Rob","Robusta",IF(I542="Exc","Excelsa",IF(I542="Ara","Arabica",IF(I542="Lib","Laberica",""))))</f>
        <v>Laberica</v>
      </c>
      <c r="O542" t="str">
        <f t="shared" si="8"/>
        <v>Light</v>
      </c>
      <c r="P542" t="str">
        <f>INDEX(customers!$I$1:$I$1001, MATCH(Orders[[#This Row],[Customer ID]], customers!$A$1:$A$1001, 0))</f>
        <v>Yes</v>
      </c>
    </row>
    <row r="543" spans="1:16" x14ac:dyDescent="0.25">
      <c r="A543" s="2" t="s">
        <v>3548</v>
      </c>
      <c r="B543" s="3">
        <v>43750</v>
      </c>
      <c r="C543" s="2" t="s">
        <v>3549</v>
      </c>
      <c r="D543" t="s">
        <v>6168</v>
      </c>
      <c r="E543" s="2">
        <v>1</v>
      </c>
      <c r="F543" s="2" t="str">
        <f>IFERROR(INDEX(customers!B$1:B$1001, MATCH(C543, customers!A$1:A$1001, 0)), "Not Found")</f>
        <v>Lora Dukes</v>
      </c>
      <c r="G543" s="2" t="str">
        <f>IF(IFERROR(INDEX(customers!C$1:C$1001, MATCH(C543, customers!A$1:A$1001, 0)), "Not Found")=0,"",IFERROR(INDEX(customers!C$1:C$1001, MATCH(C543, customers!A$1:A$1001, 0)), "Not Found"))</f>
        <v/>
      </c>
      <c r="H543" s="2" t="str">
        <f>IFERROR(INDEX(customers!G$1:G$1001, MATCH(C543, customers!A$1:A$1001, 0)), "Not Found")</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L543*E543</f>
        <v>22.884999999999998</v>
      </c>
      <c r="N543" t="str">
        <f>IF(I543="Rob","Robusta",IF(I543="Exc","Excelsa",IF(I543="Ara","Arabica",IF(I543="Lib","Laberica",""))))</f>
        <v>Arabica</v>
      </c>
      <c r="O543" t="str">
        <f t="shared" si="8"/>
        <v>Dark</v>
      </c>
      <c r="P543" t="str">
        <f>INDEX(customers!$I$1:$I$1001, MATCH(Orders[[#This Row],[Customer ID]], customers!$A$1:$A$1001, 0))</f>
        <v>Yes</v>
      </c>
    </row>
    <row r="544" spans="1:16" x14ac:dyDescent="0.25">
      <c r="A544" s="2" t="s">
        <v>3553</v>
      </c>
      <c r="B544" s="3">
        <v>44335</v>
      </c>
      <c r="C544" s="2" t="s">
        <v>3554</v>
      </c>
      <c r="D544" t="s">
        <v>6175</v>
      </c>
      <c r="E544" s="2">
        <v>4</v>
      </c>
      <c r="F544" s="2" t="str">
        <f>IFERROR(INDEX(customers!B$1:B$1001, MATCH(C544, customers!A$1:A$1001, 0)), "Not Found")</f>
        <v>Zack Pellett</v>
      </c>
      <c r="G544" s="2" t="str">
        <f>IF(IFERROR(INDEX(customers!C$1:C$1001, MATCH(C544, customers!A$1:A$1001, 0)), "Not Found")=0,"",IFERROR(INDEX(customers!C$1:C$1001, MATCH(C544, customers!A$1:A$1001, 0)), "Not Found"))</f>
        <v>zpellettf2@dailymotion.com</v>
      </c>
      <c r="H544" s="2" t="str">
        <f>IFERROR(INDEX(customers!G$1:G$1001, MATCH(C544, customers!A$1:A$1001, 0)), "Not Found")</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L544*E544</f>
        <v>103.49999999999999</v>
      </c>
      <c r="N544" t="str">
        <f>IF(I544="Rob","Robusta",IF(I544="Exc","Excelsa",IF(I544="Ara","Arabica",IF(I544="Lib","Laberica",""))))</f>
        <v>Arabica</v>
      </c>
      <c r="O544" t="str">
        <f t="shared" si="8"/>
        <v>Medium</v>
      </c>
      <c r="P544" t="str">
        <f>INDEX(customers!$I$1:$I$1001, MATCH(Orders[[#This Row],[Customer ID]], customers!$A$1:$A$1001, 0))</f>
        <v>No</v>
      </c>
    </row>
    <row r="545" spans="1:16" x14ac:dyDescent="0.25">
      <c r="A545" s="2" t="s">
        <v>3559</v>
      </c>
      <c r="B545" s="3">
        <v>44380</v>
      </c>
      <c r="C545" s="2" t="s">
        <v>3560</v>
      </c>
      <c r="D545" t="s">
        <v>6142</v>
      </c>
      <c r="E545" s="2">
        <v>2</v>
      </c>
      <c r="F545" s="2" t="str">
        <f>IFERROR(INDEX(customers!B$1:B$1001, MATCH(C545, customers!A$1:A$1001, 0)), "Not Found")</f>
        <v>Ilaire Sprakes</v>
      </c>
      <c r="G545" s="2" t="str">
        <f>IF(IFERROR(INDEX(customers!C$1:C$1001, MATCH(C545, customers!A$1:A$1001, 0)), "Not Found")=0,"",IFERROR(INDEX(customers!C$1:C$1001, MATCH(C545, customers!A$1:A$1001, 0)), "Not Found"))</f>
        <v>isprakesf3@spiegel.de</v>
      </c>
      <c r="H545" s="2" t="str">
        <f>IFERROR(INDEX(customers!G$1:G$1001, MATCH(C545, customers!A$1:A$1001, 0)), "Not Found")</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L545*E545</f>
        <v>54.969999999999992</v>
      </c>
      <c r="N545" t="str">
        <f>IF(I545="Rob","Robusta",IF(I545="Exc","Excelsa",IF(I545="Ara","Arabica",IF(I545="Lib","Laberica",""))))</f>
        <v>Robusta</v>
      </c>
      <c r="O545" t="str">
        <f t="shared" si="8"/>
        <v>Light</v>
      </c>
      <c r="P545" t="str">
        <f>INDEX(customers!$I$1:$I$1001, MATCH(Orders[[#This Row],[Customer ID]], customers!$A$1:$A$1001, 0))</f>
        <v>No</v>
      </c>
    </row>
    <row r="546" spans="1:16" x14ac:dyDescent="0.25">
      <c r="A546" s="2" t="s">
        <v>3565</v>
      </c>
      <c r="B546" s="3">
        <v>43869</v>
      </c>
      <c r="C546" s="2" t="s">
        <v>3566</v>
      </c>
      <c r="D546" t="s">
        <v>6180</v>
      </c>
      <c r="E546" s="2">
        <v>2</v>
      </c>
      <c r="F546" s="2" t="str">
        <f>IFERROR(INDEX(customers!B$1:B$1001, MATCH(C546, customers!A$1:A$1001, 0)), "Not Found")</f>
        <v>Heda Fromant</v>
      </c>
      <c r="G546" s="2" t="str">
        <f>IF(IFERROR(INDEX(customers!C$1:C$1001, MATCH(C546, customers!A$1:A$1001, 0)), "Not Found")=0,"",IFERROR(INDEX(customers!C$1:C$1001, MATCH(C546, customers!A$1:A$1001, 0)), "Not Found"))</f>
        <v>hfromantf4@ucsd.edu</v>
      </c>
      <c r="H546" s="2" t="str">
        <f>IFERROR(INDEX(customers!G$1:G$1001, MATCH(C546, customers!A$1:A$1001, 0)), "Not Found")</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L546*E546</f>
        <v>15.54</v>
      </c>
      <c r="N546" t="str">
        <f>IF(I546="Rob","Robusta",IF(I546="Exc","Excelsa",IF(I546="Ara","Arabica",IF(I546="Lib","Laberica",""))))</f>
        <v>Arabica</v>
      </c>
      <c r="O546" t="str">
        <f t="shared" si="8"/>
        <v>Light</v>
      </c>
      <c r="P546" t="str">
        <f>INDEX(customers!$I$1:$I$1001, MATCH(Orders[[#This Row],[Customer ID]], customers!$A$1:$A$1001, 0))</f>
        <v>No</v>
      </c>
    </row>
    <row r="547" spans="1:16" x14ac:dyDescent="0.25">
      <c r="A547" s="2" t="s">
        <v>3571</v>
      </c>
      <c r="B547" s="3">
        <v>44120</v>
      </c>
      <c r="C547" s="2" t="s">
        <v>3572</v>
      </c>
      <c r="D547" t="s">
        <v>6150</v>
      </c>
      <c r="E547" s="2">
        <v>4</v>
      </c>
      <c r="F547" s="2" t="str">
        <f>IFERROR(INDEX(customers!B$1:B$1001, MATCH(C547, customers!A$1:A$1001, 0)), "Not Found")</f>
        <v>Rufus Flear</v>
      </c>
      <c r="G547" s="2" t="str">
        <f>IF(IFERROR(INDEX(customers!C$1:C$1001, MATCH(C547, customers!A$1:A$1001, 0)), "Not Found")=0,"",IFERROR(INDEX(customers!C$1:C$1001, MATCH(C547, customers!A$1:A$1001, 0)), "Not Found"))</f>
        <v>rflearf5@artisteer.com</v>
      </c>
      <c r="H547" s="2" t="str">
        <f>IFERROR(INDEX(customers!G$1:G$1001, MATCH(C547, customers!A$1:A$1001, 0)), "Not Found")</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L547*E547</f>
        <v>15.54</v>
      </c>
      <c r="N547" t="str">
        <f>IF(I547="Rob","Robusta",IF(I547="Exc","Excelsa",IF(I547="Ara","Arabica",IF(I547="Lib","Laberica",""))))</f>
        <v>Laberica</v>
      </c>
      <c r="O547" t="str">
        <f t="shared" si="8"/>
        <v>Dark</v>
      </c>
      <c r="P547" t="str">
        <f>INDEX(customers!$I$1:$I$1001, MATCH(Orders[[#This Row],[Customer ID]], customers!$A$1:$A$1001, 0))</f>
        <v>No</v>
      </c>
    </row>
    <row r="548" spans="1:16" x14ac:dyDescent="0.25">
      <c r="A548" s="2" t="s">
        <v>3577</v>
      </c>
      <c r="B548" s="3">
        <v>44127</v>
      </c>
      <c r="C548" s="2" t="s">
        <v>3578</v>
      </c>
      <c r="D548" t="s">
        <v>6185</v>
      </c>
      <c r="E548" s="2">
        <v>3</v>
      </c>
      <c r="F548" s="2" t="str">
        <f>IFERROR(INDEX(customers!B$1:B$1001, MATCH(C548, customers!A$1:A$1001, 0)), "Not Found")</f>
        <v>Dom Milella</v>
      </c>
      <c r="G548" s="2" t="str">
        <f>IF(IFERROR(INDEX(customers!C$1:C$1001, MATCH(C548, customers!A$1:A$1001, 0)), "Not Found")=0,"",IFERROR(INDEX(customers!C$1:C$1001, MATCH(C548, customers!A$1:A$1001, 0)), "Not Found"))</f>
        <v/>
      </c>
      <c r="H548" s="2" t="str">
        <f>IFERROR(INDEX(customers!G$1:G$1001, MATCH(C548, customers!A$1:A$1001, 0)), "Not Found")</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L548*E548</f>
        <v>83.835000000000008</v>
      </c>
      <c r="N548" t="str">
        <f>IF(I548="Rob","Robusta",IF(I548="Exc","Excelsa",IF(I548="Ara","Arabica",IF(I548="Lib","Laberica",""))))</f>
        <v>Excelsa</v>
      </c>
      <c r="O548" t="str">
        <f t="shared" si="8"/>
        <v>Dark</v>
      </c>
      <c r="P548" t="str">
        <f>INDEX(customers!$I$1:$I$1001, MATCH(Orders[[#This Row],[Customer ID]], customers!$A$1:$A$1001, 0))</f>
        <v>No</v>
      </c>
    </row>
    <row r="549" spans="1:16" x14ac:dyDescent="0.25">
      <c r="A549" s="2" t="s">
        <v>3582</v>
      </c>
      <c r="B549" s="3">
        <v>44265</v>
      </c>
      <c r="C549" s="2" t="s">
        <v>3594</v>
      </c>
      <c r="D549" t="s">
        <v>6178</v>
      </c>
      <c r="E549" s="2">
        <v>3</v>
      </c>
      <c r="F549" s="2" t="str">
        <f>IFERROR(INDEX(customers!B$1:B$1001, MATCH(C549, customers!A$1:A$1001, 0)), "Not Found")</f>
        <v>Wilek Lightollers</v>
      </c>
      <c r="G549" s="2" t="str">
        <f>IF(IFERROR(INDEX(customers!C$1:C$1001, MATCH(C549, customers!A$1:A$1001, 0)), "Not Found")=0,"",IFERROR(INDEX(customers!C$1:C$1001, MATCH(C549, customers!A$1:A$1001, 0)), "Not Found"))</f>
        <v>wlightollersf9@baidu.com</v>
      </c>
      <c r="H549" s="2" t="str">
        <f>IFERROR(INDEX(customers!G$1:G$1001, MATCH(C549, customers!A$1:A$1001, 0)), "Not Found")</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L549*E549</f>
        <v>10.754999999999999</v>
      </c>
      <c r="N549" t="str">
        <f>IF(I549="Rob","Robusta",IF(I549="Exc","Excelsa",IF(I549="Ara","Arabica",IF(I549="Lib","Laberica",""))))</f>
        <v>Robusta</v>
      </c>
      <c r="O549" t="str">
        <f t="shared" si="8"/>
        <v>Light</v>
      </c>
      <c r="P549" t="str">
        <f>INDEX(customers!$I$1:$I$1001, MATCH(Orders[[#This Row],[Customer ID]], customers!$A$1:$A$1001, 0))</f>
        <v>Yes</v>
      </c>
    </row>
    <row r="550" spans="1:16" x14ac:dyDescent="0.25">
      <c r="A550" s="2" t="s">
        <v>3587</v>
      </c>
      <c r="B550" s="3">
        <v>44384</v>
      </c>
      <c r="C550" s="2" t="s">
        <v>3588</v>
      </c>
      <c r="D550" t="s">
        <v>6184</v>
      </c>
      <c r="E550" s="2">
        <v>3</v>
      </c>
      <c r="F550" s="2" t="str">
        <f>IFERROR(INDEX(customers!B$1:B$1001, MATCH(C550, customers!A$1:A$1001, 0)), "Not Found")</f>
        <v>Bette-ann Munden</v>
      </c>
      <c r="G550" s="2" t="str">
        <f>IF(IFERROR(INDEX(customers!C$1:C$1001, MATCH(C550, customers!A$1:A$1001, 0)), "Not Found")=0,"",IFERROR(INDEX(customers!C$1:C$1001, MATCH(C550, customers!A$1:A$1001, 0)), "Not Found"))</f>
        <v>bmundenf8@elpais.com</v>
      </c>
      <c r="H550" s="2" t="str">
        <f>IFERROR(INDEX(customers!G$1:G$1001, MATCH(C550, customers!A$1:A$1001, 0)), "Not Found")</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L550*E550</f>
        <v>13.365</v>
      </c>
      <c r="N550" t="str">
        <f>IF(I550="Rob","Robusta",IF(I550="Exc","Excelsa",IF(I550="Ara","Arabica",IF(I550="Lib","Laberica",""))))</f>
        <v>Excelsa</v>
      </c>
      <c r="O550" t="str">
        <f t="shared" si="8"/>
        <v>Light</v>
      </c>
      <c r="P550" t="str">
        <f>INDEX(customers!$I$1:$I$1001, MATCH(Orders[[#This Row],[Customer ID]], customers!$A$1:$A$1001, 0))</f>
        <v>Yes</v>
      </c>
    </row>
    <row r="551" spans="1:16" x14ac:dyDescent="0.25">
      <c r="A551" s="2" t="s">
        <v>3593</v>
      </c>
      <c r="B551" s="3">
        <v>44232</v>
      </c>
      <c r="C551" s="2" t="s">
        <v>3594</v>
      </c>
      <c r="D551" t="s">
        <v>6184</v>
      </c>
      <c r="E551" s="2">
        <v>4</v>
      </c>
      <c r="F551" s="2" t="str">
        <f>IFERROR(INDEX(customers!B$1:B$1001, MATCH(C551, customers!A$1:A$1001, 0)), "Not Found")</f>
        <v>Wilek Lightollers</v>
      </c>
      <c r="G551" s="2" t="str">
        <f>IF(IFERROR(INDEX(customers!C$1:C$1001, MATCH(C551, customers!A$1:A$1001, 0)), "Not Found")=0,"",IFERROR(INDEX(customers!C$1:C$1001, MATCH(C551, customers!A$1:A$1001, 0)), "Not Found"))</f>
        <v>wlightollersf9@baidu.com</v>
      </c>
      <c r="H551" s="2" t="str">
        <f>IFERROR(INDEX(customers!G$1:G$1001, MATCH(C551, customers!A$1:A$1001, 0)), "Not Found")</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L551*E551</f>
        <v>17.82</v>
      </c>
      <c r="N551" t="str">
        <f>IF(I551="Rob","Robusta",IF(I551="Exc","Excelsa",IF(I551="Ara","Arabica",IF(I551="Lib","Laberica",""))))</f>
        <v>Excelsa</v>
      </c>
      <c r="O551" t="str">
        <f t="shared" si="8"/>
        <v>Light</v>
      </c>
      <c r="P551" t="str">
        <f>INDEX(customers!$I$1:$I$1001, MATCH(Orders[[#This Row],[Customer ID]], customers!$A$1:$A$1001, 0))</f>
        <v>Yes</v>
      </c>
    </row>
    <row r="552" spans="1:16" x14ac:dyDescent="0.25">
      <c r="A552" s="2" t="s">
        <v>3599</v>
      </c>
      <c r="B552" s="3">
        <v>44176</v>
      </c>
      <c r="C552" s="2" t="s">
        <v>3600</v>
      </c>
      <c r="D552" t="s">
        <v>6150</v>
      </c>
      <c r="E552" s="2">
        <v>6</v>
      </c>
      <c r="F552" s="2" t="str">
        <f>IFERROR(INDEX(customers!B$1:B$1001, MATCH(C552, customers!A$1:A$1001, 0)), "Not Found")</f>
        <v>Nick Brakespear</v>
      </c>
      <c r="G552" s="2" t="str">
        <f>IF(IFERROR(INDEX(customers!C$1:C$1001, MATCH(C552, customers!A$1:A$1001, 0)), "Not Found")=0,"",IFERROR(INDEX(customers!C$1:C$1001, MATCH(C552, customers!A$1:A$1001, 0)), "Not Found"))</f>
        <v>nbrakespearfa@rediff.com</v>
      </c>
      <c r="H552" s="2" t="str">
        <f>IFERROR(INDEX(customers!G$1:G$1001, MATCH(C552, customers!A$1:A$1001, 0)), "Not Found")</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L552*E552</f>
        <v>23.31</v>
      </c>
      <c r="N552" t="str">
        <f>IF(I552="Rob","Robusta",IF(I552="Exc","Excelsa",IF(I552="Ara","Arabica",IF(I552="Lib","Laberica",""))))</f>
        <v>Laberica</v>
      </c>
      <c r="O552" t="str">
        <f t="shared" si="8"/>
        <v>Dark</v>
      </c>
      <c r="P552" t="str">
        <f>INDEX(customers!$I$1:$I$1001, MATCH(Orders[[#This Row],[Customer ID]], customers!$A$1:$A$1001, 0))</f>
        <v>Yes</v>
      </c>
    </row>
    <row r="553" spans="1:16" x14ac:dyDescent="0.25">
      <c r="A553" s="2" t="s">
        <v>3605</v>
      </c>
      <c r="B553" s="3">
        <v>44694</v>
      </c>
      <c r="C553" s="2" t="s">
        <v>3606</v>
      </c>
      <c r="D553" t="s">
        <v>6153</v>
      </c>
      <c r="E553" s="2">
        <v>2</v>
      </c>
      <c r="F553" s="2" t="str">
        <f>IFERROR(INDEX(customers!B$1:B$1001, MATCH(C553, customers!A$1:A$1001, 0)), "Not Found")</f>
        <v>Malynda Glawsop</v>
      </c>
      <c r="G553" s="2" t="str">
        <f>IF(IFERROR(INDEX(customers!C$1:C$1001, MATCH(C553, customers!A$1:A$1001, 0)), "Not Found")=0,"",IFERROR(INDEX(customers!C$1:C$1001, MATCH(C553, customers!A$1:A$1001, 0)), "Not Found"))</f>
        <v>mglawsopfb@reverbnation.com</v>
      </c>
      <c r="H553" s="2" t="str">
        <f>IFERROR(INDEX(customers!G$1:G$1001, MATCH(C553, customers!A$1:A$1001, 0)), "Not Found")</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L553*E553</f>
        <v>7.29</v>
      </c>
      <c r="N553" t="str">
        <f>IF(I553="Rob","Robusta",IF(I553="Exc","Excelsa",IF(I553="Ara","Arabica",IF(I553="Lib","Laberica",""))))</f>
        <v>Excelsa</v>
      </c>
      <c r="O553" t="str">
        <f t="shared" si="8"/>
        <v>Dark</v>
      </c>
      <c r="P553" t="str">
        <f>INDEX(customers!$I$1:$I$1001, MATCH(Orders[[#This Row],[Customer ID]], customers!$A$1:$A$1001, 0))</f>
        <v>No</v>
      </c>
    </row>
    <row r="554" spans="1:16" x14ac:dyDescent="0.25">
      <c r="A554" s="2" t="s">
        <v>3611</v>
      </c>
      <c r="B554" s="3">
        <v>43761</v>
      </c>
      <c r="C554" s="2" t="s">
        <v>3612</v>
      </c>
      <c r="D554" t="s">
        <v>6184</v>
      </c>
      <c r="E554" s="2">
        <v>4</v>
      </c>
      <c r="F554" s="2" t="str">
        <f>IFERROR(INDEX(customers!B$1:B$1001, MATCH(C554, customers!A$1:A$1001, 0)), "Not Found")</f>
        <v>Granville Alberts</v>
      </c>
      <c r="G554" s="2" t="str">
        <f>IF(IFERROR(INDEX(customers!C$1:C$1001, MATCH(C554, customers!A$1:A$1001, 0)), "Not Found")=0,"",IFERROR(INDEX(customers!C$1:C$1001, MATCH(C554, customers!A$1:A$1001, 0)), "Not Found"))</f>
        <v>galbertsfc@etsy.com</v>
      </c>
      <c r="H554" s="2" t="str">
        <f>IFERROR(INDEX(customers!G$1:G$1001, MATCH(C554, customers!A$1:A$1001, 0)), "Not Found")</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L554*E554</f>
        <v>17.82</v>
      </c>
      <c r="N554" t="str">
        <f>IF(I554="Rob","Robusta",IF(I554="Exc","Excelsa",IF(I554="Ara","Arabica",IF(I554="Lib","Laberica",""))))</f>
        <v>Excelsa</v>
      </c>
      <c r="O554" t="str">
        <f t="shared" si="8"/>
        <v>Light</v>
      </c>
      <c r="P554" t="str">
        <f>INDEX(customers!$I$1:$I$1001, MATCH(Orders[[#This Row],[Customer ID]], customers!$A$1:$A$1001, 0))</f>
        <v>Yes</v>
      </c>
    </row>
    <row r="555" spans="1:16" x14ac:dyDescent="0.25">
      <c r="A555" s="2" t="s">
        <v>3617</v>
      </c>
      <c r="B555" s="3">
        <v>44085</v>
      </c>
      <c r="C555" s="2" t="s">
        <v>3618</v>
      </c>
      <c r="D555" t="s">
        <v>6141</v>
      </c>
      <c r="E555" s="2">
        <v>5</v>
      </c>
      <c r="F555" s="2" t="str">
        <f>IFERROR(INDEX(customers!B$1:B$1001, MATCH(C555, customers!A$1:A$1001, 0)), "Not Found")</f>
        <v>Vasily Polglase</v>
      </c>
      <c r="G555" s="2" t="str">
        <f>IF(IFERROR(INDEX(customers!C$1:C$1001, MATCH(C555, customers!A$1:A$1001, 0)), "Not Found")=0,"",IFERROR(INDEX(customers!C$1:C$1001, MATCH(C555, customers!A$1:A$1001, 0)), "Not Found"))</f>
        <v>vpolglasefd@about.me</v>
      </c>
      <c r="H555" s="2" t="str">
        <f>IFERROR(INDEX(customers!G$1:G$1001, MATCH(C555, customers!A$1:A$1001, 0)), "Not Found")</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L555*E555</f>
        <v>68.75</v>
      </c>
      <c r="N555" t="str">
        <f>IF(I555="Rob","Robusta",IF(I555="Exc","Excelsa",IF(I555="Ara","Arabica",IF(I555="Lib","Laberica",""))))</f>
        <v>Excelsa</v>
      </c>
      <c r="O555" t="str">
        <f t="shared" si="8"/>
        <v>Medium</v>
      </c>
      <c r="P555" t="str">
        <f>INDEX(customers!$I$1:$I$1001, MATCH(Orders[[#This Row],[Customer ID]], customers!$A$1:$A$1001, 0))</f>
        <v>No</v>
      </c>
    </row>
    <row r="556" spans="1:16" x14ac:dyDescent="0.25">
      <c r="A556" s="2" t="s">
        <v>3622</v>
      </c>
      <c r="B556" s="3">
        <v>43737</v>
      </c>
      <c r="C556" s="2" t="s">
        <v>3623</v>
      </c>
      <c r="D556" t="s">
        <v>6142</v>
      </c>
      <c r="E556" s="2">
        <v>2</v>
      </c>
      <c r="F556" s="2" t="str">
        <f>IFERROR(INDEX(customers!B$1:B$1001, MATCH(C556, customers!A$1:A$1001, 0)), "Not Found")</f>
        <v>Madelaine Sharples</v>
      </c>
      <c r="G556" s="2" t="str">
        <f>IF(IFERROR(INDEX(customers!C$1:C$1001, MATCH(C556, customers!A$1:A$1001, 0)), "Not Found")=0,"",IFERROR(INDEX(customers!C$1:C$1001, MATCH(C556, customers!A$1:A$1001, 0)), "Not Found"))</f>
        <v/>
      </c>
      <c r="H556" s="2" t="str">
        <f>IFERROR(INDEX(customers!G$1:G$1001, MATCH(C556, customers!A$1:A$1001, 0)), "Not Found")</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L556*E556</f>
        <v>54.969999999999992</v>
      </c>
      <c r="N556" t="str">
        <f>IF(I556="Rob","Robusta",IF(I556="Exc","Excelsa",IF(I556="Ara","Arabica",IF(I556="Lib","Laberica",""))))</f>
        <v>Robusta</v>
      </c>
      <c r="O556" t="str">
        <f t="shared" si="8"/>
        <v>Light</v>
      </c>
      <c r="P556" t="str">
        <f>INDEX(customers!$I$1:$I$1001, MATCH(Orders[[#This Row],[Customer ID]], customers!$A$1:$A$1001, 0))</f>
        <v>Yes</v>
      </c>
    </row>
    <row r="557" spans="1:16" x14ac:dyDescent="0.25">
      <c r="A557" s="2" t="s">
        <v>3627</v>
      </c>
      <c r="B557" s="3">
        <v>44258</v>
      </c>
      <c r="C557" s="2" t="s">
        <v>3628</v>
      </c>
      <c r="D557" t="s">
        <v>6141</v>
      </c>
      <c r="E557" s="2">
        <v>6</v>
      </c>
      <c r="F557" s="2" t="str">
        <f>IFERROR(INDEX(customers!B$1:B$1001, MATCH(C557, customers!A$1:A$1001, 0)), "Not Found")</f>
        <v>Sigfrid Busch</v>
      </c>
      <c r="G557" s="2" t="str">
        <f>IF(IFERROR(INDEX(customers!C$1:C$1001, MATCH(C557, customers!A$1:A$1001, 0)), "Not Found")=0,"",IFERROR(INDEX(customers!C$1:C$1001, MATCH(C557, customers!A$1:A$1001, 0)), "Not Found"))</f>
        <v>sbuschff@so-net.ne.jp</v>
      </c>
      <c r="H557" s="2" t="str">
        <f>IFERROR(INDEX(customers!G$1:G$1001, MATCH(C557, customers!A$1:A$1001, 0)), "Not Found")</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L557*E557</f>
        <v>82.5</v>
      </c>
      <c r="N557" t="str">
        <f>IF(I557="Rob","Robusta",IF(I557="Exc","Excelsa",IF(I557="Ara","Arabica",IF(I557="Lib","Laberica",""))))</f>
        <v>Excelsa</v>
      </c>
      <c r="O557" t="str">
        <f t="shared" si="8"/>
        <v>Medium</v>
      </c>
      <c r="P557" t="str">
        <f>INDEX(customers!$I$1:$I$1001, MATCH(Orders[[#This Row],[Customer ID]], customers!$A$1:$A$1001, 0))</f>
        <v>No</v>
      </c>
    </row>
    <row r="558" spans="1:16" x14ac:dyDescent="0.25">
      <c r="A558" s="2" t="s">
        <v>3633</v>
      </c>
      <c r="B558" s="3">
        <v>44523</v>
      </c>
      <c r="C558" s="2" t="s">
        <v>3634</v>
      </c>
      <c r="D558" t="s">
        <v>6159</v>
      </c>
      <c r="E558" s="2">
        <v>2</v>
      </c>
      <c r="F558" s="2" t="str">
        <f>IFERROR(INDEX(customers!B$1:B$1001, MATCH(C558, customers!A$1:A$1001, 0)), "Not Found")</f>
        <v>Cissiee Raisbeck</v>
      </c>
      <c r="G558" s="2" t="str">
        <f>IF(IFERROR(INDEX(customers!C$1:C$1001, MATCH(C558, customers!A$1:A$1001, 0)), "Not Found")=0,"",IFERROR(INDEX(customers!C$1:C$1001, MATCH(C558, customers!A$1:A$1001, 0)), "Not Found"))</f>
        <v>craisbeckfg@webnode.com</v>
      </c>
      <c r="H558" s="2" t="str">
        <f>IFERROR(INDEX(customers!G$1:G$1001, MATCH(C558, customers!A$1:A$1001, 0)), "Not Found")</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L558*E558</f>
        <v>8.73</v>
      </c>
      <c r="N558" t="str">
        <f>IF(I558="Rob","Robusta",IF(I558="Exc","Excelsa",IF(I558="Ara","Arabica",IF(I558="Lib","Laberica",""))))</f>
        <v>Laberica</v>
      </c>
      <c r="O558" t="str">
        <f t="shared" si="8"/>
        <v>Medium</v>
      </c>
      <c r="P558" t="str">
        <f>INDEX(customers!$I$1:$I$1001, MATCH(Orders[[#This Row],[Customer ID]], customers!$A$1:$A$1001, 0))</f>
        <v>Yes</v>
      </c>
    </row>
    <row r="559" spans="1:16" x14ac:dyDescent="0.25">
      <c r="A559" s="2" t="s">
        <v>3638</v>
      </c>
      <c r="B559" s="3">
        <v>44506</v>
      </c>
      <c r="C559" s="2" t="s">
        <v>3368</v>
      </c>
      <c r="D559" t="s">
        <v>6171</v>
      </c>
      <c r="E559" s="2">
        <v>4</v>
      </c>
      <c r="F559" s="2" t="str">
        <f>IFERROR(INDEX(customers!B$1:B$1001, MATCH(C559, customers!A$1:A$1001, 0)), "Not Found")</f>
        <v>Marja Urion</v>
      </c>
      <c r="G559" s="2" t="str">
        <f>IF(IFERROR(INDEX(customers!C$1:C$1001, MATCH(C559, customers!A$1:A$1001, 0)), "Not Found")=0,"",IFERROR(INDEX(customers!C$1:C$1001, MATCH(C559, customers!A$1:A$1001, 0)), "Not Found"))</f>
        <v>murione5@alexa.com</v>
      </c>
      <c r="H559" s="2" t="str">
        <f>IFERROR(INDEX(customers!G$1:G$1001, MATCH(C559, customers!A$1:A$1001, 0)), "Not Found")</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L559*E559</f>
        <v>59.4</v>
      </c>
      <c r="N559" t="str">
        <f>IF(I559="Rob","Robusta",IF(I559="Exc","Excelsa",IF(I559="Ara","Arabica",IF(I559="Lib","Laberica",""))))</f>
        <v>Excelsa</v>
      </c>
      <c r="O559" t="str">
        <f t="shared" si="8"/>
        <v>Light</v>
      </c>
      <c r="P559" t="str">
        <f>INDEX(customers!$I$1:$I$1001, MATCH(Orders[[#This Row],[Customer ID]], customers!$A$1:$A$1001, 0))</f>
        <v>Yes</v>
      </c>
    </row>
    <row r="560" spans="1:16" x14ac:dyDescent="0.25">
      <c r="A560" s="2" t="s">
        <v>3643</v>
      </c>
      <c r="B560" s="3">
        <v>44225</v>
      </c>
      <c r="C560" s="2" t="s">
        <v>3644</v>
      </c>
      <c r="D560" t="s">
        <v>6150</v>
      </c>
      <c r="E560" s="2">
        <v>4</v>
      </c>
      <c r="F560" s="2" t="str">
        <f>IFERROR(INDEX(customers!B$1:B$1001, MATCH(C560, customers!A$1:A$1001, 0)), "Not Found")</f>
        <v>Kenton Wetherick</v>
      </c>
      <c r="G560" s="2" t="str">
        <f>IF(IFERROR(INDEX(customers!C$1:C$1001, MATCH(C560, customers!A$1:A$1001, 0)), "Not Found")=0,"",IFERROR(INDEX(customers!C$1:C$1001, MATCH(C560, customers!A$1:A$1001, 0)), "Not Found"))</f>
        <v/>
      </c>
      <c r="H560" s="2" t="str">
        <f>IFERROR(INDEX(customers!G$1:G$1001, MATCH(C560, customers!A$1:A$1001, 0)), "Not Found")</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L560*E560</f>
        <v>15.54</v>
      </c>
      <c r="N560" t="str">
        <f>IF(I560="Rob","Robusta",IF(I560="Exc","Excelsa",IF(I560="Ara","Arabica",IF(I560="Lib","Laberica",""))))</f>
        <v>Laberica</v>
      </c>
      <c r="O560" t="str">
        <f t="shared" si="8"/>
        <v>Dark</v>
      </c>
      <c r="P560" t="str">
        <f>INDEX(customers!$I$1:$I$1001, MATCH(Orders[[#This Row],[Customer ID]], customers!$A$1:$A$1001, 0))</f>
        <v>Yes</v>
      </c>
    </row>
    <row r="561" spans="1:16" x14ac:dyDescent="0.25">
      <c r="A561" s="2" t="s">
        <v>3648</v>
      </c>
      <c r="B561" s="3">
        <v>44667</v>
      </c>
      <c r="C561" s="2" t="s">
        <v>3649</v>
      </c>
      <c r="D561" t="s">
        <v>6140</v>
      </c>
      <c r="E561" s="2">
        <v>3</v>
      </c>
      <c r="F561" s="2" t="str">
        <f>IFERROR(INDEX(customers!B$1:B$1001, MATCH(C561, customers!A$1:A$1001, 0)), "Not Found")</f>
        <v>Reamonn Aynold</v>
      </c>
      <c r="G561" s="2" t="str">
        <f>IF(IFERROR(INDEX(customers!C$1:C$1001, MATCH(C561, customers!A$1:A$1001, 0)), "Not Found")=0,"",IFERROR(INDEX(customers!C$1:C$1001, MATCH(C561, customers!A$1:A$1001, 0)), "Not Found"))</f>
        <v>raynoldfj@ustream.tv</v>
      </c>
      <c r="H561" s="2" t="str">
        <f>IFERROR(INDEX(customers!G$1:G$1001, MATCH(C561, customers!A$1:A$1001, 0)), "Not Found")</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L561*E561</f>
        <v>38.849999999999994</v>
      </c>
      <c r="N561" t="str">
        <f>IF(I561="Rob","Robusta",IF(I561="Exc","Excelsa",IF(I561="Ara","Arabica",IF(I561="Lib","Laberica",""))))</f>
        <v>Arabica</v>
      </c>
      <c r="O561" t="str">
        <f t="shared" si="8"/>
        <v>Light</v>
      </c>
      <c r="P561" t="str">
        <f>INDEX(customers!$I$1:$I$1001, MATCH(Orders[[#This Row],[Customer ID]], customers!$A$1:$A$1001, 0))</f>
        <v>Yes</v>
      </c>
    </row>
    <row r="562" spans="1:16" x14ac:dyDescent="0.25">
      <c r="A562" s="2" t="s">
        <v>3654</v>
      </c>
      <c r="B562" s="3">
        <v>44401</v>
      </c>
      <c r="C562" s="2" t="s">
        <v>3655</v>
      </c>
      <c r="D562" t="s">
        <v>6166</v>
      </c>
      <c r="E562" s="2">
        <v>6</v>
      </c>
      <c r="F562" s="2" t="str">
        <f>IFERROR(INDEX(customers!B$1:B$1001, MATCH(C562, customers!A$1:A$1001, 0)), "Not Found")</f>
        <v>Hatty Dovydenas</v>
      </c>
      <c r="G562" s="2" t="str">
        <f>IF(IFERROR(INDEX(customers!C$1:C$1001, MATCH(C562, customers!A$1:A$1001, 0)), "Not Found")=0,"",IFERROR(INDEX(customers!C$1:C$1001, MATCH(C562, customers!A$1:A$1001, 0)), "Not Found"))</f>
        <v/>
      </c>
      <c r="H562" s="2" t="str">
        <f>IFERROR(INDEX(customers!G$1:G$1001, MATCH(C562, customers!A$1:A$1001, 0)), "Not Found")</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L562*E562</f>
        <v>189.74999999999997</v>
      </c>
      <c r="N562" t="str">
        <f>IF(I562="Rob","Robusta",IF(I562="Exc","Excelsa",IF(I562="Ara","Arabica",IF(I562="Lib","Laberica",""))))</f>
        <v>Excelsa</v>
      </c>
      <c r="O562" t="str">
        <f t="shared" si="8"/>
        <v>Medium</v>
      </c>
      <c r="P562" t="str">
        <f>INDEX(customers!$I$1:$I$1001, MATCH(Orders[[#This Row],[Customer ID]], customers!$A$1:$A$1001, 0))</f>
        <v>Yes</v>
      </c>
    </row>
    <row r="563" spans="1:16" x14ac:dyDescent="0.25">
      <c r="A563" s="2" t="s">
        <v>3659</v>
      </c>
      <c r="B563" s="3">
        <v>43688</v>
      </c>
      <c r="C563" s="2" t="s">
        <v>3660</v>
      </c>
      <c r="D563" t="s">
        <v>6154</v>
      </c>
      <c r="E563" s="2">
        <v>6</v>
      </c>
      <c r="F563" s="2" t="str">
        <f>IFERROR(INDEX(customers!B$1:B$1001, MATCH(C563, customers!A$1:A$1001, 0)), "Not Found")</f>
        <v>Nathaniel Bloxland</v>
      </c>
      <c r="G563" s="2" t="str">
        <f>IF(IFERROR(INDEX(customers!C$1:C$1001, MATCH(C563, customers!A$1:A$1001, 0)), "Not Found")=0,"",IFERROR(INDEX(customers!C$1:C$1001, MATCH(C563, customers!A$1:A$1001, 0)), "Not Found"))</f>
        <v/>
      </c>
      <c r="H563" s="2" t="str">
        <f>IFERROR(INDEX(customers!G$1:G$1001, MATCH(C563, customers!A$1:A$1001, 0)), "Not Found")</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L563*E563</f>
        <v>17.91</v>
      </c>
      <c r="N563" t="str">
        <f>IF(I563="Rob","Robusta",IF(I563="Exc","Excelsa",IF(I563="Ara","Arabica",IF(I563="Lib","Laberica",""))))</f>
        <v>Arabica</v>
      </c>
      <c r="O563" t="str">
        <f t="shared" si="8"/>
        <v>Dark</v>
      </c>
      <c r="P563" t="str">
        <f>INDEX(customers!$I$1:$I$1001, MATCH(Orders[[#This Row],[Customer ID]], customers!$A$1:$A$1001, 0))</f>
        <v>Yes</v>
      </c>
    </row>
    <row r="564" spans="1:16" x14ac:dyDescent="0.25">
      <c r="A564" s="2" t="s">
        <v>3665</v>
      </c>
      <c r="B564" s="3">
        <v>43669</v>
      </c>
      <c r="C564" s="2" t="s">
        <v>3666</v>
      </c>
      <c r="D564" t="s">
        <v>6145</v>
      </c>
      <c r="E564" s="2">
        <v>6</v>
      </c>
      <c r="F564" s="2" t="str">
        <f>IFERROR(INDEX(customers!B$1:B$1001, MATCH(C564, customers!A$1:A$1001, 0)), "Not Found")</f>
        <v>Brendan Grece</v>
      </c>
      <c r="G564" s="2" t="str">
        <f>IF(IFERROR(INDEX(customers!C$1:C$1001, MATCH(C564, customers!A$1:A$1001, 0)), "Not Found")=0,"",IFERROR(INDEX(customers!C$1:C$1001, MATCH(C564, customers!A$1:A$1001, 0)), "Not Found"))</f>
        <v>bgrecefm@naver.com</v>
      </c>
      <c r="H564" s="2" t="str">
        <f>IFERROR(INDEX(customers!G$1:G$1001, MATCH(C564, customers!A$1:A$1001, 0)), "Not Found")</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L564*E564</f>
        <v>28.53</v>
      </c>
      <c r="N564" t="str">
        <f>IF(I564="Rob","Robusta",IF(I564="Exc","Excelsa",IF(I564="Ara","Arabica",IF(I564="Lib","Laberica",""))))</f>
        <v>Laberica</v>
      </c>
      <c r="O564" t="str">
        <f t="shared" si="8"/>
        <v>Light</v>
      </c>
      <c r="P564" t="str">
        <f>INDEX(customers!$I$1:$I$1001, MATCH(Orders[[#This Row],[Customer ID]], customers!$A$1:$A$1001, 0))</f>
        <v>No</v>
      </c>
    </row>
    <row r="565" spans="1:16" x14ac:dyDescent="0.25">
      <c r="A565" s="2" t="s">
        <v>3671</v>
      </c>
      <c r="B565" s="3">
        <v>43991</v>
      </c>
      <c r="C565" s="2" t="s">
        <v>3752</v>
      </c>
      <c r="D565" t="s">
        <v>6141</v>
      </c>
      <c r="E565" s="2">
        <v>6</v>
      </c>
      <c r="F565" s="2" t="str">
        <f>IFERROR(INDEX(customers!B$1:B$1001, MATCH(C565, customers!A$1:A$1001, 0)), "Not Found")</f>
        <v>Don Flintiff</v>
      </c>
      <c r="G565" s="2" t="str">
        <f>IF(IFERROR(INDEX(customers!C$1:C$1001, MATCH(C565, customers!A$1:A$1001, 0)), "Not Found")=0,"",IFERROR(INDEX(customers!C$1:C$1001, MATCH(C565, customers!A$1:A$1001, 0)), "Not Found"))</f>
        <v>dflintiffg1@e-recht24.de</v>
      </c>
      <c r="H565" s="2" t="str">
        <f>IFERROR(INDEX(customers!G$1:G$1001, MATCH(C565, customers!A$1:A$1001, 0)), "Not Found")</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L565*E565</f>
        <v>82.5</v>
      </c>
      <c r="N565" t="str">
        <f>IF(I565="Rob","Robusta",IF(I565="Exc","Excelsa",IF(I565="Ara","Arabica",IF(I565="Lib","Laberica",""))))</f>
        <v>Excelsa</v>
      </c>
      <c r="O565" t="str">
        <f t="shared" si="8"/>
        <v>Medium</v>
      </c>
      <c r="P565" t="str">
        <f>INDEX(customers!$I$1:$I$1001, MATCH(Orders[[#This Row],[Customer ID]], customers!$A$1:$A$1001, 0))</f>
        <v>No</v>
      </c>
    </row>
    <row r="566" spans="1:16" x14ac:dyDescent="0.25">
      <c r="A566" s="2" t="s">
        <v>3677</v>
      </c>
      <c r="B566" s="3">
        <v>43883</v>
      </c>
      <c r="C566" s="2" t="s">
        <v>3678</v>
      </c>
      <c r="D566" t="s">
        <v>6173</v>
      </c>
      <c r="E566" s="2">
        <v>2</v>
      </c>
      <c r="F566" s="2" t="str">
        <f>IFERROR(INDEX(customers!B$1:B$1001, MATCH(C566, customers!A$1:A$1001, 0)), "Not Found")</f>
        <v>Abbe Thys</v>
      </c>
      <c r="G566" s="2" t="str">
        <f>IF(IFERROR(INDEX(customers!C$1:C$1001, MATCH(C566, customers!A$1:A$1001, 0)), "Not Found")=0,"",IFERROR(INDEX(customers!C$1:C$1001, MATCH(C566, customers!A$1:A$1001, 0)), "Not Found"))</f>
        <v>athysfo@cdc.gov</v>
      </c>
      <c r="H566" s="2" t="str">
        <f>IFERROR(INDEX(customers!G$1:G$1001, MATCH(C566, customers!A$1:A$1001, 0)), "Not Found")</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L566*E566</f>
        <v>14.339999999999998</v>
      </c>
      <c r="N566" t="str">
        <f>IF(I566="Rob","Robusta",IF(I566="Exc","Excelsa",IF(I566="Ara","Arabica",IF(I566="Lib","Laberica",""))))</f>
        <v>Robusta</v>
      </c>
      <c r="O566" t="str">
        <f t="shared" si="8"/>
        <v>Light</v>
      </c>
      <c r="P566" t="str">
        <f>INDEX(customers!$I$1:$I$1001, MATCH(Orders[[#This Row],[Customer ID]], customers!$A$1:$A$1001, 0))</f>
        <v>No</v>
      </c>
    </row>
    <row r="567" spans="1:16" x14ac:dyDescent="0.25">
      <c r="A567" s="2" t="s">
        <v>3683</v>
      </c>
      <c r="B567" s="3">
        <v>44031</v>
      </c>
      <c r="C567" s="2" t="s">
        <v>3684</v>
      </c>
      <c r="D567" t="s">
        <v>6149</v>
      </c>
      <c r="E567" s="2">
        <v>4</v>
      </c>
      <c r="F567" s="2" t="str">
        <f>IFERROR(INDEX(customers!B$1:B$1001, MATCH(C567, customers!A$1:A$1001, 0)), "Not Found")</f>
        <v>Jackquelin Chugg</v>
      </c>
      <c r="G567" s="2" t="str">
        <f>IF(IFERROR(INDEX(customers!C$1:C$1001, MATCH(C567, customers!A$1:A$1001, 0)), "Not Found")=0,"",IFERROR(INDEX(customers!C$1:C$1001, MATCH(C567, customers!A$1:A$1001, 0)), "Not Found"))</f>
        <v>jchuggfp@about.me</v>
      </c>
      <c r="H567" s="2" t="str">
        <f>IFERROR(INDEX(customers!G$1:G$1001, MATCH(C567, customers!A$1:A$1001, 0)), "Not Found")</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L567*E567</f>
        <v>82.339999999999989</v>
      </c>
      <c r="N567" t="str">
        <f>IF(I567="Rob","Robusta",IF(I567="Exc","Excelsa",IF(I567="Ara","Arabica",IF(I567="Lib","Laberica",""))))</f>
        <v>Robusta</v>
      </c>
      <c r="O567" t="str">
        <f t="shared" si="8"/>
        <v>Dark</v>
      </c>
      <c r="P567" t="str">
        <f>INDEX(customers!$I$1:$I$1001, MATCH(Orders[[#This Row],[Customer ID]], customers!$A$1:$A$1001, 0))</f>
        <v>No</v>
      </c>
    </row>
    <row r="568" spans="1:16" x14ac:dyDescent="0.25">
      <c r="A568" s="2" t="s">
        <v>3689</v>
      </c>
      <c r="B568" s="3">
        <v>44459</v>
      </c>
      <c r="C568" s="2" t="s">
        <v>3690</v>
      </c>
      <c r="D568" t="s">
        <v>6152</v>
      </c>
      <c r="E568" s="2">
        <v>6</v>
      </c>
      <c r="F568" s="2" t="str">
        <f>IFERROR(INDEX(customers!B$1:B$1001, MATCH(C568, customers!A$1:A$1001, 0)), "Not Found")</f>
        <v>Audra Kelston</v>
      </c>
      <c r="G568" s="2" t="str">
        <f>IF(IFERROR(INDEX(customers!C$1:C$1001, MATCH(C568, customers!A$1:A$1001, 0)), "Not Found")=0,"",IFERROR(INDEX(customers!C$1:C$1001, MATCH(C568, customers!A$1:A$1001, 0)), "Not Found"))</f>
        <v>akelstonfq@sakura.ne.jp</v>
      </c>
      <c r="H568" s="2" t="str">
        <f>IFERROR(INDEX(customers!G$1:G$1001, MATCH(C568, customers!A$1:A$1001, 0)), "Not Found")</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L568*E568</f>
        <v>20.25</v>
      </c>
      <c r="N568" t="str">
        <f>IF(I568="Rob","Robusta",IF(I568="Exc","Excelsa",IF(I568="Ara","Arabica",IF(I568="Lib","Laberica",""))))</f>
        <v>Arabica</v>
      </c>
      <c r="O568" t="str">
        <f t="shared" si="8"/>
        <v>Medium</v>
      </c>
      <c r="P568" t="str">
        <f>INDEX(customers!$I$1:$I$1001, MATCH(Orders[[#This Row],[Customer ID]], customers!$A$1:$A$1001, 0))</f>
        <v>Yes</v>
      </c>
    </row>
    <row r="569" spans="1:16" x14ac:dyDescent="0.25">
      <c r="A569" s="2" t="s">
        <v>3695</v>
      </c>
      <c r="B569" s="3">
        <v>44318</v>
      </c>
      <c r="C569" s="2" t="s">
        <v>3696</v>
      </c>
      <c r="D569" t="s">
        <v>6142</v>
      </c>
      <c r="E569" s="2">
        <v>6</v>
      </c>
      <c r="F569" s="2" t="str">
        <f>IFERROR(INDEX(customers!B$1:B$1001, MATCH(C569, customers!A$1:A$1001, 0)), "Not Found")</f>
        <v>Elvina Angel</v>
      </c>
      <c r="G569" s="2" t="str">
        <f>IF(IFERROR(INDEX(customers!C$1:C$1001, MATCH(C569, customers!A$1:A$1001, 0)), "Not Found")=0,"",IFERROR(INDEX(customers!C$1:C$1001, MATCH(C569, customers!A$1:A$1001, 0)), "Not Found"))</f>
        <v/>
      </c>
      <c r="H569" s="2" t="str">
        <f>IFERROR(INDEX(customers!G$1:G$1001, MATCH(C569, customers!A$1:A$1001, 0)), "Not Found")</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L569*E569</f>
        <v>164.90999999999997</v>
      </c>
      <c r="N569" t="str">
        <f>IF(I569="Rob","Robusta",IF(I569="Exc","Excelsa",IF(I569="Ara","Arabica",IF(I569="Lib","Laberica",""))))</f>
        <v>Robusta</v>
      </c>
      <c r="O569" t="str">
        <f t="shared" si="8"/>
        <v>Light</v>
      </c>
      <c r="P569" t="str">
        <f>INDEX(customers!$I$1:$I$1001, MATCH(Orders[[#This Row],[Customer ID]], customers!$A$1:$A$1001, 0))</f>
        <v>No</v>
      </c>
    </row>
    <row r="570" spans="1:16" x14ac:dyDescent="0.25">
      <c r="A570" s="2" t="s">
        <v>3700</v>
      </c>
      <c r="B570" s="3">
        <v>44526</v>
      </c>
      <c r="C570" s="2" t="s">
        <v>3701</v>
      </c>
      <c r="D570" t="s">
        <v>6145</v>
      </c>
      <c r="E570" s="2">
        <v>4</v>
      </c>
      <c r="F570" s="2" t="str">
        <f>IFERROR(INDEX(customers!B$1:B$1001, MATCH(C570, customers!A$1:A$1001, 0)), "Not Found")</f>
        <v>Claiborne Mottram</v>
      </c>
      <c r="G570" s="2" t="str">
        <f>IF(IFERROR(INDEX(customers!C$1:C$1001, MATCH(C570, customers!A$1:A$1001, 0)), "Not Found")=0,"",IFERROR(INDEX(customers!C$1:C$1001, MATCH(C570, customers!A$1:A$1001, 0)), "Not Found"))</f>
        <v>cmottramfs@harvard.edu</v>
      </c>
      <c r="H570" s="2" t="str">
        <f>IFERROR(INDEX(customers!G$1:G$1001, MATCH(C570, customers!A$1:A$1001, 0)), "Not Found")</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L570*E570</f>
        <v>19.02</v>
      </c>
      <c r="N570" t="str">
        <f>IF(I570="Rob","Robusta",IF(I570="Exc","Excelsa",IF(I570="Ara","Arabica",IF(I570="Lib","Laberica",""))))</f>
        <v>Laberica</v>
      </c>
      <c r="O570" t="str">
        <f t="shared" si="8"/>
        <v>Light</v>
      </c>
      <c r="P570" t="str">
        <f>INDEX(customers!$I$1:$I$1001, MATCH(Orders[[#This Row],[Customer ID]], customers!$A$1:$A$1001, 0))</f>
        <v>Yes</v>
      </c>
    </row>
    <row r="571" spans="1:16" x14ac:dyDescent="0.25">
      <c r="A571" s="2" t="s">
        <v>3706</v>
      </c>
      <c r="B571" s="3">
        <v>43879</v>
      </c>
      <c r="C571" s="2" t="s">
        <v>3752</v>
      </c>
      <c r="D571" t="s">
        <v>6168</v>
      </c>
      <c r="E571" s="2">
        <v>6</v>
      </c>
      <c r="F571" s="2" t="str">
        <f>IFERROR(INDEX(customers!B$1:B$1001, MATCH(C571, customers!A$1:A$1001, 0)), "Not Found")</f>
        <v>Don Flintiff</v>
      </c>
      <c r="G571" s="2" t="str">
        <f>IF(IFERROR(INDEX(customers!C$1:C$1001, MATCH(C571, customers!A$1:A$1001, 0)), "Not Found")=0,"",IFERROR(INDEX(customers!C$1:C$1001, MATCH(C571, customers!A$1:A$1001, 0)), "Not Found"))</f>
        <v>dflintiffg1@e-recht24.de</v>
      </c>
      <c r="H571" s="2" t="str">
        <f>IFERROR(INDEX(customers!G$1:G$1001, MATCH(C571, customers!A$1:A$1001, 0)), "Not Found")</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L571*E571</f>
        <v>137.31</v>
      </c>
      <c r="N571" t="str">
        <f>IF(I571="Rob","Robusta",IF(I571="Exc","Excelsa",IF(I571="Ara","Arabica",IF(I571="Lib","Laberica",""))))</f>
        <v>Arabica</v>
      </c>
      <c r="O571" t="str">
        <f t="shared" si="8"/>
        <v>Dark</v>
      </c>
      <c r="P571" t="str">
        <f>INDEX(customers!$I$1:$I$1001, MATCH(Orders[[#This Row],[Customer ID]], customers!$A$1:$A$1001, 0))</f>
        <v>No</v>
      </c>
    </row>
    <row r="572" spans="1:16" x14ac:dyDescent="0.25">
      <c r="A572" s="2" t="s">
        <v>3712</v>
      </c>
      <c r="B572" s="3">
        <v>43928</v>
      </c>
      <c r="C572" s="2" t="s">
        <v>3713</v>
      </c>
      <c r="D572" t="s">
        <v>6157</v>
      </c>
      <c r="E572" s="2">
        <v>4</v>
      </c>
      <c r="F572" s="2" t="str">
        <f>IFERROR(INDEX(customers!B$1:B$1001, MATCH(C572, customers!A$1:A$1001, 0)), "Not Found")</f>
        <v>Donalt Sangwin</v>
      </c>
      <c r="G572" s="2" t="str">
        <f>IF(IFERROR(INDEX(customers!C$1:C$1001, MATCH(C572, customers!A$1:A$1001, 0)), "Not Found")=0,"",IFERROR(INDEX(customers!C$1:C$1001, MATCH(C572, customers!A$1:A$1001, 0)), "Not Found"))</f>
        <v>dsangwinfu@weebly.com</v>
      </c>
      <c r="H572" s="2" t="str">
        <f>IFERROR(INDEX(customers!G$1:G$1001, MATCH(C572, customers!A$1:A$1001, 0)), "Not Found")</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L572*E572</f>
        <v>27</v>
      </c>
      <c r="N572" t="str">
        <f>IF(I572="Rob","Robusta",IF(I572="Exc","Excelsa",IF(I572="Ara","Arabica",IF(I572="Lib","Laberica",""))))</f>
        <v>Arabica</v>
      </c>
      <c r="O572" t="str">
        <f t="shared" si="8"/>
        <v>Medium</v>
      </c>
      <c r="P572" t="str">
        <f>INDEX(customers!$I$1:$I$1001, MATCH(Orders[[#This Row],[Customer ID]], customers!$A$1:$A$1001, 0))</f>
        <v>No</v>
      </c>
    </row>
    <row r="573" spans="1:16" x14ac:dyDescent="0.25">
      <c r="A573" s="2" t="s">
        <v>3718</v>
      </c>
      <c r="B573" s="3">
        <v>44592</v>
      </c>
      <c r="C573" s="2" t="s">
        <v>3719</v>
      </c>
      <c r="D573" t="s">
        <v>6176</v>
      </c>
      <c r="E573" s="2">
        <v>4</v>
      </c>
      <c r="F573" s="2" t="str">
        <f>IFERROR(INDEX(customers!B$1:B$1001, MATCH(C573, customers!A$1:A$1001, 0)), "Not Found")</f>
        <v>Elizabet Aizikowitz</v>
      </c>
      <c r="G573" s="2" t="str">
        <f>IF(IFERROR(INDEX(customers!C$1:C$1001, MATCH(C573, customers!A$1:A$1001, 0)), "Not Found")=0,"",IFERROR(INDEX(customers!C$1:C$1001, MATCH(C573, customers!A$1:A$1001, 0)), "Not Found"))</f>
        <v>eaizikowitzfv@virginia.edu</v>
      </c>
      <c r="H573" s="2" t="str">
        <f>IFERROR(INDEX(customers!G$1:G$1001, MATCH(C573, customers!A$1:A$1001, 0)), "Not Found")</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L573*E573</f>
        <v>35.64</v>
      </c>
      <c r="N573" t="str">
        <f>IF(I573="Rob","Robusta",IF(I573="Exc","Excelsa",IF(I573="Ara","Arabica",IF(I573="Lib","Laberica",""))))</f>
        <v>Excelsa</v>
      </c>
      <c r="O573" t="str">
        <f t="shared" si="8"/>
        <v>Light</v>
      </c>
      <c r="P573" t="str">
        <f>INDEX(customers!$I$1:$I$1001, MATCH(Orders[[#This Row],[Customer ID]], customers!$A$1:$A$1001, 0))</f>
        <v>No</v>
      </c>
    </row>
    <row r="574" spans="1:16" x14ac:dyDescent="0.25">
      <c r="A574" s="2" t="s">
        <v>3724</v>
      </c>
      <c r="B574" s="3">
        <v>43515</v>
      </c>
      <c r="C574" s="2" t="s">
        <v>3725</v>
      </c>
      <c r="D574" t="s">
        <v>6154</v>
      </c>
      <c r="E574" s="2">
        <v>2</v>
      </c>
      <c r="F574" s="2" t="str">
        <f>IFERROR(INDEX(customers!B$1:B$1001, MATCH(C574, customers!A$1:A$1001, 0)), "Not Found")</f>
        <v>Herbie Peppard</v>
      </c>
      <c r="G574" s="2" t="str">
        <f>IF(IFERROR(INDEX(customers!C$1:C$1001, MATCH(C574, customers!A$1:A$1001, 0)), "Not Found")=0,"",IFERROR(INDEX(customers!C$1:C$1001, MATCH(C574, customers!A$1:A$1001, 0)), "Not Found"))</f>
        <v/>
      </c>
      <c r="H574" s="2" t="str">
        <f>IFERROR(INDEX(customers!G$1:G$1001, MATCH(C574, customers!A$1:A$1001, 0)), "Not Found")</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L574*E574</f>
        <v>5.97</v>
      </c>
      <c r="N574" t="str">
        <f>IF(I574="Rob","Robusta",IF(I574="Exc","Excelsa",IF(I574="Ara","Arabica",IF(I574="Lib","Laberica",""))))</f>
        <v>Arabica</v>
      </c>
      <c r="O574" t="str">
        <f t="shared" si="8"/>
        <v>Dark</v>
      </c>
      <c r="P574" t="str">
        <f>INDEX(customers!$I$1:$I$1001, MATCH(Orders[[#This Row],[Customer ID]], customers!$A$1:$A$1001, 0))</f>
        <v>Yes</v>
      </c>
    </row>
    <row r="575" spans="1:16" x14ac:dyDescent="0.25">
      <c r="A575" s="2" t="s">
        <v>3728</v>
      </c>
      <c r="B575" s="3">
        <v>43781</v>
      </c>
      <c r="C575" s="2" t="s">
        <v>3729</v>
      </c>
      <c r="D575" t="s">
        <v>6155</v>
      </c>
      <c r="E575" s="2">
        <v>6</v>
      </c>
      <c r="F575" s="2" t="str">
        <f>IFERROR(INDEX(customers!B$1:B$1001, MATCH(C575, customers!A$1:A$1001, 0)), "Not Found")</f>
        <v>Cornie Venour</v>
      </c>
      <c r="G575" s="2" t="str">
        <f>IF(IFERROR(INDEX(customers!C$1:C$1001, MATCH(C575, customers!A$1:A$1001, 0)), "Not Found")=0,"",IFERROR(INDEX(customers!C$1:C$1001, MATCH(C575, customers!A$1:A$1001, 0)), "Not Found"))</f>
        <v>cvenourfx@ask.com</v>
      </c>
      <c r="H575" s="2" t="str">
        <f>IFERROR(INDEX(customers!G$1:G$1001, MATCH(C575, customers!A$1:A$1001, 0)), "Not Found")</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L575*E575</f>
        <v>67.5</v>
      </c>
      <c r="N575" t="str">
        <f>IF(I575="Rob","Robusta",IF(I575="Exc","Excelsa",IF(I575="Ara","Arabica",IF(I575="Lib","Laberica",""))))</f>
        <v>Arabica</v>
      </c>
      <c r="O575" t="str">
        <f t="shared" si="8"/>
        <v>Medium</v>
      </c>
      <c r="P575" t="str">
        <f>INDEX(customers!$I$1:$I$1001, MATCH(Orders[[#This Row],[Customer ID]], customers!$A$1:$A$1001, 0))</f>
        <v>No</v>
      </c>
    </row>
    <row r="576" spans="1:16" x14ac:dyDescent="0.25">
      <c r="A576" s="2" t="s">
        <v>3734</v>
      </c>
      <c r="B576" s="3">
        <v>44697</v>
      </c>
      <c r="C576" s="2" t="s">
        <v>3735</v>
      </c>
      <c r="D576" t="s">
        <v>6178</v>
      </c>
      <c r="E576" s="2">
        <v>6</v>
      </c>
      <c r="F576" s="2" t="str">
        <f>IFERROR(INDEX(customers!B$1:B$1001, MATCH(C576, customers!A$1:A$1001, 0)), "Not Found")</f>
        <v>Maggy Harby</v>
      </c>
      <c r="G576" s="2" t="str">
        <f>IF(IFERROR(INDEX(customers!C$1:C$1001, MATCH(C576, customers!A$1:A$1001, 0)), "Not Found")=0,"",IFERROR(INDEX(customers!C$1:C$1001, MATCH(C576, customers!A$1:A$1001, 0)), "Not Found"))</f>
        <v>mharbyfy@163.com</v>
      </c>
      <c r="H576" s="2" t="str">
        <f>IFERROR(INDEX(customers!G$1:G$1001, MATCH(C576, customers!A$1:A$1001, 0)), "Not Found")</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L576*E576</f>
        <v>21.509999999999998</v>
      </c>
      <c r="N576" t="str">
        <f>IF(I576="Rob","Robusta",IF(I576="Exc","Excelsa",IF(I576="Ara","Arabica",IF(I576="Lib","Laberica",""))))</f>
        <v>Robusta</v>
      </c>
      <c r="O576" t="str">
        <f t="shared" si="8"/>
        <v>Light</v>
      </c>
      <c r="P576" t="str">
        <f>INDEX(customers!$I$1:$I$1001, MATCH(Orders[[#This Row],[Customer ID]], customers!$A$1:$A$1001, 0))</f>
        <v>Yes</v>
      </c>
    </row>
    <row r="577" spans="1:16" x14ac:dyDescent="0.25">
      <c r="A577" s="2" t="s">
        <v>3739</v>
      </c>
      <c r="B577" s="3">
        <v>44239</v>
      </c>
      <c r="C577" s="2" t="s">
        <v>3740</v>
      </c>
      <c r="D577" t="s">
        <v>6181</v>
      </c>
      <c r="E577" s="2">
        <v>2</v>
      </c>
      <c r="F577" s="2" t="str">
        <f>IFERROR(INDEX(customers!B$1:B$1001, MATCH(C577, customers!A$1:A$1001, 0)), "Not Found")</f>
        <v>Reggie Thickpenny</v>
      </c>
      <c r="G577" s="2" t="str">
        <f>IF(IFERROR(INDEX(customers!C$1:C$1001, MATCH(C577, customers!A$1:A$1001, 0)), "Not Found")=0,"",IFERROR(INDEX(customers!C$1:C$1001, MATCH(C577, customers!A$1:A$1001, 0)), "Not Found"))</f>
        <v>rthickpennyfz@cafepress.com</v>
      </c>
      <c r="H577" s="2" t="str">
        <f>IFERROR(INDEX(customers!G$1:G$1001, MATCH(C577, customers!A$1:A$1001, 0)), "Not Found")</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L577*E577</f>
        <v>66.929999999999993</v>
      </c>
      <c r="N577" t="str">
        <f>IF(I577="Rob","Robusta",IF(I577="Exc","Excelsa",IF(I577="Ara","Arabica",IF(I577="Lib","Laberica",""))))</f>
        <v>Laberica</v>
      </c>
      <c r="O577" t="str">
        <f t="shared" si="8"/>
        <v>Medium</v>
      </c>
      <c r="P577" t="str">
        <f>INDEX(customers!$I$1:$I$1001, MATCH(Orders[[#This Row],[Customer ID]], customers!$A$1:$A$1001, 0))</f>
        <v>No</v>
      </c>
    </row>
    <row r="578" spans="1:16" x14ac:dyDescent="0.25">
      <c r="A578" s="2" t="s">
        <v>3745</v>
      </c>
      <c r="B578" s="3">
        <v>44290</v>
      </c>
      <c r="C578" s="2" t="s">
        <v>3746</v>
      </c>
      <c r="D578" t="s">
        <v>6154</v>
      </c>
      <c r="E578" s="2">
        <v>6</v>
      </c>
      <c r="F578" s="2" t="str">
        <f>IFERROR(INDEX(customers!B$1:B$1001, MATCH(C578, customers!A$1:A$1001, 0)), "Not Found")</f>
        <v>Phyllys Ormerod</v>
      </c>
      <c r="G578" s="2" t="str">
        <f>IF(IFERROR(INDEX(customers!C$1:C$1001, MATCH(C578, customers!A$1:A$1001, 0)), "Not Found")=0,"",IFERROR(INDEX(customers!C$1:C$1001, MATCH(C578, customers!A$1:A$1001, 0)), "Not Found"))</f>
        <v>pormerodg0@redcross.org</v>
      </c>
      <c r="H578" s="2" t="str">
        <f>IFERROR(INDEX(customers!G$1:G$1001, MATCH(C578, customers!A$1:A$1001, 0)), "Not Found")</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L578*E578</f>
        <v>17.91</v>
      </c>
      <c r="N578" t="str">
        <f>IF(I578="Rob","Robusta",IF(I578="Exc","Excelsa",IF(I578="Ara","Arabica",IF(I578="Lib","Laberica",""))))</f>
        <v>Arabica</v>
      </c>
      <c r="O578" t="str">
        <f t="shared" si="8"/>
        <v>Dark</v>
      </c>
      <c r="P578" t="str">
        <f>INDEX(customers!$I$1:$I$1001, MATCH(Orders[[#This Row],[Customer ID]], customers!$A$1:$A$1001, 0))</f>
        <v>No</v>
      </c>
    </row>
    <row r="579" spans="1:16" x14ac:dyDescent="0.25">
      <c r="A579" s="2" t="s">
        <v>3751</v>
      </c>
      <c r="B579" s="3">
        <v>44410</v>
      </c>
      <c r="C579" s="2" t="s">
        <v>3752</v>
      </c>
      <c r="D579" t="s">
        <v>6162</v>
      </c>
      <c r="E579" s="2">
        <v>4</v>
      </c>
      <c r="F579" s="2" t="str">
        <f>IFERROR(INDEX(customers!B$1:B$1001, MATCH(C579, customers!A$1:A$1001, 0)), "Not Found")</f>
        <v>Don Flintiff</v>
      </c>
      <c r="G579" s="2" t="str">
        <f>IF(IFERROR(INDEX(customers!C$1:C$1001, MATCH(C579, customers!A$1:A$1001, 0)), "Not Found")=0,"",IFERROR(INDEX(customers!C$1:C$1001, MATCH(C579, customers!A$1:A$1001, 0)), "Not Found"))</f>
        <v>dflintiffg1@e-recht24.de</v>
      </c>
      <c r="H579" s="2" t="str">
        <f>IFERROR(INDEX(customers!G$1:G$1001, MATCH(C579, customers!A$1:A$1001, 0)), "Not Found")</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L579*E579</f>
        <v>58.2</v>
      </c>
      <c r="N579" t="str">
        <f>IF(I579="Rob","Robusta",IF(I579="Exc","Excelsa",IF(I579="Ara","Arabica",IF(I579="Lib","Laberica",""))))</f>
        <v>Laberica</v>
      </c>
      <c r="O579" t="str">
        <f t="shared" ref="O579:O642" si="9">IF(J579="M","Medium",IF(J579="L","Light",IF(J579="D","Dark","")))</f>
        <v>Medium</v>
      </c>
      <c r="P579" t="str">
        <f>INDEX(customers!$I$1:$I$1001, MATCH(Orders[[#This Row],[Customer ID]], customers!$A$1:$A$1001, 0))</f>
        <v>No</v>
      </c>
    </row>
    <row r="580" spans="1:16" x14ac:dyDescent="0.25">
      <c r="A580" s="2" t="s">
        <v>3756</v>
      </c>
      <c r="B580" s="3">
        <v>44720</v>
      </c>
      <c r="C580" s="2" t="s">
        <v>3757</v>
      </c>
      <c r="D580" t="s">
        <v>6184</v>
      </c>
      <c r="E580" s="2">
        <v>3</v>
      </c>
      <c r="F580" s="2" t="str">
        <f>IFERROR(INDEX(customers!B$1:B$1001, MATCH(C580, customers!A$1:A$1001, 0)), "Not Found")</f>
        <v>Tymon Zanetti</v>
      </c>
      <c r="G580" s="2" t="str">
        <f>IF(IFERROR(INDEX(customers!C$1:C$1001, MATCH(C580, customers!A$1:A$1001, 0)), "Not Found")=0,"",IFERROR(INDEX(customers!C$1:C$1001, MATCH(C580, customers!A$1:A$1001, 0)), "Not Found"))</f>
        <v>tzanettig2@gravatar.com</v>
      </c>
      <c r="H580" s="2" t="str">
        <f>IFERROR(INDEX(customers!G$1:G$1001, MATCH(C580, customers!A$1:A$1001, 0)), "Not Found")</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L580*E580</f>
        <v>13.365</v>
      </c>
      <c r="N580" t="str">
        <f>IF(I580="Rob","Robusta",IF(I580="Exc","Excelsa",IF(I580="Ara","Arabica",IF(I580="Lib","Laberica",""))))</f>
        <v>Excelsa</v>
      </c>
      <c r="O580" t="str">
        <f t="shared" si="9"/>
        <v>Light</v>
      </c>
      <c r="P580" t="str">
        <f>INDEX(customers!$I$1:$I$1001, MATCH(Orders[[#This Row],[Customer ID]], customers!$A$1:$A$1001, 0))</f>
        <v>No</v>
      </c>
    </row>
    <row r="581" spans="1:16" x14ac:dyDescent="0.25">
      <c r="A581" s="2" t="s">
        <v>3756</v>
      </c>
      <c r="B581" s="3">
        <v>44720</v>
      </c>
      <c r="C581" s="2" t="s">
        <v>3757</v>
      </c>
      <c r="D581" t="s">
        <v>6157</v>
      </c>
      <c r="E581" s="2">
        <v>5</v>
      </c>
      <c r="F581" s="2" t="str">
        <f>IFERROR(INDEX(customers!B$1:B$1001, MATCH(C581, customers!A$1:A$1001, 0)), "Not Found")</f>
        <v>Tymon Zanetti</v>
      </c>
      <c r="G581" s="2" t="str">
        <f>IF(IFERROR(INDEX(customers!C$1:C$1001, MATCH(C581, customers!A$1:A$1001, 0)), "Not Found")=0,"",IFERROR(INDEX(customers!C$1:C$1001, MATCH(C581, customers!A$1:A$1001, 0)), "Not Found"))</f>
        <v>tzanettig2@gravatar.com</v>
      </c>
      <c r="H581" s="2" t="str">
        <f>IFERROR(INDEX(customers!G$1:G$1001, MATCH(C581, customers!A$1:A$1001, 0)), "Not Found")</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L581*E581</f>
        <v>33.75</v>
      </c>
      <c r="N581" t="str">
        <f>IF(I581="Rob","Robusta",IF(I581="Exc","Excelsa",IF(I581="Ara","Arabica",IF(I581="Lib","Laberica",""))))</f>
        <v>Arabica</v>
      </c>
      <c r="O581" t="str">
        <f t="shared" si="9"/>
        <v>Medium</v>
      </c>
      <c r="P581" t="str">
        <f>INDEX(customers!$I$1:$I$1001, MATCH(Orders[[#This Row],[Customer ID]], customers!$A$1:$A$1001, 0))</f>
        <v>No</v>
      </c>
    </row>
    <row r="582" spans="1:16" x14ac:dyDescent="0.25">
      <c r="A582" s="2" t="s">
        <v>3767</v>
      </c>
      <c r="B582" s="3">
        <v>43965</v>
      </c>
      <c r="C582" s="2" t="s">
        <v>3768</v>
      </c>
      <c r="D582" t="s">
        <v>6171</v>
      </c>
      <c r="E582" s="2">
        <v>3</v>
      </c>
      <c r="F582" s="2" t="str">
        <f>IFERROR(INDEX(customers!B$1:B$1001, MATCH(C582, customers!A$1:A$1001, 0)), "Not Found")</f>
        <v>Reinaldos Kirtley</v>
      </c>
      <c r="G582" s="2" t="str">
        <f>IF(IFERROR(INDEX(customers!C$1:C$1001, MATCH(C582, customers!A$1:A$1001, 0)), "Not Found")=0,"",IFERROR(INDEX(customers!C$1:C$1001, MATCH(C582, customers!A$1:A$1001, 0)), "Not Found"))</f>
        <v>rkirtleyg4@hatena.ne.jp</v>
      </c>
      <c r="H582" s="2" t="str">
        <f>IFERROR(INDEX(customers!G$1:G$1001, MATCH(C582, customers!A$1:A$1001, 0)), "Not Found")</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L582*E582</f>
        <v>44.55</v>
      </c>
      <c r="N582" t="str">
        <f>IF(I582="Rob","Robusta",IF(I582="Exc","Excelsa",IF(I582="Ara","Arabica",IF(I582="Lib","Laberica",""))))</f>
        <v>Excelsa</v>
      </c>
      <c r="O582" t="str">
        <f t="shared" si="9"/>
        <v>Light</v>
      </c>
      <c r="P582" t="str">
        <f>INDEX(customers!$I$1:$I$1001, MATCH(Orders[[#This Row],[Customer ID]], customers!$A$1:$A$1001, 0))</f>
        <v>Yes</v>
      </c>
    </row>
    <row r="583" spans="1:16" x14ac:dyDescent="0.25">
      <c r="A583" s="2" t="s">
        <v>3773</v>
      </c>
      <c r="B583" s="3">
        <v>44190</v>
      </c>
      <c r="C583" s="2" t="s">
        <v>3774</v>
      </c>
      <c r="D583" t="s">
        <v>6176</v>
      </c>
      <c r="E583" s="2">
        <v>5</v>
      </c>
      <c r="F583" s="2" t="str">
        <f>IFERROR(INDEX(customers!B$1:B$1001, MATCH(C583, customers!A$1:A$1001, 0)), "Not Found")</f>
        <v>Carney Clemencet</v>
      </c>
      <c r="G583" s="2" t="str">
        <f>IF(IFERROR(INDEX(customers!C$1:C$1001, MATCH(C583, customers!A$1:A$1001, 0)), "Not Found")=0,"",IFERROR(INDEX(customers!C$1:C$1001, MATCH(C583, customers!A$1:A$1001, 0)), "Not Found"))</f>
        <v>cclemencetg5@weather.com</v>
      </c>
      <c r="H583" s="2" t="str">
        <f>IFERROR(INDEX(customers!G$1:G$1001, MATCH(C583, customers!A$1:A$1001, 0)), "Not Found")</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L583*E583</f>
        <v>44.55</v>
      </c>
      <c r="N583" t="str">
        <f>IF(I583="Rob","Robusta",IF(I583="Exc","Excelsa",IF(I583="Ara","Arabica",IF(I583="Lib","Laberica",""))))</f>
        <v>Excelsa</v>
      </c>
      <c r="O583" t="str">
        <f t="shared" si="9"/>
        <v>Light</v>
      </c>
      <c r="P583" t="str">
        <f>INDEX(customers!$I$1:$I$1001, MATCH(Orders[[#This Row],[Customer ID]], customers!$A$1:$A$1001, 0))</f>
        <v>Yes</v>
      </c>
    </row>
    <row r="584" spans="1:16" x14ac:dyDescent="0.25">
      <c r="A584" s="2" t="s">
        <v>3778</v>
      </c>
      <c r="B584" s="3">
        <v>44382</v>
      </c>
      <c r="C584" s="2" t="s">
        <v>3779</v>
      </c>
      <c r="D584" t="s">
        <v>6183</v>
      </c>
      <c r="E584" s="2">
        <v>5</v>
      </c>
      <c r="F584" s="2" t="str">
        <f>IFERROR(INDEX(customers!B$1:B$1001, MATCH(C584, customers!A$1:A$1001, 0)), "Not Found")</f>
        <v>Russell Donet</v>
      </c>
      <c r="G584" s="2" t="str">
        <f>IF(IFERROR(INDEX(customers!C$1:C$1001, MATCH(C584, customers!A$1:A$1001, 0)), "Not Found")=0,"",IFERROR(INDEX(customers!C$1:C$1001, MATCH(C584, customers!A$1:A$1001, 0)), "Not Found"))</f>
        <v>rdonetg6@oakley.com</v>
      </c>
      <c r="H584" s="2" t="str">
        <f>IFERROR(INDEX(customers!G$1:G$1001, MATCH(C584, customers!A$1:A$1001, 0)), "Not Found")</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L584*E584</f>
        <v>60.75</v>
      </c>
      <c r="N584" t="str">
        <f>IF(I584="Rob","Robusta",IF(I584="Exc","Excelsa",IF(I584="Ara","Arabica",IF(I584="Lib","Laberica",""))))</f>
        <v>Excelsa</v>
      </c>
      <c r="O584" t="str">
        <f t="shared" si="9"/>
        <v>Dark</v>
      </c>
      <c r="P584" t="str">
        <f>INDEX(customers!$I$1:$I$1001, MATCH(Orders[[#This Row],[Customer ID]], customers!$A$1:$A$1001, 0))</f>
        <v>No</v>
      </c>
    </row>
    <row r="585" spans="1:16" x14ac:dyDescent="0.25">
      <c r="A585" s="2" t="s">
        <v>3784</v>
      </c>
      <c r="B585" s="3">
        <v>43538</v>
      </c>
      <c r="C585" s="2" t="s">
        <v>3785</v>
      </c>
      <c r="D585" t="s">
        <v>6178</v>
      </c>
      <c r="E585" s="2">
        <v>1</v>
      </c>
      <c r="F585" s="2" t="str">
        <f>IFERROR(INDEX(customers!B$1:B$1001, MATCH(C585, customers!A$1:A$1001, 0)), "Not Found")</f>
        <v>Sidney Gawen</v>
      </c>
      <c r="G585" s="2" t="str">
        <f>IF(IFERROR(INDEX(customers!C$1:C$1001, MATCH(C585, customers!A$1:A$1001, 0)), "Not Found")=0,"",IFERROR(INDEX(customers!C$1:C$1001, MATCH(C585, customers!A$1:A$1001, 0)), "Not Found"))</f>
        <v>sgaweng7@creativecommons.org</v>
      </c>
      <c r="H585" s="2" t="str">
        <f>IFERROR(INDEX(customers!G$1:G$1001, MATCH(C585, customers!A$1:A$1001, 0)), "Not Found")</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L585*E585</f>
        <v>3.5849999999999995</v>
      </c>
      <c r="N585" t="str">
        <f>IF(I585="Rob","Robusta",IF(I585="Exc","Excelsa",IF(I585="Ara","Arabica",IF(I585="Lib","Laberica",""))))</f>
        <v>Robusta</v>
      </c>
      <c r="O585" t="str">
        <f t="shared" si="9"/>
        <v>Light</v>
      </c>
      <c r="P585" t="str">
        <f>INDEX(customers!$I$1:$I$1001, MATCH(Orders[[#This Row],[Customer ID]], customers!$A$1:$A$1001, 0))</f>
        <v>Yes</v>
      </c>
    </row>
    <row r="586" spans="1:16" x14ac:dyDescent="0.25">
      <c r="A586" s="2" t="s">
        <v>3790</v>
      </c>
      <c r="B586" s="3">
        <v>44262</v>
      </c>
      <c r="C586" s="2" t="s">
        <v>3791</v>
      </c>
      <c r="D586" t="s">
        <v>6178</v>
      </c>
      <c r="E586" s="2">
        <v>6</v>
      </c>
      <c r="F586" s="2" t="str">
        <f>IFERROR(INDEX(customers!B$1:B$1001, MATCH(C586, customers!A$1:A$1001, 0)), "Not Found")</f>
        <v>Rickey Readie</v>
      </c>
      <c r="G586" s="2" t="str">
        <f>IF(IFERROR(INDEX(customers!C$1:C$1001, MATCH(C586, customers!A$1:A$1001, 0)), "Not Found")=0,"",IFERROR(INDEX(customers!C$1:C$1001, MATCH(C586, customers!A$1:A$1001, 0)), "Not Found"))</f>
        <v>rreadieg8@guardian.co.uk</v>
      </c>
      <c r="H586" s="2" t="str">
        <f>IFERROR(INDEX(customers!G$1:G$1001, MATCH(C586, customers!A$1:A$1001, 0)), "Not Found")</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L586*E586</f>
        <v>21.509999999999998</v>
      </c>
      <c r="N586" t="str">
        <f>IF(I586="Rob","Robusta",IF(I586="Exc","Excelsa",IF(I586="Ara","Arabica",IF(I586="Lib","Laberica",""))))</f>
        <v>Robusta</v>
      </c>
      <c r="O586" t="str">
        <f t="shared" si="9"/>
        <v>Light</v>
      </c>
      <c r="P586" t="str">
        <f>INDEX(customers!$I$1:$I$1001, MATCH(Orders[[#This Row],[Customer ID]], customers!$A$1:$A$1001, 0))</f>
        <v>No</v>
      </c>
    </row>
    <row r="587" spans="1:16" x14ac:dyDescent="0.25">
      <c r="A587" s="2" t="s">
        <v>3796</v>
      </c>
      <c r="B587" s="3">
        <v>44505</v>
      </c>
      <c r="C587" s="2" t="s">
        <v>3840</v>
      </c>
      <c r="D587" t="s">
        <v>6139</v>
      </c>
      <c r="E587" s="2">
        <v>2</v>
      </c>
      <c r="F587" s="2" t="str">
        <f>IFERROR(INDEX(customers!B$1:B$1001, MATCH(C587, customers!A$1:A$1001, 0)), "Not Found")</f>
        <v>Cody Verissimo</v>
      </c>
      <c r="G587" s="2" t="str">
        <f>IF(IFERROR(INDEX(customers!C$1:C$1001, MATCH(C587, customers!A$1:A$1001, 0)), "Not Found")=0,"",IFERROR(INDEX(customers!C$1:C$1001, MATCH(C587, customers!A$1:A$1001, 0)), "Not Found"))</f>
        <v>cverissimogh@theglobeandmail.com</v>
      </c>
      <c r="H587" s="2" t="str">
        <f>IFERROR(INDEX(customers!G$1:G$1001, MATCH(C587, customers!A$1:A$1001, 0)), "Not Found")</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L587*E587</f>
        <v>16.5</v>
      </c>
      <c r="N587" t="str">
        <f>IF(I587="Rob","Robusta",IF(I587="Exc","Excelsa",IF(I587="Ara","Arabica",IF(I587="Lib","Laberica",""))))</f>
        <v>Excelsa</v>
      </c>
      <c r="O587" t="str">
        <f t="shared" si="9"/>
        <v>Medium</v>
      </c>
      <c r="P587" t="str">
        <f>INDEX(customers!$I$1:$I$1001, MATCH(Orders[[#This Row],[Customer ID]], customers!$A$1:$A$1001, 0))</f>
        <v>Yes</v>
      </c>
    </row>
    <row r="588" spans="1:16" x14ac:dyDescent="0.25">
      <c r="A588" s="2" t="s">
        <v>3802</v>
      </c>
      <c r="B588" s="3">
        <v>43867</v>
      </c>
      <c r="C588" s="2" t="s">
        <v>3803</v>
      </c>
      <c r="D588" t="s">
        <v>6142</v>
      </c>
      <c r="E588" s="2">
        <v>3</v>
      </c>
      <c r="F588" s="2" t="str">
        <f>IFERROR(INDEX(customers!B$1:B$1001, MATCH(C588, customers!A$1:A$1001, 0)), "Not Found")</f>
        <v>Zilvia Claisse</v>
      </c>
      <c r="G588" s="2" t="str">
        <f>IF(IFERROR(INDEX(customers!C$1:C$1001, MATCH(C588, customers!A$1:A$1001, 0)), "Not Found")=0,"",IFERROR(INDEX(customers!C$1:C$1001, MATCH(C588, customers!A$1:A$1001, 0)), "Not Found"))</f>
        <v/>
      </c>
      <c r="H588" s="2" t="str">
        <f>IFERROR(INDEX(customers!G$1:G$1001, MATCH(C588, customers!A$1:A$1001, 0)), "Not Found")</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L588*E588</f>
        <v>82.454999999999984</v>
      </c>
      <c r="N588" t="str">
        <f>IF(I588="Rob","Robusta",IF(I588="Exc","Excelsa",IF(I588="Ara","Arabica",IF(I588="Lib","Laberica",""))))</f>
        <v>Robusta</v>
      </c>
      <c r="O588" t="str">
        <f t="shared" si="9"/>
        <v>Light</v>
      </c>
      <c r="P588" t="str">
        <f>INDEX(customers!$I$1:$I$1001, MATCH(Orders[[#This Row],[Customer ID]], customers!$A$1:$A$1001, 0))</f>
        <v>No</v>
      </c>
    </row>
    <row r="589" spans="1:16" x14ac:dyDescent="0.25">
      <c r="A589" s="2" t="s">
        <v>3807</v>
      </c>
      <c r="B589" s="3">
        <v>44267</v>
      </c>
      <c r="C589" s="2" t="s">
        <v>3808</v>
      </c>
      <c r="D589" t="s">
        <v>6169</v>
      </c>
      <c r="E589" s="2">
        <v>1</v>
      </c>
      <c r="F589" s="2" t="str">
        <f>IFERROR(INDEX(customers!B$1:B$1001, MATCH(C589, customers!A$1:A$1001, 0)), "Not Found")</f>
        <v>Bar O' Mahony</v>
      </c>
      <c r="G589" s="2" t="str">
        <f>IF(IFERROR(INDEX(customers!C$1:C$1001, MATCH(C589, customers!A$1:A$1001, 0)), "Not Found")=0,"",IFERROR(INDEX(customers!C$1:C$1001, MATCH(C589, customers!A$1:A$1001, 0)), "Not Found"))</f>
        <v>bogb@elpais.com</v>
      </c>
      <c r="H589" s="2" t="str">
        <f>IFERROR(INDEX(customers!G$1:G$1001, MATCH(C589, customers!A$1:A$1001, 0)), "Not Found")</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L589*E589</f>
        <v>7.77</v>
      </c>
      <c r="N589" t="str">
        <f>IF(I589="Rob","Robusta",IF(I589="Exc","Excelsa",IF(I589="Ara","Arabica",IF(I589="Lib","Laberica",""))))</f>
        <v>Laberica</v>
      </c>
      <c r="O589" t="str">
        <f t="shared" si="9"/>
        <v>Dark</v>
      </c>
      <c r="P589" t="str">
        <f>INDEX(customers!$I$1:$I$1001, MATCH(Orders[[#This Row],[Customer ID]], customers!$A$1:$A$1001, 0))</f>
        <v>Yes</v>
      </c>
    </row>
    <row r="590" spans="1:16" x14ac:dyDescent="0.25">
      <c r="A590" s="2" t="s">
        <v>3812</v>
      </c>
      <c r="B590" s="3">
        <v>44046</v>
      </c>
      <c r="C590" s="2" t="s">
        <v>3813</v>
      </c>
      <c r="D590" t="s">
        <v>6146</v>
      </c>
      <c r="E590" s="2">
        <v>2</v>
      </c>
      <c r="F590" s="2" t="str">
        <f>IFERROR(INDEX(customers!B$1:B$1001, MATCH(C590, customers!A$1:A$1001, 0)), "Not Found")</f>
        <v>Valenka Stansbury</v>
      </c>
      <c r="G590" s="2" t="str">
        <f>IF(IFERROR(INDEX(customers!C$1:C$1001, MATCH(C590, customers!A$1:A$1001, 0)), "Not Found")=0,"",IFERROR(INDEX(customers!C$1:C$1001, MATCH(C590, customers!A$1:A$1001, 0)), "Not Found"))</f>
        <v>vstansburygc@unblog.fr</v>
      </c>
      <c r="H590" s="2" t="str">
        <f>IFERROR(INDEX(customers!G$1:G$1001, MATCH(C590, customers!A$1:A$1001, 0)), "Not Found")</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L590*E590</f>
        <v>11.94</v>
      </c>
      <c r="N590" t="str">
        <f>IF(I590="Rob","Robusta",IF(I590="Exc","Excelsa",IF(I590="Ara","Arabica",IF(I590="Lib","Laberica",""))))</f>
        <v>Robusta</v>
      </c>
      <c r="O590" t="str">
        <f t="shared" si="9"/>
        <v>Medium</v>
      </c>
      <c r="P590" t="str">
        <f>INDEX(customers!$I$1:$I$1001, MATCH(Orders[[#This Row],[Customer ID]], customers!$A$1:$A$1001, 0))</f>
        <v>Yes</v>
      </c>
    </row>
    <row r="591" spans="1:16" x14ac:dyDescent="0.25">
      <c r="A591" s="2" t="s">
        <v>3818</v>
      </c>
      <c r="B591" s="3">
        <v>43671</v>
      </c>
      <c r="C591" s="2" t="s">
        <v>3819</v>
      </c>
      <c r="D591" t="s">
        <v>6148</v>
      </c>
      <c r="E591" s="2">
        <v>6</v>
      </c>
      <c r="F591" s="2" t="str">
        <f>IFERROR(INDEX(customers!B$1:B$1001, MATCH(C591, customers!A$1:A$1001, 0)), "Not Found")</f>
        <v>Daniel Heinonen</v>
      </c>
      <c r="G591" s="2" t="str">
        <f>IF(IFERROR(INDEX(customers!C$1:C$1001, MATCH(C591, customers!A$1:A$1001, 0)), "Not Found")=0,"",IFERROR(INDEX(customers!C$1:C$1001, MATCH(C591, customers!A$1:A$1001, 0)), "Not Found"))</f>
        <v>dheinonengd@printfriendly.com</v>
      </c>
      <c r="H591" s="2" t="str">
        <f>IFERROR(INDEX(customers!G$1:G$1001, MATCH(C591, customers!A$1:A$1001, 0)), "Not Found")</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L591*E591</f>
        <v>204.92999999999995</v>
      </c>
      <c r="N591" t="str">
        <f>IF(I591="Rob","Robusta",IF(I591="Exc","Excelsa",IF(I591="Ara","Arabica",IF(I591="Lib","Laberica",""))))</f>
        <v>Excelsa</v>
      </c>
      <c r="O591" t="str">
        <f t="shared" si="9"/>
        <v>Light</v>
      </c>
      <c r="P591" t="str">
        <f>INDEX(customers!$I$1:$I$1001, MATCH(Orders[[#This Row],[Customer ID]], customers!$A$1:$A$1001, 0))</f>
        <v>No</v>
      </c>
    </row>
    <row r="592" spans="1:16" x14ac:dyDescent="0.25">
      <c r="A592" s="2" t="s">
        <v>3823</v>
      </c>
      <c r="B592" s="3">
        <v>43950</v>
      </c>
      <c r="C592" s="2" t="s">
        <v>3824</v>
      </c>
      <c r="D592" t="s">
        <v>6166</v>
      </c>
      <c r="E592" s="2">
        <v>2</v>
      </c>
      <c r="F592" s="2" t="str">
        <f>IFERROR(INDEX(customers!B$1:B$1001, MATCH(C592, customers!A$1:A$1001, 0)), "Not Found")</f>
        <v>Jewelle Shenton</v>
      </c>
      <c r="G592" s="2" t="str">
        <f>IF(IFERROR(INDEX(customers!C$1:C$1001, MATCH(C592, customers!A$1:A$1001, 0)), "Not Found")=0,"",IFERROR(INDEX(customers!C$1:C$1001, MATCH(C592, customers!A$1:A$1001, 0)), "Not Found"))</f>
        <v>jshentonge@google.com.hk</v>
      </c>
      <c r="H592" s="2" t="str">
        <f>IFERROR(INDEX(customers!G$1:G$1001, MATCH(C592, customers!A$1:A$1001, 0)), "Not Found")</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L592*E592</f>
        <v>63.249999999999993</v>
      </c>
      <c r="N592" t="str">
        <f>IF(I592="Rob","Robusta",IF(I592="Exc","Excelsa",IF(I592="Ara","Arabica",IF(I592="Lib","Laberica",""))))</f>
        <v>Excelsa</v>
      </c>
      <c r="O592" t="str">
        <f t="shared" si="9"/>
        <v>Medium</v>
      </c>
      <c r="P592" t="str">
        <f>INDEX(customers!$I$1:$I$1001, MATCH(Orders[[#This Row],[Customer ID]], customers!$A$1:$A$1001, 0))</f>
        <v>Yes</v>
      </c>
    </row>
    <row r="593" spans="1:16" x14ac:dyDescent="0.25">
      <c r="A593" s="2" t="s">
        <v>3829</v>
      </c>
      <c r="B593" s="3">
        <v>43587</v>
      </c>
      <c r="C593" s="2" t="s">
        <v>3830</v>
      </c>
      <c r="D593" t="s">
        <v>6163</v>
      </c>
      <c r="E593" s="2">
        <v>3</v>
      </c>
      <c r="F593" s="2" t="str">
        <f>IFERROR(INDEX(customers!B$1:B$1001, MATCH(C593, customers!A$1:A$1001, 0)), "Not Found")</f>
        <v>Jennifer Wilkisson</v>
      </c>
      <c r="G593" s="2" t="str">
        <f>IF(IFERROR(INDEX(customers!C$1:C$1001, MATCH(C593, customers!A$1:A$1001, 0)), "Not Found")=0,"",IFERROR(INDEX(customers!C$1:C$1001, MATCH(C593, customers!A$1:A$1001, 0)), "Not Found"))</f>
        <v>jwilkissongf@nba.com</v>
      </c>
      <c r="H593" s="2" t="str">
        <f>IFERROR(INDEX(customers!G$1:G$1001, MATCH(C593, customers!A$1:A$1001, 0)), "Not Found")</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L593*E593</f>
        <v>8.0549999999999997</v>
      </c>
      <c r="N593" t="str">
        <f>IF(I593="Rob","Robusta",IF(I593="Exc","Excelsa",IF(I593="Ara","Arabica",IF(I593="Lib","Laberica",""))))</f>
        <v>Robusta</v>
      </c>
      <c r="O593" t="str">
        <f t="shared" si="9"/>
        <v>Dark</v>
      </c>
      <c r="P593" t="str">
        <f>INDEX(customers!$I$1:$I$1001, MATCH(Orders[[#This Row],[Customer ID]], customers!$A$1:$A$1001, 0))</f>
        <v>Yes</v>
      </c>
    </row>
    <row r="594" spans="1:16" x14ac:dyDescent="0.25">
      <c r="A594" s="2" t="s">
        <v>3834</v>
      </c>
      <c r="B594" s="3">
        <v>44437</v>
      </c>
      <c r="C594" s="2" t="s">
        <v>3835</v>
      </c>
      <c r="D594" t="s">
        <v>6175</v>
      </c>
      <c r="E594" s="2">
        <v>2</v>
      </c>
      <c r="F594" s="2" t="str">
        <f>IFERROR(INDEX(customers!B$1:B$1001, MATCH(C594, customers!A$1:A$1001, 0)), "Not Found")</f>
        <v>Kylie Mowat</v>
      </c>
      <c r="G594" s="2" t="str">
        <f>IF(IFERROR(INDEX(customers!C$1:C$1001, MATCH(C594, customers!A$1:A$1001, 0)), "Not Found")=0,"",IFERROR(INDEX(customers!C$1:C$1001, MATCH(C594, customers!A$1:A$1001, 0)), "Not Found"))</f>
        <v/>
      </c>
      <c r="H594" s="2" t="str">
        <f>IFERROR(INDEX(customers!G$1:G$1001, MATCH(C594, customers!A$1:A$1001, 0)), "Not Found")</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L594*E594</f>
        <v>51.749999999999993</v>
      </c>
      <c r="N594" t="str">
        <f>IF(I594="Rob","Robusta",IF(I594="Exc","Excelsa",IF(I594="Ara","Arabica",IF(I594="Lib","Laberica",""))))</f>
        <v>Arabica</v>
      </c>
      <c r="O594" t="str">
        <f t="shared" si="9"/>
        <v>Medium</v>
      </c>
      <c r="P594" t="str">
        <f>INDEX(customers!$I$1:$I$1001, MATCH(Orders[[#This Row],[Customer ID]], customers!$A$1:$A$1001, 0))</f>
        <v>No</v>
      </c>
    </row>
    <row r="595" spans="1:16" x14ac:dyDescent="0.25">
      <c r="A595" s="2" t="s">
        <v>3839</v>
      </c>
      <c r="B595" s="3">
        <v>43903</v>
      </c>
      <c r="C595" s="2" t="s">
        <v>3840</v>
      </c>
      <c r="D595" t="s">
        <v>6185</v>
      </c>
      <c r="E595" s="2">
        <v>1</v>
      </c>
      <c r="F595" s="2" t="str">
        <f>IFERROR(INDEX(customers!B$1:B$1001, MATCH(C595, customers!A$1:A$1001, 0)), "Not Found")</f>
        <v>Cody Verissimo</v>
      </c>
      <c r="G595" s="2" t="str">
        <f>IF(IFERROR(INDEX(customers!C$1:C$1001, MATCH(C595, customers!A$1:A$1001, 0)), "Not Found")=0,"",IFERROR(INDEX(customers!C$1:C$1001, MATCH(C595, customers!A$1:A$1001, 0)), "Not Found"))</f>
        <v>cverissimogh@theglobeandmail.com</v>
      </c>
      <c r="H595" s="2" t="str">
        <f>IFERROR(INDEX(customers!G$1:G$1001, MATCH(C595, customers!A$1:A$1001, 0)), "Not Found")</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L595*E595</f>
        <v>27.945</v>
      </c>
      <c r="N595" t="str">
        <f>IF(I595="Rob","Robusta",IF(I595="Exc","Excelsa",IF(I595="Ara","Arabica",IF(I595="Lib","Laberica",""))))</f>
        <v>Excelsa</v>
      </c>
      <c r="O595" t="str">
        <f t="shared" si="9"/>
        <v>Dark</v>
      </c>
      <c r="P595" t="str">
        <f>INDEX(customers!$I$1:$I$1001, MATCH(Orders[[#This Row],[Customer ID]], customers!$A$1:$A$1001, 0))</f>
        <v>Yes</v>
      </c>
    </row>
    <row r="596" spans="1:16" x14ac:dyDescent="0.25">
      <c r="A596" s="2" t="s">
        <v>3844</v>
      </c>
      <c r="B596" s="3">
        <v>43512</v>
      </c>
      <c r="C596" s="2" t="s">
        <v>3845</v>
      </c>
      <c r="D596" t="s">
        <v>6182</v>
      </c>
      <c r="E596" s="2">
        <v>2</v>
      </c>
      <c r="F596" s="2" t="str">
        <f>IFERROR(INDEX(customers!B$1:B$1001, MATCH(C596, customers!A$1:A$1001, 0)), "Not Found")</f>
        <v>Gabriel Starcks</v>
      </c>
      <c r="G596" s="2" t="str">
        <f>IF(IFERROR(INDEX(customers!C$1:C$1001, MATCH(C596, customers!A$1:A$1001, 0)), "Not Found")=0,"",IFERROR(INDEX(customers!C$1:C$1001, MATCH(C596, customers!A$1:A$1001, 0)), "Not Found"))</f>
        <v>gstarcksgi@abc.net.au</v>
      </c>
      <c r="H596" s="2" t="str">
        <f>IFERROR(INDEX(customers!G$1:G$1001, MATCH(C596, customers!A$1:A$1001, 0)), "Not Found")</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L596*E596</f>
        <v>59.569999999999993</v>
      </c>
      <c r="N596" t="str">
        <f>IF(I596="Rob","Robusta",IF(I596="Exc","Excelsa",IF(I596="Ara","Arabica",IF(I596="Lib","Laberica",""))))</f>
        <v>Arabica</v>
      </c>
      <c r="O596" t="str">
        <f t="shared" si="9"/>
        <v>Light</v>
      </c>
      <c r="P596" t="str">
        <f>INDEX(customers!$I$1:$I$1001, MATCH(Orders[[#This Row],[Customer ID]], customers!$A$1:$A$1001, 0))</f>
        <v>No</v>
      </c>
    </row>
    <row r="597" spans="1:16" x14ac:dyDescent="0.25">
      <c r="A597" s="2" t="s">
        <v>3850</v>
      </c>
      <c r="B597" s="3">
        <v>44527</v>
      </c>
      <c r="C597" s="2" t="s">
        <v>3851</v>
      </c>
      <c r="D597" t="s">
        <v>6171</v>
      </c>
      <c r="E597" s="2">
        <v>1</v>
      </c>
      <c r="F597" s="2" t="str">
        <f>IFERROR(INDEX(customers!B$1:B$1001, MATCH(C597, customers!A$1:A$1001, 0)), "Not Found")</f>
        <v>Darby Dummer</v>
      </c>
      <c r="G597" s="2" t="str">
        <f>IF(IFERROR(INDEX(customers!C$1:C$1001, MATCH(C597, customers!A$1:A$1001, 0)), "Not Found")=0,"",IFERROR(INDEX(customers!C$1:C$1001, MATCH(C597, customers!A$1:A$1001, 0)), "Not Found"))</f>
        <v/>
      </c>
      <c r="H597" s="2" t="str">
        <f>IFERROR(INDEX(customers!G$1:G$1001, MATCH(C597, customers!A$1:A$1001, 0)), "Not Found")</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L597*E597</f>
        <v>14.85</v>
      </c>
      <c r="N597" t="str">
        <f>IF(I597="Rob","Robusta",IF(I597="Exc","Excelsa",IF(I597="Ara","Arabica",IF(I597="Lib","Laberica",""))))</f>
        <v>Excelsa</v>
      </c>
      <c r="O597" t="str">
        <f t="shared" si="9"/>
        <v>Light</v>
      </c>
      <c r="P597" t="str">
        <f>INDEX(customers!$I$1:$I$1001, MATCH(Orders[[#This Row],[Customer ID]], customers!$A$1:$A$1001, 0))</f>
        <v>No</v>
      </c>
    </row>
    <row r="598" spans="1:16" x14ac:dyDescent="0.25">
      <c r="A598" s="2" t="s">
        <v>3854</v>
      </c>
      <c r="B598" s="3">
        <v>44523</v>
      </c>
      <c r="C598" s="2" t="s">
        <v>3855</v>
      </c>
      <c r="D598" t="s">
        <v>6157</v>
      </c>
      <c r="E598" s="2">
        <v>5</v>
      </c>
      <c r="F598" s="2" t="str">
        <f>IFERROR(INDEX(customers!B$1:B$1001, MATCH(C598, customers!A$1:A$1001, 0)), "Not Found")</f>
        <v>Kienan Scholard</v>
      </c>
      <c r="G598" s="2" t="str">
        <f>IF(IFERROR(INDEX(customers!C$1:C$1001, MATCH(C598, customers!A$1:A$1001, 0)), "Not Found")=0,"",IFERROR(INDEX(customers!C$1:C$1001, MATCH(C598, customers!A$1:A$1001, 0)), "Not Found"))</f>
        <v>kscholardgk@sbwire.com</v>
      </c>
      <c r="H598" s="2" t="str">
        <f>IFERROR(INDEX(customers!G$1:G$1001, MATCH(C598, customers!A$1:A$1001, 0)), "Not Found")</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L598*E598</f>
        <v>33.75</v>
      </c>
      <c r="N598" t="str">
        <f>IF(I598="Rob","Robusta",IF(I598="Exc","Excelsa",IF(I598="Ara","Arabica",IF(I598="Lib","Laberica",""))))</f>
        <v>Arabica</v>
      </c>
      <c r="O598" t="str">
        <f t="shared" si="9"/>
        <v>Medium</v>
      </c>
      <c r="P598" t="str">
        <f>INDEX(customers!$I$1:$I$1001, MATCH(Orders[[#This Row],[Customer ID]], customers!$A$1:$A$1001, 0))</f>
        <v>No</v>
      </c>
    </row>
    <row r="599" spans="1:16" x14ac:dyDescent="0.25">
      <c r="A599" s="2" t="s">
        <v>3860</v>
      </c>
      <c r="B599" s="3">
        <v>44532</v>
      </c>
      <c r="C599" s="2" t="s">
        <v>3861</v>
      </c>
      <c r="D599" t="s">
        <v>6164</v>
      </c>
      <c r="E599" s="2">
        <v>4</v>
      </c>
      <c r="F599" s="2" t="str">
        <f>IFERROR(INDEX(customers!B$1:B$1001, MATCH(C599, customers!A$1:A$1001, 0)), "Not Found")</f>
        <v>Bo Kindley</v>
      </c>
      <c r="G599" s="2" t="str">
        <f>IF(IFERROR(INDEX(customers!C$1:C$1001, MATCH(C599, customers!A$1:A$1001, 0)), "Not Found")=0,"",IFERROR(INDEX(customers!C$1:C$1001, MATCH(C599, customers!A$1:A$1001, 0)), "Not Found"))</f>
        <v>bkindleygl@wikimedia.org</v>
      </c>
      <c r="H599" s="2" t="str">
        <f>IFERROR(INDEX(customers!G$1:G$1001, MATCH(C599, customers!A$1:A$1001, 0)), "Not Found")</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L599*E599</f>
        <v>145.82</v>
      </c>
      <c r="N599" t="str">
        <f>IF(I599="Rob","Robusta",IF(I599="Exc","Excelsa",IF(I599="Ara","Arabica",IF(I599="Lib","Laberica",""))))</f>
        <v>Laberica</v>
      </c>
      <c r="O599" t="str">
        <f t="shared" si="9"/>
        <v>Light</v>
      </c>
      <c r="P599" t="str">
        <f>INDEX(customers!$I$1:$I$1001, MATCH(Orders[[#This Row],[Customer ID]], customers!$A$1:$A$1001, 0))</f>
        <v>Yes</v>
      </c>
    </row>
    <row r="600" spans="1:16" x14ac:dyDescent="0.25">
      <c r="A600" s="2" t="s">
        <v>3866</v>
      </c>
      <c r="B600" s="3">
        <v>43471</v>
      </c>
      <c r="C600" s="2" t="s">
        <v>3867</v>
      </c>
      <c r="D600" t="s">
        <v>6174</v>
      </c>
      <c r="E600" s="2">
        <v>4</v>
      </c>
      <c r="F600" s="2" t="str">
        <f>IFERROR(INDEX(customers!B$1:B$1001, MATCH(C600, customers!A$1:A$1001, 0)), "Not Found")</f>
        <v>Krissie Hammett</v>
      </c>
      <c r="G600" s="2" t="str">
        <f>IF(IFERROR(INDEX(customers!C$1:C$1001, MATCH(C600, customers!A$1:A$1001, 0)), "Not Found")=0,"",IFERROR(INDEX(customers!C$1:C$1001, MATCH(C600, customers!A$1:A$1001, 0)), "Not Found"))</f>
        <v>khammettgm@dmoz.org</v>
      </c>
      <c r="H600" s="2" t="str">
        <f>IFERROR(INDEX(customers!G$1:G$1001, MATCH(C600, customers!A$1:A$1001, 0)), "Not Found")</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L600*E600</f>
        <v>11.94</v>
      </c>
      <c r="N600" t="str">
        <f>IF(I600="Rob","Robusta",IF(I600="Exc","Excelsa",IF(I600="Ara","Arabica",IF(I600="Lib","Laberica",""))))</f>
        <v>Robusta</v>
      </c>
      <c r="O600" t="str">
        <f t="shared" si="9"/>
        <v>Medium</v>
      </c>
      <c r="P600" t="str">
        <f>INDEX(customers!$I$1:$I$1001, MATCH(Orders[[#This Row],[Customer ID]], customers!$A$1:$A$1001, 0))</f>
        <v>Yes</v>
      </c>
    </row>
    <row r="601" spans="1:16" x14ac:dyDescent="0.25">
      <c r="A601" s="2" t="s">
        <v>3872</v>
      </c>
      <c r="B601" s="3">
        <v>44321</v>
      </c>
      <c r="C601" s="2" t="s">
        <v>3873</v>
      </c>
      <c r="D601" t="s">
        <v>6154</v>
      </c>
      <c r="E601" s="2">
        <v>4</v>
      </c>
      <c r="F601" s="2" t="str">
        <f>IFERROR(INDEX(customers!B$1:B$1001, MATCH(C601, customers!A$1:A$1001, 0)), "Not Found")</f>
        <v>Alisha Hulburt</v>
      </c>
      <c r="G601" s="2" t="str">
        <f>IF(IFERROR(INDEX(customers!C$1:C$1001, MATCH(C601, customers!A$1:A$1001, 0)), "Not Found")=0,"",IFERROR(INDEX(customers!C$1:C$1001, MATCH(C601, customers!A$1:A$1001, 0)), "Not Found"))</f>
        <v>ahulburtgn@fda.gov</v>
      </c>
      <c r="H601" s="2" t="str">
        <f>IFERROR(INDEX(customers!G$1:G$1001, MATCH(C601, customers!A$1:A$1001, 0)), "Not Found")</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L601*E601</f>
        <v>11.94</v>
      </c>
      <c r="N601" t="str">
        <f>IF(I601="Rob","Robusta",IF(I601="Exc","Excelsa",IF(I601="Ara","Arabica",IF(I601="Lib","Laberica",""))))</f>
        <v>Arabica</v>
      </c>
      <c r="O601" t="str">
        <f t="shared" si="9"/>
        <v>Dark</v>
      </c>
      <c r="P601" t="str">
        <f>INDEX(customers!$I$1:$I$1001, MATCH(Orders[[#This Row],[Customer ID]], customers!$A$1:$A$1001, 0))</f>
        <v>Yes</v>
      </c>
    </row>
    <row r="602" spans="1:16" x14ac:dyDescent="0.25">
      <c r="A602" s="2" t="s">
        <v>3877</v>
      </c>
      <c r="B602" s="3">
        <v>44492</v>
      </c>
      <c r="C602" s="2" t="s">
        <v>3878</v>
      </c>
      <c r="D602" t="s">
        <v>6169</v>
      </c>
      <c r="E602" s="2">
        <v>1</v>
      </c>
      <c r="F602" s="2" t="str">
        <f>IFERROR(INDEX(customers!B$1:B$1001, MATCH(C602, customers!A$1:A$1001, 0)), "Not Found")</f>
        <v>Peyter Lauritzen</v>
      </c>
      <c r="G602" s="2" t="str">
        <f>IF(IFERROR(INDEX(customers!C$1:C$1001, MATCH(C602, customers!A$1:A$1001, 0)), "Not Found")=0,"",IFERROR(INDEX(customers!C$1:C$1001, MATCH(C602, customers!A$1:A$1001, 0)), "Not Found"))</f>
        <v>plauritzengo@photobucket.com</v>
      </c>
      <c r="H602" s="2" t="str">
        <f>IFERROR(INDEX(customers!G$1:G$1001, MATCH(C602, customers!A$1:A$1001, 0)), "Not Found")</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L602*E602</f>
        <v>7.77</v>
      </c>
      <c r="N602" t="str">
        <f>IF(I602="Rob","Robusta",IF(I602="Exc","Excelsa",IF(I602="Ara","Arabica",IF(I602="Lib","Laberica",""))))</f>
        <v>Laberica</v>
      </c>
      <c r="O602" t="str">
        <f t="shared" si="9"/>
        <v>Dark</v>
      </c>
      <c r="P602" t="str">
        <f>INDEX(customers!$I$1:$I$1001, MATCH(Orders[[#This Row],[Customer ID]], customers!$A$1:$A$1001, 0))</f>
        <v>No</v>
      </c>
    </row>
    <row r="603" spans="1:16" x14ac:dyDescent="0.25">
      <c r="A603" s="2" t="s">
        <v>3883</v>
      </c>
      <c r="B603" s="3">
        <v>43815</v>
      </c>
      <c r="C603" s="2" t="s">
        <v>3884</v>
      </c>
      <c r="D603" t="s">
        <v>6142</v>
      </c>
      <c r="E603" s="2">
        <v>4</v>
      </c>
      <c r="F603" s="2" t="str">
        <f>IFERROR(INDEX(customers!B$1:B$1001, MATCH(C603, customers!A$1:A$1001, 0)), "Not Found")</f>
        <v>Aurelia Burgwin</v>
      </c>
      <c r="G603" s="2" t="str">
        <f>IF(IFERROR(INDEX(customers!C$1:C$1001, MATCH(C603, customers!A$1:A$1001, 0)), "Not Found")=0,"",IFERROR(INDEX(customers!C$1:C$1001, MATCH(C603, customers!A$1:A$1001, 0)), "Not Found"))</f>
        <v>aburgwingp@redcross.org</v>
      </c>
      <c r="H603" s="2" t="str">
        <f>IFERROR(INDEX(customers!G$1:G$1001, MATCH(C603, customers!A$1:A$1001, 0)), "Not Found")</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L603*E603</f>
        <v>109.93999999999998</v>
      </c>
      <c r="N603" t="str">
        <f>IF(I603="Rob","Robusta",IF(I603="Exc","Excelsa",IF(I603="Ara","Arabica",IF(I603="Lib","Laberica",""))))</f>
        <v>Robusta</v>
      </c>
      <c r="O603" t="str">
        <f t="shared" si="9"/>
        <v>Light</v>
      </c>
      <c r="P603" t="str">
        <f>INDEX(customers!$I$1:$I$1001, MATCH(Orders[[#This Row],[Customer ID]], customers!$A$1:$A$1001, 0))</f>
        <v>Yes</v>
      </c>
    </row>
    <row r="604" spans="1:16" x14ac:dyDescent="0.25">
      <c r="A604" s="2" t="s">
        <v>3889</v>
      </c>
      <c r="B604" s="3">
        <v>43603</v>
      </c>
      <c r="C604" s="2" t="s">
        <v>3890</v>
      </c>
      <c r="D604" t="s">
        <v>6184</v>
      </c>
      <c r="E604" s="2">
        <v>5</v>
      </c>
      <c r="F604" s="2" t="str">
        <f>IFERROR(INDEX(customers!B$1:B$1001, MATCH(C604, customers!A$1:A$1001, 0)), "Not Found")</f>
        <v>Emalee Rolin</v>
      </c>
      <c r="G604" s="2" t="str">
        <f>IF(IFERROR(INDEX(customers!C$1:C$1001, MATCH(C604, customers!A$1:A$1001, 0)), "Not Found")=0,"",IFERROR(INDEX(customers!C$1:C$1001, MATCH(C604, customers!A$1:A$1001, 0)), "Not Found"))</f>
        <v>erolingq@google.fr</v>
      </c>
      <c r="H604" s="2" t="str">
        <f>IFERROR(INDEX(customers!G$1:G$1001, MATCH(C604, customers!A$1:A$1001, 0)), "Not Found")</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L604*E604</f>
        <v>22.274999999999999</v>
      </c>
      <c r="N604" t="str">
        <f>IF(I604="Rob","Robusta",IF(I604="Exc","Excelsa",IF(I604="Ara","Arabica",IF(I604="Lib","Laberica",""))))</f>
        <v>Excelsa</v>
      </c>
      <c r="O604" t="str">
        <f t="shared" si="9"/>
        <v>Light</v>
      </c>
      <c r="P604" t="str">
        <f>INDEX(customers!$I$1:$I$1001, MATCH(Orders[[#This Row],[Customer ID]], customers!$A$1:$A$1001, 0))</f>
        <v>Yes</v>
      </c>
    </row>
    <row r="605" spans="1:16" x14ac:dyDescent="0.25">
      <c r="A605" s="2" t="s">
        <v>3895</v>
      </c>
      <c r="B605" s="3">
        <v>43660</v>
      </c>
      <c r="C605" s="2" t="s">
        <v>3896</v>
      </c>
      <c r="D605" t="s">
        <v>6174</v>
      </c>
      <c r="E605" s="2">
        <v>3</v>
      </c>
      <c r="F605" s="2" t="str">
        <f>IFERROR(INDEX(customers!B$1:B$1001, MATCH(C605, customers!A$1:A$1001, 0)), "Not Found")</f>
        <v>Donavon Fowle</v>
      </c>
      <c r="G605" s="2" t="str">
        <f>IF(IFERROR(INDEX(customers!C$1:C$1001, MATCH(C605, customers!A$1:A$1001, 0)), "Not Found")=0,"",IFERROR(INDEX(customers!C$1:C$1001, MATCH(C605, customers!A$1:A$1001, 0)), "Not Found"))</f>
        <v>dfowlegr@epa.gov</v>
      </c>
      <c r="H605" s="2" t="str">
        <f>IFERROR(INDEX(customers!G$1:G$1001, MATCH(C605, customers!A$1:A$1001, 0)), "Not Found")</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L605*E605</f>
        <v>8.9550000000000001</v>
      </c>
      <c r="N605" t="str">
        <f>IF(I605="Rob","Robusta",IF(I605="Exc","Excelsa",IF(I605="Ara","Arabica",IF(I605="Lib","Laberica",""))))</f>
        <v>Robusta</v>
      </c>
      <c r="O605" t="str">
        <f t="shared" si="9"/>
        <v>Medium</v>
      </c>
      <c r="P605" t="str">
        <f>INDEX(customers!$I$1:$I$1001, MATCH(Orders[[#This Row],[Customer ID]], customers!$A$1:$A$1001, 0))</f>
        <v>No</v>
      </c>
    </row>
    <row r="606" spans="1:16" x14ac:dyDescent="0.25">
      <c r="A606" s="2" t="s">
        <v>3900</v>
      </c>
      <c r="B606" s="3">
        <v>44148</v>
      </c>
      <c r="C606" s="2" t="s">
        <v>3901</v>
      </c>
      <c r="D606" t="s">
        <v>6165</v>
      </c>
      <c r="E606" s="2">
        <v>4</v>
      </c>
      <c r="F606" s="2" t="str">
        <f>IFERROR(INDEX(customers!B$1:B$1001, MATCH(C606, customers!A$1:A$1001, 0)), "Not Found")</f>
        <v>Jorge Bettison</v>
      </c>
      <c r="G606" s="2" t="str">
        <f>IF(IFERROR(INDEX(customers!C$1:C$1001, MATCH(C606, customers!A$1:A$1001, 0)), "Not Found")=0,"",IFERROR(INDEX(customers!C$1:C$1001, MATCH(C606, customers!A$1:A$1001, 0)), "Not Found"))</f>
        <v/>
      </c>
      <c r="H606" s="2" t="str">
        <f>IFERROR(INDEX(customers!G$1:G$1001, MATCH(C606, customers!A$1:A$1001, 0)), "Not Found")</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L606*E606</f>
        <v>119.13999999999999</v>
      </c>
      <c r="N606" t="str">
        <f>IF(I606="Rob","Robusta",IF(I606="Exc","Excelsa",IF(I606="Ara","Arabica",IF(I606="Lib","Laberica",""))))</f>
        <v>Laberica</v>
      </c>
      <c r="O606" t="str">
        <f t="shared" si="9"/>
        <v>Dark</v>
      </c>
      <c r="P606" t="str">
        <f>INDEX(customers!$I$1:$I$1001, MATCH(Orders[[#This Row],[Customer ID]], customers!$A$1:$A$1001, 0))</f>
        <v>No</v>
      </c>
    </row>
    <row r="607" spans="1:16" x14ac:dyDescent="0.25">
      <c r="A607" s="2" t="s">
        <v>3905</v>
      </c>
      <c r="B607" s="3">
        <v>44028</v>
      </c>
      <c r="C607" s="2" t="s">
        <v>3906</v>
      </c>
      <c r="D607" t="s">
        <v>6182</v>
      </c>
      <c r="E607" s="2">
        <v>5</v>
      </c>
      <c r="F607" s="2" t="str">
        <f>IFERROR(INDEX(customers!B$1:B$1001, MATCH(C607, customers!A$1:A$1001, 0)), "Not Found")</f>
        <v>Wang Powlesland</v>
      </c>
      <c r="G607" s="2" t="str">
        <f>IF(IFERROR(INDEX(customers!C$1:C$1001, MATCH(C607, customers!A$1:A$1001, 0)), "Not Found")=0,"",IFERROR(INDEX(customers!C$1:C$1001, MATCH(C607, customers!A$1:A$1001, 0)), "Not Found"))</f>
        <v>wpowleslandgt@soundcloud.com</v>
      </c>
      <c r="H607" s="2" t="str">
        <f>IFERROR(INDEX(customers!G$1:G$1001, MATCH(C607, customers!A$1:A$1001, 0)), "Not Found")</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L607*E607</f>
        <v>148.92499999999998</v>
      </c>
      <c r="N607" t="str">
        <f>IF(I607="Rob","Robusta",IF(I607="Exc","Excelsa",IF(I607="Ara","Arabica",IF(I607="Lib","Laberica",""))))</f>
        <v>Arabica</v>
      </c>
      <c r="O607" t="str">
        <f t="shared" si="9"/>
        <v>Light</v>
      </c>
      <c r="P607" t="str">
        <f>INDEX(customers!$I$1:$I$1001, MATCH(Orders[[#This Row],[Customer ID]], customers!$A$1:$A$1001, 0))</f>
        <v>Yes</v>
      </c>
    </row>
    <row r="608" spans="1:16" x14ac:dyDescent="0.25">
      <c r="A608" s="2" t="s">
        <v>3911</v>
      </c>
      <c r="B608" s="3">
        <v>44138</v>
      </c>
      <c r="C608" s="2" t="s">
        <v>3840</v>
      </c>
      <c r="D608" t="s">
        <v>6164</v>
      </c>
      <c r="E608" s="2">
        <v>3</v>
      </c>
      <c r="F608" s="2" t="str">
        <f>IFERROR(INDEX(customers!B$1:B$1001, MATCH(C608, customers!A$1:A$1001, 0)), "Not Found")</f>
        <v>Cody Verissimo</v>
      </c>
      <c r="G608" s="2" t="str">
        <f>IF(IFERROR(INDEX(customers!C$1:C$1001, MATCH(C608, customers!A$1:A$1001, 0)), "Not Found")=0,"",IFERROR(INDEX(customers!C$1:C$1001, MATCH(C608, customers!A$1:A$1001, 0)), "Not Found"))</f>
        <v>cverissimogh@theglobeandmail.com</v>
      </c>
      <c r="H608" s="2" t="str">
        <f>IFERROR(INDEX(customers!G$1:G$1001, MATCH(C608, customers!A$1:A$1001, 0)), "Not Found")</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L608*E608</f>
        <v>109.36499999999999</v>
      </c>
      <c r="N608" t="str">
        <f>IF(I608="Rob","Robusta",IF(I608="Exc","Excelsa",IF(I608="Ara","Arabica",IF(I608="Lib","Laberica",""))))</f>
        <v>Laberica</v>
      </c>
      <c r="O608" t="str">
        <f t="shared" si="9"/>
        <v>Light</v>
      </c>
      <c r="P608" t="str">
        <f>INDEX(customers!$I$1:$I$1001, MATCH(Orders[[#This Row],[Customer ID]], customers!$A$1:$A$1001, 0))</f>
        <v>Yes</v>
      </c>
    </row>
    <row r="609" spans="1:16" x14ac:dyDescent="0.25">
      <c r="A609" s="2" t="s">
        <v>3917</v>
      </c>
      <c r="B609" s="3">
        <v>44640</v>
      </c>
      <c r="C609" s="2" t="s">
        <v>3918</v>
      </c>
      <c r="D609" t="s">
        <v>6153</v>
      </c>
      <c r="E609" s="2">
        <v>1</v>
      </c>
      <c r="F609" s="2" t="str">
        <f>IFERROR(INDEX(customers!B$1:B$1001, MATCH(C609, customers!A$1:A$1001, 0)), "Not Found")</f>
        <v>Laurence Ellingham</v>
      </c>
      <c r="G609" s="2" t="str">
        <f>IF(IFERROR(INDEX(customers!C$1:C$1001, MATCH(C609, customers!A$1:A$1001, 0)), "Not Found")=0,"",IFERROR(INDEX(customers!C$1:C$1001, MATCH(C609, customers!A$1:A$1001, 0)), "Not Found"))</f>
        <v>lellinghamgv@sciencedaily.com</v>
      </c>
      <c r="H609" s="2" t="str">
        <f>IFERROR(INDEX(customers!G$1:G$1001, MATCH(C609, customers!A$1:A$1001, 0)), "Not Found")</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L609*E609</f>
        <v>3.645</v>
      </c>
      <c r="N609" t="str">
        <f>IF(I609="Rob","Robusta",IF(I609="Exc","Excelsa",IF(I609="Ara","Arabica",IF(I609="Lib","Laberica",""))))</f>
        <v>Excelsa</v>
      </c>
      <c r="O609" t="str">
        <f t="shared" si="9"/>
        <v>Dark</v>
      </c>
      <c r="P609" t="str">
        <f>INDEX(customers!$I$1:$I$1001, MATCH(Orders[[#This Row],[Customer ID]], customers!$A$1:$A$1001, 0))</f>
        <v>Yes</v>
      </c>
    </row>
    <row r="610" spans="1:16" x14ac:dyDescent="0.25">
      <c r="A610" s="2" t="s">
        <v>3923</v>
      </c>
      <c r="B610" s="3">
        <v>44608</v>
      </c>
      <c r="C610" s="2" t="s">
        <v>3924</v>
      </c>
      <c r="D610" t="s">
        <v>6185</v>
      </c>
      <c r="E610" s="2">
        <v>2</v>
      </c>
      <c r="F610" s="2" t="str">
        <f>IFERROR(INDEX(customers!B$1:B$1001, MATCH(C610, customers!A$1:A$1001, 0)), "Not Found")</f>
        <v>Billy Neiland</v>
      </c>
      <c r="G610" s="2" t="str">
        <f>IF(IFERROR(INDEX(customers!C$1:C$1001, MATCH(C610, customers!A$1:A$1001, 0)), "Not Found")=0,"",IFERROR(INDEX(customers!C$1:C$1001, MATCH(C610, customers!A$1:A$1001, 0)), "Not Found"))</f>
        <v/>
      </c>
      <c r="H610" s="2" t="str">
        <f>IFERROR(INDEX(customers!G$1:G$1001, MATCH(C610, customers!A$1:A$1001, 0)), "Not Found")</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L610*E610</f>
        <v>55.89</v>
      </c>
      <c r="N610" t="str">
        <f>IF(I610="Rob","Robusta",IF(I610="Exc","Excelsa",IF(I610="Ara","Arabica",IF(I610="Lib","Laberica",""))))</f>
        <v>Excelsa</v>
      </c>
      <c r="O610" t="str">
        <f t="shared" si="9"/>
        <v>Dark</v>
      </c>
      <c r="P610" t="str">
        <f>INDEX(customers!$I$1:$I$1001, MATCH(Orders[[#This Row],[Customer ID]], customers!$A$1:$A$1001, 0))</f>
        <v>No</v>
      </c>
    </row>
    <row r="611" spans="1:16" x14ac:dyDescent="0.25">
      <c r="A611" s="2" t="s">
        <v>3927</v>
      </c>
      <c r="B611" s="3">
        <v>44147</v>
      </c>
      <c r="C611" s="2" t="s">
        <v>3928</v>
      </c>
      <c r="D611" t="s">
        <v>6159</v>
      </c>
      <c r="E611" s="2">
        <v>6</v>
      </c>
      <c r="F611" s="2" t="str">
        <f>IFERROR(INDEX(customers!B$1:B$1001, MATCH(C611, customers!A$1:A$1001, 0)), "Not Found")</f>
        <v>Ancell Fendt</v>
      </c>
      <c r="G611" s="2" t="str">
        <f>IF(IFERROR(INDEX(customers!C$1:C$1001, MATCH(C611, customers!A$1:A$1001, 0)), "Not Found")=0,"",IFERROR(INDEX(customers!C$1:C$1001, MATCH(C611, customers!A$1:A$1001, 0)), "Not Found"))</f>
        <v>afendtgx@forbes.com</v>
      </c>
      <c r="H611" s="2" t="str">
        <f>IFERROR(INDEX(customers!G$1:G$1001, MATCH(C611, customers!A$1:A$1001, 0)), "Not Found")</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L611*E611</f>
        <v>26.19</v>
      </c>
      <c r="N611" t="str">
        <f>IF(I611="Rob","Robusta",IF(I611="Exc","Excelsa",IF(I611="Ara","Arabica",IF(I611="Lib","Laberica",""))))</f>
        <v>Laberica</v>
      </c>
      <c r="O611" t="str">
        <f t="shared" si="9"/>
        <v>Medium</v>
      </c>
      <c r="P611" t="str">
        <f>INDEX(customers!$I$1:$I$1001, MATCH(Orders[[#This Row],[Customer ID]], customers!$A$1:$A$1001, 0))</f>
        <v>Yes</v>
      </c>
    </row>
    <row r="612" spans="1:16" x14ac:dyDescent="0.25">
      <c r="A612" s="2" t="s">
        <v>3933</v>
      </c>
      <c r="B612" s="3">
        <v>43743</v>
      </c>
      <c r="C612" s="2" t="s">
        <v>3934</v>
      </c>
      <c r="D612" t="s">
        <v>6138</v>
      </c>
      <c r="E612" s="2">
        <v>4</v>
      </c>
      <c r="F612" s="2" t="str">
        <f>IFERROR(INDEX(customers!B$1:B$1001, MATCH(C612, customers!A$1:A$1001, 0)), "Not Found")</f>
        <v>Angelia Cleyburn</v>
      </c>
      <c r="G612" s="2" t="str">
        <f>IF(IFERROR(INDEX(customers!C$1:C$1001, MATCH(C612, customers!A$1:A$1001, 0)), "Not Found")=0,"",IFERROR(INDEX(customers!C$1:C$1001, MATCH(C612, customers!A$1:A$1001, 0)), "Not Found"))</f>
        <v>acleyburngy@lycos.com</v>
      </c>
      <c r="H612" s="2" t="str">
        <f>IFERROR(INDEX(customers!G$1:G$1001, MATCH(C612, customers!A$1:A$1001, 0)), "Not Found")</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L612*E612</f>
        <v>39.799999999999997</v>
      </c>
      <c r="N612" t="str">
        <f>IF(I612="Rob","Robusta",IF(I612="Exc","Excelsa",IF(I612="Ara","Arabica",IF(I612="Lib","Laberica",""))))</f>
        <v>Robusta</v>
      </c>
      <c r="O612" t="str">
        <f t="shared" si="9"/>
        <v>Medium</v>
      </c>
      <c r="P612" t="str">
        <f>INDEX(customers!$I$1:$I$1001, MATCH(Orders[[#This Row],[Customer ID]], customers!$A$1:$A$1001, 0))</f>
        <v>No</v>
      </c>
    </row>
    <row r="613" spans="1:16" x14ac:dyDescent="0.25">
      <c r="A613" s="2" t="s">
        <v>3939</v>
      </c>
      <c r="B613" s="3">
        <v>43739</v>
      </c>
      <c r="C613" s="2" t="s">
        <v>3940</v>
      </c>
      <c r="D613" t="s">
        <v>6148</v>
      </c>
      <c r="E613" s="2">
        <v>2</v>
      </c>
      <c r="F613" s="2" t="str">
        <f>IFERROR(INDEX(customers!B$1:B$1001, MATCH(C613, customers!A$1:A$1001, 0)), "Not Found")</f>
        <v>Temple Castiglione</v>
      </c>
      <c r="G613" s="2" t="str">
        <f>IF(IFERROR(INDEX(customers!C$1:C$1001, MATCH(C613, customers!A$1:A$1001, 0)), "Not Found")=0,"",IFERROR(INDEX(customers!C$1:C$1001, MATCH(C613, customers!A$1:A$1001, 0)), "Not Found"))</f>
        <v>tcastiglionegz@xing.com</v>
      </c>
      <c r="H613" s="2" t="str">
        <f>IFERROR(INDEX(customers!G$1:G$1001, MATCH(C613, customers!A$1:A$1001, 0)), "Not Found")</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L613*E613</f>
        <v>68.309999999999988</v>
      </c>
      <c r="N613" t="str">
        <f>IF(I613="Rob","Robusta",IF(I613="Exc","Excelsa",IF(I613="Ara","Arabica",IF(I613="Lib","Laberica",""))))</f>
        <v>Excelsa</v>
      </c>
      <c r="O613" t="str">
        <f t="shared" si="9"/>
        <v>Light</v>
      </c>
      <c r="P613" t="str">
        <f>INDEX(customers!$I$1:$I$1001, MATCH(Orders[[#This Row],[Customer ID]], customers!$A$1:$A$1001, 0))</f>
        <v>No</v>
      </c>
    </row>
    <row r="614" spans="1:16" x14ac:dyDescent="0.25">
      <c r="A614" s="2" t="s">
        <v>3945</v>
      </c>
      <c r="B614" s="3">
        <v>43896</v>
      </c>
      <c r="C614" s="2" t="s">
        <v>3946</v>
      </c>
      <c r="D614" t="s">
        <v>6152</v>
      </c>
      <c r="E614" s="2">
        <v>4</v>
      </c>
      <c r="F614" s="2" t="str">
        <f>IFERROR(INDEX(customers!B$1:B$1001, MATCH(C614, customers!A$1:A$1001, 0)), "Not Found")</f>
        <v>Betti Lacasa</v>
      </c>
      <c r="G614" s="2" t="str">
        <f>IF(IFERROR(INDEX(customers!C$1:C$1001, MATCH(C614, customers!A$1:A$1001, 0)), "Not Found")=0,"",IFERROR(INDEX(customers!C$1:C$1001, MATCH(C614, customers!A$1:A$1001, 0)), "Not Found"))</f>
        <v/>
      </c>
      <c r="H614" s="2" t="str">
        <f>IFERROR(INDEX(customers!G$1:G$1001, MATCH(C614, customers!A$1:A$1001, 0)), "Not Found")</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L614*E614</f>
        <v>13.5</v>
      </c>
      <c r="N614" t="str">
        <f>IF(I614="Rob","Robusta",IF(I614="Exc","Excelsa",IF(I614="Ara","Arabica",IF(I614="Lib","Laberica",""))))</f>
        <v>Arabica</v>
      </c>
      <c r="O614" t="str">
        <f t="shared" si="9"/>
        <v>Medium</v>
      </c>
      <c r="P614" t="str">
        <f>INDEX(customers!$I$1:$I$1001, MATCH(Orders[[#This Row],[Customer ID]], customers!$A$1:$A$1001, 0))</f>
        <v>No</v>
      </c>
    </row>
    <row r="615" spans="1:16" x14ac:dyDescent="0.25">
      <c r="A615" s="2" t="s">
        <v>3950</v>
      </c>
      <c r="B615" s="3">
        <v>43761</v>
      </c>
      <c r="C615" s="2" t="s">
        <v>3951</v>
      </c>
      <c r="D615" t="s">
        <v>6146</v>
      </c>
      <c r="E615" s="2">
        <v>1</v>
      </c>
      <c r="F615" s="2" t="str">
        <f>IFERROR(INDEX(customers!B$1:B$1001, MATCH(C615, customers!A$1:A$1001, 0)), "Not Found")</f>
        <v>Gunilla Lynch</v>
      </c>
      <c r="G615" s="2" t="str">
        <f>IF(IFERROR(INDEX(customers!C$1:C$1001, MATCH(C615, customers!A$1:A$1001, 0)), "Not Found")=0,"",IFERROR(INDEX(customers!C$1:C$1001, MATCH(C615, customers!A$1:A$1001, 0)), "Not Found"))</f>
        <v/>
      </c>
      <c r="H615" s="2" t="str">
        <f>IFERROR(INDEX(customers!G$1:G$1001, MATCH(C615, customers!A$1:A$1001, 0)), "Not Found")</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L615*E615</f>
        <v>5.97</v>
      </c>
      <c r="N615" t="str">
        <f>IF(I615="Rob","Robusta",IF(I615="Exc","Excelsa",IF(I615="Ara","Arabica",IF(I615="Lib","Laberica",""))))</f>
        <v>Robusta</v>
      </c>
      <c r="O615" t="str">
        <f t="shared" si="9"/>
        <v>Medium</v>
      </c>
      <c r="P615" t="str">
        <f>INDEX(customers!$I$1:$I$1001, MATCH(Orders[[#This Row],[Customer ID]], customers!$A$1:$A$1001, 0))</f>
        <v>No</v>
      </c>
    </row>
    <row r="616" spans="1:16" x14ac:dyDescent="0.25">
      <c r="A616" s="2" t="s">
        <v>3955</v>
      </c>
      <c r="B616" s="3">
        <v>43944</v>
      </c>
      <c r="C616" s="2" t="s">
        <v>3840</v>
      </c>
      <c r="D616" t="s">
        <v>6146</v>
      </c>
      <c r="E616" s="2">
        <v>5</v>
      </c>
      <c r="F616" s="2" t="str">
        <f>IFERROR(INDEX(customers!B$1:B$1001, MATCH(C616, customers!A$1:A$1001, 0)), "Not Found")</f>
        <v>Cody Verissimo</v>
      </c>
      <c r="G616" s="2" t="str">
        <f>IF(IFERROR(INDEX(customers!C$1:C$1001, MATCH(C616, customers!A$1:A$1001, 0)), "Not Found")=0,"",IFERROR(INDEX(customers!C$1:C$1001, MATCH(C616, customers!A$1:A$1001, 0)), "Not Found"))</f>
        <v>cverissimogh@theglobeandmail.com</v>
      </c>
      <c r="H616" s="2" t="str">
        <f>IFERROR(INDEX(customers!G$1:G$1001, MATCH(C616, customers!A$1:A$1001, 0)), "Not Found")</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L616*E616</f>
        <v>29.849999999999998</v>
      </c>
      <c r="N616" t="str">
        <f>IF(I616="Rob","Robusta",IF(I616="Exc","Excelsa",IF(I616="Ara","Arabica",IF(I616="Lib","Laberica",""))))</f>
        <v>Robusta</v>
      </c>
      <c r="O616" t="str">
        <f t="shared" si="9"/>
        <v>Medium</v>
      </c>
      <c r="P616" t="str">
        <f>INDEX(customers!$I$1:$I$1001, MATCH(Orders[[#This Row],[Customer ID]], customers!$A$1:$A$1001, 0))</f>
        <v>Yes</v>
      </c>
    </row>
    <row r="617" spans="1:16" x14ac:dyDescent="0.25">
      <c r="A617" s="2" t="s">
        <v>3960</v>
      </c>
      <c r="B617" s="3">
        <v>44006</v>
      </c>
      <c r="C617" s="2" t="s">
        <v>3961</v>
      </c>
      <c r="D617" t="s">
        <v>6164</v>
      </c>
      <c r="E617" s="2">
        <v>2</v>
      </c>
      <c r="F617" s="2" t="str">
        <f>IFERROR(INDEX(customers!B$1:B$1001, MATCH(C617, customers!A$1:A$1001, 0)), "Not Found")</f>
        <v>Shay Couronne</v>
      </c>
      <c r="G617" s="2" t="str">
        <f>IF(IFERROR(INDEX(customers!C$1:C$1001, MATCH(C617, customers!A$1:A$1001, 0)), "Not Found")=0,"",IFERROR(INDEX(customers!C$1:C$1001, MATCH(C617, customers!A$1:A$1001, 0)), "Not Found"))</f>
        <v>scouronneh3@mozilla.org</v>
      </c>
      <c r="H617" s="2" t="str">
        <f>IFERROR(INDEX(customers!G$1:G$1001, MATCH(C617, customers!A$1:A$1001, 0)), "Not Found")</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L617*E617</f>
        <v>72.91</v>
      </c>
      <c r="N617" t="str">
        <f>IF(I617="Rob","Robusta",IF(I617="Exc","Excelsa",IF(I617="Ara","Arabica",IF(I617="Lib","Laberica",""))))</f>
        <v>Laberica</v>
      </c>
      <c r="O617" t="str">
        <f t="shared" si="9"/>
        <v>Light</v>
      </c>
      <c r="P617" t="str">
        <f>INDEX(customers!$I$1:$I$1001, MATCH(Orders[[#This Row],[Customer ID]], customers!$A$1:$A$1001, 0))</f>
        <v>Yes</v>
      </c>
    </row>
    <row r="618" spans="1:16" x14ac:dyDescent="0.25">
      <c r="A618" s="2" t="s">
        <v>3966</v>
      </c>
      <c r="B618" s="3">
        <v>44271</v>
      </c>
      <c r="C618" s="2" t="s">
        <v>3967</v>
      </c>
      <c r="D618" t="s">
        <v>6166</v>
      </c>
      <c r="E618" s="2">
        <v>4</v>
      </c>
      <c r="F618" s="2" t="str">
        <f>IFERROR(INDEX(customers!B$1:B$1001, MATCH(C618, customers!A$1:A$1001, 0)), "Not Found")</f>
        <v>Linus Flippelli</v>
      </c>
      <c r="G618" s="2" t="str">
        <f>IF(IFERROR(INDEX(customers!C$1:C$1001, MATCH(C618, customers!A$1:A$1001, 0)), "Not Found")=0,"",IFERROR(INDEX(customers!C$1:C$1001, MATCH(C618, customers!A$1:A$1001, 0)), "Not Found"))</f>
        <v>lflippellih4@github.io</v>
      </c>
      <c r="H618" s="2" t="str">
        <f>IFERROR(INDEX(customers!G$1:G$1001, MATCH(C618, customers!A$1:A$1001, 0)), "Not Found")</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L618*E618</f>
        <v>126.49999999999999</v>
      </c>
      <c r="N618" t="str">
        <f>IF(I618="Rob","Robusta",IF(I618="Exc","Excelsa",IF(I618="Ara","Arabica",IF(I618="Lib","Laberica",""))))</f>
        <v>Excelsa</v>
      </c>
      <c r="O618" t="str">
        <f t="shared" si="9"/>
        <v>Medium</v>
      </c>
      <c r="P618" t="str">
        <f>INDEX(customers!$I$1:$I$1001, MATCH(Orders[[#This Row],[Customer ID]], customers!$A$1:$A$1001, 0))</f>
        <v>No</v>
      </c>
    </row>
    <row r="619" spans="1:16" x14ac:dyDescent="0.25">
      <c r="A619" s="2" t="s">
        <v>3972</v>
      </c>
      <c r="B619" s="3">
        <v>43928</v>
      </c>
      <c r="C619" s="2" t="s">
        <v>3973</v>
      </c>
      <c r="D619" t="s">
        <v>6181</v>
      </c>
      <c r="E619" s="2">
        <v>1</v>
      </c>
      <c r="F619" s="2" t="str">
        <f>IFERROR(INDEX(customers!B$1:B$1001, MATCH(C619, customers!A$1:A$1001, 0)), "Not Found")</f>
        <v>Rachelle Elizabeth</v>
      </c>
      <c r="G619" s="2" t="str">
        <f>IF(IFERROR(INDEX(customers!C$1:C$1001, MATCH(C619, customers!A$1:A$1001, 0)), "Not Found")=0,"",IFERROR(INDEX(customers!C$1:C$1001, MATCH(C619, customers!A$1:A$1001, 0)), "Not Found"))</f>
        <v>relizabethh5@live.com</v>
      </c>
      <c r="H619" s="2" t="str">
        <f>IFERROR(INDEX(customers!G$1:G$1001, MATCH(C619, customers!A$1:A$1001, 0)), "Not Found")</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L619*E619</f>
        <v>33.464999999999996</v>
      </c>
      <c r="N619" t="str">
        <f>IF(I619="Rob","Robusta",IF(I619="Exc","Excelsa",IF(I619="Ara","Arabica",IF(I619="Lib","Laberica",""))))</f>
        <v>Laberica</v>
      </c>
      <c r="O619" t="str">
        <f t="shared" si="9"/>
        <v>Medium</v>
      </c>
      <c r="P619" t="str">
        <f>INDEX(customers!$I$1:$I$1001, MATCH(Orders[[#This Row],[Customer ID]], customers!$A$1:$A$1001, 0))</f>
        <v>No</v>
      </c>
    </row>
    <row r="620" spans="1:16" x14ac:dyDescent="0.25">
      <c r="A620" s="2" t="s">
        <v>3978</v>
      </c>
      <c r="B620" s="3">
        <v>44469</v>
      </c>
      <c r="C620" s="2" t="s">
        <v>3979</v>
      </c>
      <c r="D620" t="s">
        <v>6183</v>
      </c>
      <c r="E620" s="2">
        <v>6</v>
      </c>
      <c r="F620" s="2" t="str">
        <f>IFERROR(INDEX(customers!B$1:B$1001, MATCH(C620, customers!A$1:A$1001, 0)), "Not Found")</f>
        <v>Innis Renhard</v>
      </c>
      <c r="G620" s="2" t="str">
        <f>IF(IFERROR(INDEX(customers!C$1:C$1001, MATCH(C620, customers!A$1:A$1001, 0)), "Not Found")=0,"",IFERROR(INDEX(customers!C$1:C$1001, MATCH(C620, customers!A$1:A$1001, 0)), "Not Found"))</f>
        <v>irenhardh6@i2i.jp</v>
      </c>
      <c r="H620" s="2" t="str">
        <f>IFERROR(INDEX(customers!G$1:G$1001, MATCH(C620, customers!A$1:A$1001, 0)), "Not Found")</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L620*E620</f>
        <v>72.900000000000006</v>
      </c>
      <c r="N620" t="str">
        <f>IF(I620="Rob","Robusta",IF(I620="Exc","Excelsa",IF(I620="Ara","Arabica",IF(I620="Lib","Laberica",""))))</f>
        <v>Excelsa</v>
      </c>
      <c r="O620" t="str">
        <f t="shared" si="9"/>
        <v>Dark</v>
      </c>
      <c r="P620" t="str">
        <f>INDEX(customers!$I$1:$I$1001, MATCH(Orders[[#This Row],[Customer ID]], customers!$A$1:$A$1001, 0))</f>
        <v>Yes</v>
      </c>
    </row>
    <row r="621" spans="1:16" x14ac:dyDescent="0.25">
      <c r="A621" s="2" t="s">
        <v>3984</v>
      </c>
      <c r="B621" s="3">
        <v>44682</v>
      </c>
      <c r="C621" s="2" t="s">
        <v>3985</v>
      </c>
      <c r="D621" t="s">
        <v>6169</v>
      </c>
      <c r="E621" s="2">
        <v>2</v>
      </c>
      <c r="F621" s="2" t="str">
        <f>IFERROR(INDEX(customers!B$1:B$1001, MATCH(C621, customers!A$1:A$1001, 0)), "Not Found")</f>
        <v>Winne Roche</v>
      </c>
      <c r="G621" s="2" t="str">
        <f>IF(IFERROR(INDEX(customers!C$1:C$1001, MATCH(C621, customers!A$1:A$1001, 0)), "Not Found")=0,"",IFERROR(INDEX(customers!C$1:C$1001, MATCH(C621, customers!A$1:A$1001, 0)), "Not Found"))</f>
        <v>wrocheh7@xinhuanet.com</v>
      </c>
      <c r="H621" s="2" t="str">
        <f>IFERROR(INDEX(customers!G$1:G$1001, MATCH(C621, customers!A$1:A$1001, 0)), "Not Found")</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L621*E621</f>
        <v>15.54</v>
      </c>
      <c r="N621" t="str">
        <f>IF(I621="Rob","Robusta",IF(I621="Exc","Excelsa",IF(I621="Ara","Arabica",IF(I621="Lib","Laberica",""))))</f>
        <v>Laberica</v>
      </c>
      <c r="O621" t="str">
        <f t="shared" si="9"/>
        <v>Dark</v>
      </c>
      <c r="P621" t="str">
        <f>INDEX(customers!$I$1:$I$1001, MATCH(Orders[[#This Row],[Customer ID]], customers!$A$1:$A$1001, 0))</f>
        <v>Yes</v>
      </c>
    </row>
    <row r="622" spans="1:16" x14ac:dyDescent="0.25">
      <c r="A622" s="2" t="s">
        <v>3990</v>
      </c>
      <c r="B622" s="3">
        <v>44217</v>
      </c>
      <c r="C622" s="2" t="s">
        <v>4042</v>
      </c>
      <c r="D622" t="s">
        <v>6152</v>
      </c>
      <c r="E622" s="2">
        <v>6</v>
      </c>
      <c r="F622" s="2" t="str">
        <f>IFERROR(INDEX(customers!B$1:B$1001, MATCH(C622, customers!A$1:A$1001, 0)), "Not Found")</f>
        <v>Linn Alaway</v>
      </c>
      <c r="G622" s="2" t="str">
        <f>IF(IFERROR(INDEX(customers!C$1:C$1001, MATCH(C622, customers!A$1:A$1001, 0)), "Not Found")=0,"",IFERROR(INDEX(customers!C$1:C$1001, MATCH(C622, customers!A$1:A$1001, 0)), "Not Found"))</f>
        <v>lalawayhh@weather.com</v>
      </c>
      <c r="H622" s="2" t="str">
        <f>IFERROR(INDEX(customers!G$1:G$1001, MATCH(C622, customers!A$1:A$1001, 0)), "Not Found")</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L622*E622</f>
        <v>20.25</v>
      </c>
      <c r="N622" t="str">
        <f>IF(I622="Rob","Robusta",IF(I622="Exc","Excelsa",IF(I622="Ara","Arabica",IF(I622="Lib","Laberica",""))))</f>
        <v>Arabica</v>
      </c>
      <c r="O622" t="str">
        <f t="shared" si="9"/>
        <v>Medium</v>
      </c>
      <c r="P622" t="str">
        <f>INDEX(customers!$I$1:$I$1001, MATCH(Orders[[#This Row],[Customer ID]], customers!$A$1:$A$1001, 0))</f>
        <v>No</v>
      </c>
    </row>
    <row r="623" spans="1:16" x14ac:dyDescent="0.25">
      <c r="A623" s="2" t="s">
        <v>3996</v>
      </c>
      <c r="B623" s="3">
        <v>44006</v>
      </c>
      <c r="C623" s="2" t="s">
        <v>3997</v>
      </c>
      <c r="D623" t="s">
        <v>6140</v>
      </c>
      <c r="E623" s="2">
        <v>6</v>
      </c>
      <c r="F623" s="2" t="str">
        <f>IFERROR(INDEX(customers!B$1:B$1001, MATCH(C623, customers!A$1:A$1001, 0)), "Not Found")</f>
        <v>Cordy Odgaard</v>
      </c>
      <c r="G623" s="2" t="str">
        <f>IF(IFERROR(INDEX(customers!C$1:C$1001, MATCH(C623, customers!A$1:A$1001, 0)), "Not Found")=0,"",IFERROR(INDEX(customers!C$1:C$1001, MATCH(C623, customers!A$1:A$1001, 0)), "Not Found"))</f>
        <v>codgaardh9@nsw.gov.au</v>
      </c>
      <c r="H623" s="2" t="str">
        <f>IFERROR(INDEX(customers!G$1:G$1001, MATCH(C623, customers!A$1:A$1001, 0)), "Not Found")</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L623*E623</f>
        <v>77.699999999999989</v>
      </c>
      <c r="N623" t="str">
        <f>IF(I623="Rob","Robusta",IF(I623="Exc","Excelsa",IF(I623="Ara","Arabica",IF(I623="Lib","Laberica",""))))</f>
        <v>Arabica</v>
      </c>
      <c r="O623" t="str">
        <f t="shared" si="9"/>
        <v>Light</v>
      </c>
      <c r="P623" t="str">
        <f>INDEX(customers!$I$1:$I$1001, MATCH(Orders[[#This Row],[Customer ID]], customers!$A$1:$A$1001, 0))</f>
        <v>No</v>
      </c>
    </row>
    <row r="624" spans="1:16" x14ac:dyDescent="0.25">
      <c r="A624" s="2" t="s">
        <v>4002</v>
      </c>
      <c r="B624" s="3">
        <v>43527</v>
      </c>
      <c r="C624" s="2" t="s">
        <v>4003</v>
      </c>
      <c r="D624" t="s">
        <v>6181</v>
      </c>
      <c r="E624" s="2">
        <v>4</v>
      </c>
      <c r="F624" s="2" t="str">
        <f>IFERROR(INDEX(customers!B$1:B$1001, MATCH(C624, customers!A$1:A$1001, 0)), "Not Found")</f>
        <v>Bertine Byrd</v>
      </c>
      <c r="G624" s="2" t="str">
        <f>IF(IFERROR(INDEX(customers!C$1:C$1001, MATCH(C624, customers!A$1:A$1001, 0)), "Not Found")=0,"",IFERROR(INDEX(customers!C$1:C$1001, MATCH(C624, customers!A$1:A$1001, 0)), "Not Found"))</f>
        <v>bbyrdha@4shared.com</v>
      </c>
      <c r="H624" s="2" t="str">
        <f>IFERROR(INDEX(customers!G$1:G$1001, MATCH(C624, customers!A$1:A$1001, 0)), "Not Found")</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L624*E624</f>
        <v>133.85999999999999</v>
      </c>
      <c r="N624" t="str">
        <f>IF(I624="Rob","Robusta",IF(I624="Exc","Excelsa",IF(I624="Ara","Arabica",IF(I624="Lib","Laberica",""))))</f>
        <v>Laberica</v>
      </c>
      <c r="O624" t="str">
        <f t="shared" si="9"/>
        <v>Medium</v>
      </c>
      <c r="P624" t="str">
        <f>INDEX(customers!$I$1:$I$1001, MATCH(Orders[[#This Row],[Customer ID]], customers!$A$1:$A$1001, 0))</f>
        <v>No</v>
      </c>
    </row>
    <row r="625" spans="1:16" x14ac:dyDescent="0.25">
      <c r="A625" s="2" t="s">
        <v>4007</v>
      </c>
      <c r="B625" s="3">
        <v>44224</v>
      </c>
      <c r="C625" s="2" t="s">
        <v>4008</v>
      </c>
      <c r="D625" t="s">
        <v>6183</v>
      </c>
      <c r="E625" s="2">
        <v>1</v>
      </c>
      <c r="F625" s="2" t="str">
        <f>IFERROR(INDEX(customers!B$1:B$1001, MATCH(C625, customers!A$1:A$1001, 0)), "Not Found")</f>
        <v>Nelie Garnson</v>
      </c>
      <c r="G625" s="2" t="str">
        <f>IF(IFERROR(INDEX(customers!C$1:C$1001, MATCH(C625, customers!A$1:A$1001, 0)), "Not Found")=0,"",IFERROR(INDEX(customers!C$1:C$1001, MATCH(C625, customers!A$1:A$1001, 0)), "Not Found"))</f>
        <v/>
      </c>
      <c r="H625" s="2" t="str">
        <f>IFERROR(INDEX(customers!G$1:G$1001, MATCH(C625, customers!A$1:A$1001, 0)), "Not Found")</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L625*E625</f>
        <v>12.15</v>
      </c>
      <c r="N625" t="str">
        <f>IF(I625="Rob","Robusta",IF(I625="Exc","Excelsa",IF(I625="Ara","Arabica",IF(I625="Lib","Laberica",""))))</f>
        <v>Excelsa</v>
      </c>
      <c r="O625" t="str">
        <f t="shared" si="9"/>
        <v>Dark</v>
      </c>
      <c r="P625" t="str">
        <f>INDEX(customers!$I$1:$I$1001, MATCH(Orders[[#This Row],[Customer ID]], customers!$A$1:$A$1001, 0))</f>
        <v>No</v>
      </c>
    </row>
    <row r="626" spans="1:16" x14ac:dyDescent="0.25">
      <c r="A626" s="2" t="s">
        <v>4012</v>
      </c>
      <c r="B626" s="3">
        <v>44010</v>
      </c>
      <c r="C626" s="2" t="s">
        <v>4013</v>
      </c>
      <c r="D626" t="s">
        <v>6166</v>
      </c>
      <c r="E626" s="2">
        <v>2</v>
      </c>
      <c r="F626" s="2" t="str">
        <f>IFERROR(INDEX(customers!B$1:B$1001, MATCH(C626, customers!A$1:A$1001, 0)), "Not Found")</f>
        <v>Dianne Chardin</v>
      </c>
      <c r="G626" s="2" t="str">
        <f>IF(IFERROR(INDEX(customers!C$1:C$1001, MATCH(C626, customers!A$1:A$1001, 0)), "Not Found")=0,"",IFERROR(INDEX(customers!C$1:C$1001, MATCH(C626, customers!A$1:A$1001, 0)), "Not Found"))</f>
        <v>dchardinhc@nhs.uk</v>
      </c>
      <c r="H626" s="2" t="str">
        <f>IFERROR(INDEX(customers!G$1:G$1001, MATCH(C626, customers!A$1:A$1001, 0)), "Not Found")</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L626*E626</f>
        <v>63.249999999999993</v>
      </c>
      <c r="N626" t="str">
        <f>IF(I626="Rob","Robusta",IF(I626="Exc","Excelsa",IF(I626="Ara","Arabica",IF(I626="Lib","Laberica",""))))</f>
        <v>Excelsa</v>
      </c>
      <c r="O626" t="str">
        <f t="shared" si="9"/>
        <v>Medium</v>
      </c>
      <c r="P626" t="str">
        <f>INDEX(customers!$I$1:$I$1001, MATCH(Orders[[#This Row],[Customer ID]], customers!$A$1:$A$1001, 0))</f>
        <v>Yes</v>
      </c>
    </row>
    <row r="627" spans="1:16" x14ac:dyDescent="0.25">
      <c r="A627" s="2" t="s">
        <v>4017</v>
      </c>
      <c r="B627" s="3">
        <v>44017</v>
      </c>
      <c r="C627" s="2" t="s">
        <v>4018</v>
      </c>
      <c r="D627" t="s">
        <v>6173</v>
      </c>
      <c r="E627" s="2">
        <v>5</v>
      </c>
      <c r="F627" s="2" t="str">
        <f>IFERROR(INDEX(customers!B$1:B$1001, MATCH(C627, customers!A$1:A$1001, 0)), "Not Found")</f>
        <v>Hailee Radbone</v>
      </c>
      <c r="G627" s="2" t="str">
        <f>IF(IFERROR(INDEX(customers!C$1:C$1001, MATCH(C627, customers!A$1:A$1001, 0)), "Not Found")=0,"",IFERROR(INDEX(customers!C$1:C$1001, MATCH(C627, customers!A$1:A$1001, 0)), "Not Found"))</f>
        <v>hradbonehd@newsvine.com</v>
      </c>
      <c r="H627" s="2" t="str">
        <f>IFERROR(INDEX(customers!G$1:G$1001, MATCH(C627, customers!A$1:A$1001, 0)), "Not Found")</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L627*E627</f>
        <v>35.849999999999994</v>
      </c>
      <c r="N627" t="str">
        <f>IF(I627="Rob","Robusta",IF(I627="Exc","Excelsa",IF(I627="Ara","Arabica",IF(I627="Lib","Laberica",""))))</f>
        <v>Robusta</v>
      </c>
      <c r="O627" t="str">
        <f t="shared" si="9"/>
        <v>Light</v>
      </c>
      <c r="P627" t="str">
        <f>INDEX(customers!$I$1:$I$1001, MATCH(Orders[[#This Row],[Customer ID]], customers!$A$1:$A$1001, 0))</f>
        <v>No</v>
      </c>
    </row>
    <row r="628" spans="1:16" x14ac:dyDescent="0.25">
      <c r="A628" s="2" t="s">
        <v>4023</v>
      </c>
      <c r="B628" s="3">
        <v>43526</v>
      </c>
      <c r="C628" s="2" t="s">
        <v>4024</v>
      </c>
      <c r="D628" t="s">
        <v>6175</v>
      </c>
      <c r="E628" s="2">
        <v>3</v>
      </c>
      <c r="F628" s="2" t="str">
        <f>IFERROR(INDEX(customers!B$1:B$1001, MATCH(C628, customers!A$1:A$1001, 0)), "Not Found")</f>
        <v>Wallis Bernth</v>
      </c>
      <c r="G628" s="2" t="str">
        <f>IF(IFERROR(INDEX(customers!C$1:C$1001, MATCH(C628, customers!A$1:A$1001, 0)), "Not Found")=0,"",IFERROR(INDEX(customers!C$1:C$1001, MATCH(C628, customers!A$1:A$1001, 0)), "Not Found"))</f>
        <v>wbernthhe@miitbeian.gov.cn</v>
      </c>
      <c r="H628" s="2" t="str">
        <f>IFERROR(INDEX(customers!G$1:G$1001, MATCH(C628, customers!A$1:A$1001, 0)), "Not Found")</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L628*E628</f>
        <v>77.624999999999986</v>
      </c>
      <c r="N628" t="str">
        <f>IF(I628="Rob","Robusta",IF(I628="Exc","Excelsa",IF(I628="Ara","Arabica",IF(I628="Lib","Laberica",""))))</f>
        <v>Arabica</v>
      </c>
      <c r="O628" t="str">
        <f t="shared" si="9"/>
        <v>Medium</v>
      </c>
      <c r="P628" t="str">
        <f>INDEX(customers!$I$1:$I$1001, MATCH(Orders[[#This Row],[Customer ID]], customers!$A$1:$A$1001, 0))</f>
        <v>No</v>
      </c>
    </row>
    <row r="629" spans="1:16" x14ac:dyDescent="0.25">
      <c r="A629" s="2" t="s">
        <v>4029</v>
      </c>
      <c r="B629" s="3">
        <v>44682</v>
      </c>
      <c r="C629" s="2" t="s">
        <v>4030</v>
      </c>
      <c r="D629" t="s">
        <v>6166</v>
      </c>
      <c r="E629" s="2">
        <v>2</v>
      </c>
      <c r="F629" s="2" t="str">
        <f>IFERROR(INDEX(customers!B$1:B$1001, MATCH(C629, customers!A$1:A$1001, 0)), "Not Found")</f>
        <v>Byron Acarson</v>
      </c>
      <c r="G629" s="2" t="str">
        <f>IF(IFERROR(INDEX(customers!C$1:C$1001, MATCH(C629, customers!A$1:A$1001, 0)), "Not Found")=0,"",IFERROR(INDEX(customers!C$1:C$1001, MATCH(C629, customers!A$1:A$1001, 0)), "Not Found"))</f>
        <v>bacarsonhf@cnn.com</v>
      </c>
      <c r="H629" s="2" t="str">
        <f>IFERROR(INDEX(customers!G$1:G$1001, MATCH(C629, customers!A$1:A$1001, 0)), "Not Found")</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L629*E629</f>
        <v>63.249999999999993</v>
      </c>
      <c r="N629" t="str">
        <f>IF(I629="Rob","Robusta",IF(I629="Exc","Excelsa",IF(I629="Ara","Arabica",IF(I629="Lib","Laberica",""))))</f>
        <v>Excelsa</v>
      </c>
      <c r="O629" t="str">
        <f t="shared" si="9"/>
        <v>Medium</v>
      </c>
      <c r="P629" t="str">
        <f>INDEX(customers!$I$1:$I$1001, MATCH(Orders[[#This Row],[Customer ID]], customers!$A$1:$A$1001, 0))</f>
        <v>Yes</v>
      </c>
    </row>
    <row r="630" spans="1:16" x14ac:dyDescent="0.25">
      <c r="A630" s="2" t="s">
        <v>4035</v>
      </c>
      <c r="B630" s="3">
        <v>44680</v>
      </c>
      <c r="C630" s="2" t="s">
        <v>4036</v>
      </c>
      <c r="D630" t="s">
        <v>6184</v>
      </c>
      <c r="E630" s="2">
        <v>6</v>
      </c>
      <c r="F630" s="2" t="str">
        <f>IFERROR(INDEX(customers!B$1:B$1001, MATCH(C630, customers!A$1:A$1001, 0)), "Not Found")</f>
        <v>Faunie Brigham</v>
      </c>
      <c r="G630" s="2" t="str">
        <f>IF(IFERROR(INDEX(customers!C$1:C$1001, MATCH(C630, customers!A$1:A$1001, 0)), "Not Found")=0,"",IFERROR(INDEX(customers!C$1:C$1001, MATCH(C630, customers!A$1:A$1001, 0)), "Not Found"))</f>
        <v>fbrighamhg@blog.com</v>
      </c>
      <c r="H630" s="2" t="str">
        <f>IFERROR(INDEX(customers!G$1:G$1001, MATCH(C630, customers!A$1:A$1001, 0)), "Not Found")</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L630*E630</f>
        <v>26.73</v>
      </c>
      <c r="N630" t="str">
        <f>IF(I630="Rob","Robusta",IF(I630="Exc","Excelsa",IF(I630="Ara","Arabica",IF(I630="Lib","Laberica",""))))</f>
        <v>Excelsa</v>
      </c>
      <c r="O630" t="str">
        <f t="shared" si="9"/>
        <v>Light</v>
      </c>
      <c r="P630" t="str">
        <f>INDEX(customers!$I$1:$I$1001, MATCH(Orders[[#This Row],[Customer ID]], customers!$A$1:$A$1001, 0))</f>
        <v>Yes</v>
      </c>
    </row>
    <row r="631" spans="1:16" x14ac:dyDescent="0.25">
      <c r="A631" s="2" t="s">
        <v>4035</v>
      </c>
      <c r="B631" s="3">
        <v>44680</v>
      </c>
      <c r="C631" s="2" t="s">
        <v>4036</v>
      </c>
      <c r="D631" t="s">
        <v>6169</v>
      </c>
      <c r="E631" s="2">
        <v>4</v>
      </c>
      <c r="F631" s="2" t="str">
        <f>IFERROR(INDEX(customers!B$1:B$1001, MATCH(C631, customers!A$1:A$1001, 0)), "Not Found")</f>
        <v>Faunie Brigham</v>
      </c>
      <c r="G631" s="2" t="str">
        <f>IF(IFERROR(INDEX(customers!C$1:C$1001, MATCH(C631, customers!A$1:A$1001, 0)), "Not Found")=0,"",IFERROR(INDEX(customers!C$1:C$1001, MATCH(C631, customers!A$1:A$1001, 0)), "Not Found"))</f>
        <v>fbrighamhg@blog.com</v>
      </c>
      <c r="H631" s="2" t="str">
        <f>IFERROR(INDEX(customers!G$1:G$1001, MATCH(C631, customers!A$1:A$1001, 0)), "Not Found")</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L631*E631</f>
        <v>31.08</v>
      </c>
      <c r="N631" t="str">
        <f>IF(I631="Rob","Robusta",IF(I631="Exc","Excelsa",IF(I631="Ara","Arabica",IF(I631="Lib","Laberica",""))))</f>
        <v>Laberica</v>
      </c>
      <c r="O631" t="str">
        <f t="shared" si="9"/>
        <v>Dark</v>
      </c>
      <c r="P631" t="str">
        <f>INDEX(customers!$I$1:$I$1001, MATCH(Orders[[#This Row],[Customer ID]], customers!$A$1:$A$1001, 0))</f>
        <v>Yes</v>
      </c>
    </row>
    <row r="632" spans="1:16" x14ac:dyDescent="0.25">
      <c r="A632" s="2" t="s">
        <v>4035</v>
      </c>
      <c r="B632" s="3">
        <v>44680</v>
      </c>
      <c r="C632" s="2" t="s">
        <v>4036</v>
      </c>
      <c r="D632" t="s">
        <v>6154</v>
      </c>
      <c r="E632" s="2">
        <v>1</v>
      </c>
      <c r="F632" s="2" t="str">
        <f>IFERROR(INDEX(customers!B$1:B$1001, MATCH(C632, customers!A$1:A$1001, 0)), "Not Found")</f>
        <v>Faunie Brigham</v>
      </c>
      <c r="G632" s="2" t="str">
        <f>IF(IFERROR(INDEX(customers!C$1:C$1001, MATCH(C632, customers!A$1:A$1001, 0)), "Not Found")=0,"",IFERROR(INDEX(customers!C$1:C$1001, MATCH(C632, customers!A$1:A$1001, 0)), "Not Found"))</f>
        <v>fbrighamhg@blog.com</v>
      </c>
      <c r="H632" s="2" t="str">
        <f>IFERROR(INDEX(customers!G$1:G$1001, MATCH(C632, customers!A$1:A$1001, 0)), "Not Found")</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L632*E632</f>
        <v>2.9849999999999999</v>
      </c>
      <c r="N632" t="str">
        <f>IF(I632="Rob","Robusta",IF(I632="Exc","Excelsa",IF(I632="Ara","Arabica",IF(I632="Lib","Laberica",""))))</f>
        <v>Arabica</v>
      </c>
      <c r="O632" t="str">
        <f t="shared" si="9"/>
        <v>Dark</v>
      </c>
      <c r="P632" t="str">
        <f>INDEX(customers!$I$1:$I$1001, MATCH(Orders[[#This Row],[Customer ID]], customers!$A$1:$A$1001, 0))</f>
        <v>Yes</v>
      </c>
    </row>
    <row r="633" spans="1:16" x14ac:dyDescent="0.25">
      <c r="A633" s="2" t="s">
        <v>4035</v>
      </c>
      <c r="B633" s="3">
        <v>44680</v>
      </c>
      <c r="C633" s="2" t="s">
        <v>4036</v>
      </c>
      <c r="D633" t="s">
        <v>6149</v>
      </c>
      <c r="E633" s="2">
        <v>5</v>
      </c>
      <c r="F633" s="2" t="str">
        <f>IFERROR(INDEX(customers!B$1:B$1001, MATCH(C633, customers!A$1:A$1001, 0)), "Not Found")</f>
        <v>Faunie Brigham</v>
      </c>
      <c r="G633" s="2" t="str">
        <f>IF(IFERROR(INDEX(customers!C$1:C$1001, MATCH(C633, customers!A$1:A$1001, 0)), "Not Found")=0,"",IFERROR(INDEX(customers!C$1:C$1001, MATCH(C633, customers!A$1:A$1001, 0)), "Not Found"))</f>
        <v>fbrighamhg@blog.com</v>
      </c>
      <c r="H633" s="2" t="str">
        <f>IFERROR(INDEX(customers!G$1:G$1001, MATCH(C633, customers!A$1:A$1001, 0)), "Not Found")</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L633*E633</f>
        <v>102.92499999999998</v>
      </c>
      <c r="N633" t="str">
        <f>IF(I633="Rob","Robusta",IF(I633="Exc","Excelsa",IF(I633="Ara","Arabica",IF(I633="Lib","Laberica",""))))</f>
        <v>Robusta</v>
      </c>
      <c r="O633" t="str">
        <f t="shared" si="9"/>
        <v>Dark</v>
      </c>
      <c r="P633" t="str">
        <f>INDEX(customers!$I$1:$I$1001, MATCH(Orders[[#This Row],[Customer ID]], customers!$A$1:$A$1001, 0))</f>
        <v>Yes</v>
      </c>
    </row>
    <row r="634" spans="1:16" x14ac:dyDescent="0.25">
      <c r="A634" s="2" t="s">
        <v>4056</v>
      </c>
      <c r="B634" s="3">
        <v>44049</v>
      </c>
      <c r="C634" s="2" t="s">
        <v>4057</v>
      </c>
      <c r="D634" t="s">
        <v>6176</v>
      </c>
      <c r="E634" s="2">
        <v>4</v>
      </c>
      <c r="F634" s="2" t="str">
        <f>IFERROR(INDEX(customers!B$1:B$1001, MATCH(C634, customers!A$1:A$1001, 0)), "Not Found")</f>
        <v>Marjorie Yoxen</v>
      </c>
      <c r="G634" s="2" t="str">
        <f>IF(IFERROR(INDEX(customers!C$1:C$1001, MATCH(C634, customers!A$1:A$1001, 0)), "Not Found")=0,"",IFERROR(INDEX(customers!C$1:C$1001, MATCH(C634, customers!A$1:A$1001, 0)), "Not Found"))</f>
        <v>myoxenhk@google.com</v>
      </c>
      <c r="H634" s="2" t="str">
        <f>IFERROR(INDEX(customers!G$1:G$1001, MATCH(C634, customers!A$1:A$1001, 0)), "Not Found")</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L634*E634</f>
        <v>35.64</v>
      </c>
      <c r="N634" t="str">
        <f>IF(I634="Rob","Robusta",IF(I634="Exc","Excelsa",IF(I634="Ara","Arabica",IF(I634="Lib","Laberica",""))))</f>
        <v>Excelsa</v>
      </c>
      <c r="O634" t="str">
        <f t="shared" si="9"/>
        <v>Light</v>
      </c>
      <c r="P634" t="str">
        <f>INDEX(customers!$I$1:$I$1001, MATCH(Orders[[#This Row],[Customer ID]], customers!$A$1:$A$1001, 0))</f>
        <v>No</v>
      </c>
    </row>
    <row r="635" spans="1:16" x14ac:dyDescent="0.25">
      <c r="A635" s="2" t="s">
        <v>4062</v>
      </c>
      <c r="B635" s="3">
        <v>43820</v>
      </c>
      <c r="C635" s="2" t="s">
        <v>4063</v>
      </c>
      <c r="D635" t="s">
        <v>6179</v>
      </c>
      <c r="E635" s="2">
        <v>4</v>
      </c>
      <c r="F635" s="2" t="str">
        <f>IFERROR(INDEX(customers!B$1:B$1001, MATCH(C635, customers!A$1:A$1001, 0)), "Not Found")</f>
        <v>Gaspar McGavin</v>
      </c>
      <c r="G635" s="2" t="str">
        <f>IF(IFERROR(INDEX(customers!C$1:C$1001, MATCH(C635, customers!A$1:A$1001, 0)), "Not Found")=0,"",IFERROR(INDEX(customers!C$1:C$1001, MATCH(C635, customers!A$1:A$1001, 0)), "Not Found"))</f>
        <v>gmcgavinhl@histats.com</v>
      </c>
      <c r="H635" s="2" t="str">
        <f>IFERROR(INDEX(customers!G$1:G$1001, MATCH(C635, customers!A$1:A$1001, 0)), "Not Found")</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L635*E635</f>
        <v>47.8</v>
      </c>
      <c r="N635" t="str">
        <f>IF(I635="Rob","Robusta",IF(I635="Exc","Excelsa",IF(I635="Ara","Arabica",IF(I635="Lib","Laberica",""))))</f>
        <v>Robusta</v>
      </c>
      <c r="O635" t="str">
        <f t="shared" si="9"/>
        <v>Light</v>
      </c>
      <c r="P635" t="str">
        <f>INDEX(customers!$I$1:$I$1001, MATCH(Orders[[#This Row],[Customer ID]], customers!$A$1:$A$1001, 0))</f>
        <v>No</v>
      </c>
    </row>
    <row r="636" spans="1:16" x14ac:dyDescent="0.25">
      <c r="A636" s="2" t="s">
        <v>4068</v>
      </c>
      <c r="B636" s="3">
        <v>43940</v>
      </c>
      <c r="C636" s="2" t="s">
        <v>4069</v>
      </c>
      <c r="D636" t="s">
        <v>6162</v>
      </c>
      <c r="E636" s="2">
        <v>3</v>
      </c>
      <c r="F636" s="2" t="str">
        <f>IFERROR(INDEX(customers!B$1:B$1001, MATCH(C636, customers!A$1:A$1001, 0)), "Not Found")</f>
        <v>Lindy Uttermare</v>
      </c>
      <c r="G636" s="2" t="str">
        <f>IF(IFERROR(INDEX(customers!C$1:C$1001, MATCH(C636, customers!A$1:A$1001, 0)), "Not Found")=0,"",IFERROR(INDEX(customers!C$1:C$1001, MATCH(C636, customers!A$1:A$1001, 0)), "Not Found"))</f>
        <v>luttermarehm@engadget.com</v>
      </c>
      <c r="H636" s="2" t="str">
        <f>IFERROR(INDEX(customers!G$1:G$1001, MATCH(C636, customers!A$1:A$1001, 0)), "Not Found")</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L636*E636</f>
        <v>43.650000000000006</v>
      </c>
      <c r="N636" t="str">
        <f>IF(I636="Rob","Robusta",IF(I636="Exc","Excelsa",IF(I636="Ara","Arabica",IF(I636="Lib","Laberica",""))))</f>
        <v>Laberica</v>
      </c>
      <c r="O636" t="str">
        <f t="shared" si="9"/>
        <v>Medium</v>
      </c>
      <c r="P636" t="str">
        <f>INDEX(customers!$I$1:$I$1001, MATCH(Orders[[#This Row],[Customer ID]], customers!$A$1:$A$1001, 0))</f>
        <v>No</v>
      </c>
    </row>
    <row r="637" spans="1:16" x14ac:dyDescent="0.25">
      <c r="A637" s="2" t="s">
        <v>4074</v>
      </c>
      <c r="B637" s="3">
        <v>44578</v>
      </c>
      <c r="C637" s="2" t="s">
        <v>4075</v>
      </c>
      <c r="D637" t="s">
        <v>6176</v>
      </c>
      <c r="E637" s="2">
        <v>4</v>
      </c>
      <c r="F637" s="2" t="str">
        <f>IFERROR(INDEX(customers!B$1:B$1001, MATCH(C637, customers!A$1:A$1001, 0)), "Not Found")</f>
        <v>Eal D'Ambrogio</v>
      </c>
      <c r="G637" s="2" t="str">
        <f>IF(IFERROR(INDEX(customers!C$1:C$1001, MATCH(C637, customers!A$1:A$1001, 0)), "Not Found")=0,"",IFERROR(INDEX(customers!C$1:C$1001, MATCH(C637, customers!A$1:A$1001, 0)), "Not Found"))</f>
        <v>edambrogiohn@techcrunch.com</v>
      </c>
      <c r="H637" s="2" t="str">
        <f>IFERROR(INDEX(customers!G$1:G$1001, MATCH(C637, customers!A$1:A$1001, 0)), "Not Found")</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L637*E637</f>
        <v>35.64</v>
      </c>
      <c r="N637" t="str">
        <f>IF(I637="Rob","Robusta",IF(I637="Exc","Excelsa",IF(I637="Ara","Arabica",IF(I637="Lib","Laberica",""))))</f>
        <v>Excelsa</v>
      </c>
      <c r="O637" t="str">
        <f t="shared" si="9"/>
        <v>Light</v>
      </c>
      <c r="P637" t="str">
        <f>INDEX(customers!$I$1:$I$1001, MATCH(Orders[[#This Row],[Customer ID]], customers!$A$1:$A$1001, 0))</f>
        <v>Yes</v>
      </c>
    </row>
    <row r="638" spans="1:16" x14ac:dyDescent="0.25">
      <c r="A638" s="2" t="s">
        <v>4080</v>
      </c>
      <c r="B638" s="3">
        <v>43487</v>
      </c>
      <c r="C638" s="2" t="s">
        <v>4081</v>
      </c>
      <c r="D638" t="s">
        <v>6170</v>
      </c>
      <c r="E638" s="2">
        <v>6</v>
      </c>
      <c r="F638" s="2" t="str">
        <f>IFERROR(INDEX(customers!B$1:B$1001, MATCH(C638, customers!A$1:A$1001, 0)), "Not Found")</f>
        <v>Carolee Winchcombe</v>
      </c>
      <c r="G638" s="2" t="str">
        <f>IF(IFERROR(INDEX(customers!C$1:C$1001, MATCH(C638, customers!A$1:A$1001, 0)), "Not Found")=0,"",IFERROR(INDEX(customers!C$1:C$1001, MATCH(C638, customers!A$1:A$1001, 0)), "Not Found"))</f>
        <v>cwinchcombeho@jiathis.com</v>
      </c>
      <c r="H638" s="2" t="str">
        <f>IFERROR(INDEX(customers!G$1:G$1001, MATCH(C638, customers!A$1:A$1001, 0)), "Not Found")</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L638*E638</f>
        <v>95.1</v>
      </c>
      <c r="N638" t="str">
        <f>IF(I638="Rob","Robusta",IF(I638="Exc","Excelsa",IF(I638="Ara","Arabica",IF(I638="Lib","Laberica",""))))</f>
        <v>Laberica</v>
      </c>
      <c r="O638" t="str">
        <f t="shared" si="9"/>
        <v>Light</v>
      </c>
      <c r="P638" t="str">
        <f>INDEX(customers!$I$1:$I$1001, MATCH(Orders[[#This Row],[Customer ID]], customers!$A$1:$A$1001, 0))</f>
        <v>Yes</v>
      </c>
    </row>
    <row r="639" spans="1:16" x14ac:dyDescent="0.25">
      <c r="A639" s="2" t="s">
        <v>4086</v>
      </c>
      <c r="B639" s="3">
        <v>43889</v>
      </c>
      <c r="C639" s="2" t="s">
        <v>4087</v>
      </c>
      <c r="D639" t="s">
        <v>6166</v>
      </c>
      <c r="E639" s="2">
        <v>1</v>
      </c>
      <c r="F639" s="2" t="str">
        <f>IFERROR(INDEX(customers!B$1:B$1001, MATCH(C639, customers!A$1:A$1001, 0)), "Not Found")</f>
        <v>Benedikta Paumier</v>
      </c>
      <c r="G639" s="2" t="str">
        <f>IF(IFERROR(INDEX(customers!C$1:C$1001, MATCH(C639, customers!A$1:A$1001, 0)), "Not Found")=0,"",IFERROR(INDEX(customers!C$1:C$1001, MATCH(C639, customers!A$1:A$1001, 0)), "Not Found"))</f>
        <v>bpaumierhp@umn.edu</v>
      </c>
      <c r="H639" s="2" t="str">
        <f>IFERROR(INDEX(customers!G$1:G$1001, MATCH(C639, customers!A$1:A$1001, 0)), "Not Found")</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L639*E639</f>
        <v>31.624999999999996</v>
      </c>
      <c r="N639" t="str">
        <f>IF(I639="Rob","Robusta",IF(I639="Exc","Excelsa",IF(I639="Ara","Arabica",IF(I639="Lib","Laberica",""))))</f>
        <v>Excelsa</v>
      </c>
      <c r="O639" t="str">
        <f t="shared" si="9"/>
        <v>Medium</v>
      </c>
      <c r="P639" t="str">
        <f>INDEX(customers!$I$1:$I$1001, MATCH(Orders[[#This Row],[Customer ID]], customers!$A$1:$A$1001, 0))</f>
        <v>Yes</v>
      </c>
    </row>
    <row r="640" spans="1:16" x14ac:dyDescent="0.25">
      <c r="A640" s="2" t="s">
        <v>4093</v>
      </c>
      <c r="B640" s="3">
        <v>43684</v>
      </c>
      <c r="C640" s="2" t="s">
        <v>4094</v>
      </c>
      <c r="D640" t="s">
        <v>6175</v>
      </c>
      <c r="E640" s="2">
        <v>3</v>
      </c>
      <c r="F640" s="2" t="str">
        <f>IFERROR(INDEX(customers!B$1:B$1001, MATCH(C640, customers!A$1:A$1001, 0)), "Not Found")</f>
        <v>Neville Piatto</v>
      </c>
      <c r="G640" s="2" t="str">
        <f>IF(IFERROR(INDEX(customers!C$1:C$1001, MATCH(C640, customers!A$1:A$1001, 0)), "Not Found")=0,"",IFERROR(INDEX(customers!C$1:C$1001, MATCH(C640, customers!A$1:A$1001, 0)), "Not Found"))</f>
        <v/>
      </c>
      <c r="H640" s="2" t="str">
        <f>IFERROR(INDEX(customers!G$1:G$1001, MATCH(C640, customers!A$1:A$1001, 0)), "Not Found")</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L640*E640</f>
        <v>77.624999999999986</v>
      </c>
      <c r="N640" t="str">
        <f>IF(I640="Rob","Robusta",IF(I640="Exc","Excelsa",IF(I640="Ara","Arabica",IF(I640="Lib","Laberica",""))))</f>
        <v>Arabica</v>
      </c>
      <c r="O640" t="str">
        <f t="shared" si="9"/>
        <v>Medium</v>
      </c>
      <c r="P640" t="str">
        <f>INDEX(customers!$I$1:$I$1001, MATCH(Orders[[#This Row],[Customer ID]], customers!$A$1:$A$1001, 0))</f>
        <v>Yes</v>
      </c>
    </row>
    <row r="641" spans="1:16" x14ac:dyDescent="0.25">
      <c r="A641" s="2" t="s">
        <v>4098</v>
      </c>
      <c r="B641" s="3">
        <v>44331</v>
      </c>
      <c r="C641" s="2" t="s">
        <v>4099</v>
      </c>
      <c r="D641" t="s">
        <v>6150</v>
      </c>
      <c r="E641" s="2">
        <v>1</v>
      </c>
      <c r="F641" s="2" t="str">
        <f>IFERROR(INDEX(customers!B$1:B$1001, MATCH(C641, customers!A$1:A$1001, 0)), "Not Found")</f>
        <v>Jeno Capey</v>
      </c>
      <c r="G641" s="2" t="str">
        <f>IF(IFERROR(INDEX(customers!C$1:C$1001, MATCH(C641, customers!A$1:A$1001, 0)), "Not Found")=0,"",IFERROR(INDEX(customers!C$1:C$1001, MATCH(C641, customers!A$1:A$1001, 0)), "Not Found"))</f>
        <v>jcapeyhr@bravesites.com</v>
      </c>
      <c r="H641" s="2" t="str">
        <f>IFERROR(INDEX(customers!G$1:G$1001, MATCH(C641, customers!A$1:A$1001, 0)), "Not Found")</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L641*E641</f>
        <v>3.8849999999999998</v>
      </c>
      <c r="N641" t="str">
        <f>IF(I641="Rob","Robusta",IF(I641="Exc","Excelsa",IF(I641="Ara","Arabica",IF(I641="Lib","Laberica",""))))</f>
        <v>Laberica</v>
      </c>
      <c r="O641" t="str">
        <f t="shared" si="9"/>
        <v>Dark</v>
      </c>
      <c r="P641" t="str">
        <f>INDEX(customers!$I$1:$I$1001, MATCH(Orders[[#This Row],[Customer ID]], customers!$A$1:$A$1001, 0))</f>
        <v>Yes</v>
      </c>
    </row>
    <row r="642" spans="1:16" x14ac:dyDescent="0.25">
      <c r="A642" s="2" t="s">
        <v>4104</v>
      </c>
      <c r="B642" s="3">
        <v>44547</v>
      </c>
      <c r="C642" s="2" t="s">
        <v>4152</v>
      </c>
      <c r="D642" t="s">
        <v>6142</v>
      </c>
      <c r="E642" s="2">
        <v>5</v>
      </c>
      <c r="F642" s="2" t="str">
        <f>IFERROR(INDEX(customers!B$1:B$1001, MATCH(C642, customers!A$1:A$1001, 0)), "Not Found")</f>
        <v>Tuckie Mathonnet</v>
      </c>
      <c r="G642" s="2" t="str">
        <f>IF(IFERROR(INDEX(customers!C$1:C$1001, MATCH(C642, customers!A$1:A$1001, 0)), "Not Found")=0,"",IFERROR(INDEX(customers!C$1:C$1001, MATCH(C642, customers!A$1:A$1001, 0)), "Not Found"))</f>
        <v>tmathonneti0@google.co.jp</v>
      </c>
      <c r="H642" s="2" t="str">
        <f>IFERROR(INDEX(customers!G$1:G$1001, MATCH(C642, customers!A$1:A$1001, 0)), "Not Found")</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L642*E642</f>
        <v>137.42499999999998</v>
      </c>
      <c r="N642" t="str">
        <f>IF(I642="Rob","Robusta",IF(I642="Exc","Excelsa",IF(I642="Ara","Arabica",IF(I642="Lib","Laberica",""))))</f>
        <v>Robusta</v>
      </c>
      <c r="O642" t="str">
        <f t="shared" si="9"/>
        <v>Light</v>
      </c>
      <c r="P642" t="str">
        <f>INDEX(customers!$I$1:$I$1001, MATCH(Orders[[#This Row],[Customer ID]], customers!$A$1:$A$1001, 0))</f>
        <v>No</v>
      </c>
    </row>
    <row r="643" spans="1:16" x14ac:dyDescent="0.25">
      <c r="A643" s="2" t="s">
        <v>4109</v>
      </c>
      <c r="B643" s="3">
        <v>44448</v>
      </c>
      <c r="C643" s="2" t="s">
        <v>4110</v>
      </c>
      <c r="D643" t="s">
        <v>6179</v>
      </c>
      <c r="E643" s="2">
        <v>3</v>
      </c>
      <c r="F643" s="2" t="str">
        <f>IFERROR(INDEX(customers!B$1:B$1001, MATCH(C643, customers!A$1:A$1001, 0)), "Not Found")</f>
        <v>Yardley Basill</v>
      </c>
      <c r="G643" s="2" t="str">
        <f>IF(IFERROR(INDEX(customers!C$1:C$1001, MATCH(C643, customers!A$1:A$1001, 0)), "Not Found")=0,"",IFERROR(INDEX(customers!C$1:C$1001, MATCH(C643, customers!A$1:A$1001, 0)), "Not Found"))</f>
        <v>ybasillht@theguardian.com</v>
      </c>
      <c r="H643" s="2" t="str">
        <f>IFERROR(INDEX(customers!G$1:G$1001, MATCH(C643, customers!A$1:A$1001, 0)), "Not Found")</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L643*E643</f>
        <v>35.849999999999994</v>
      </c>
      <c r="N643" t="str">
        <f>IF(I643="Rob","Robusta",IF(I643="Exc","Excelsa",IF(I643="Ara","Arabica",IF(I643="Lib","Laberica",""))))</f>
        <v>Robusta</v>
      </c>
      <c r="O643" t="str">
        <f t="shared" ref="O643:O706" si="10">IF(J643="M","Medium",IF(J643="L","Light",IF(J643="D","Dark","")))</f>
        <v>Light</v>
      </c>
      <c r="P643" t="str">
        <f>INDEX(customers!$I$1:$I$1001, MATCH(Orders[[#This Row],[Customer ID]], customers!$A$1:$A$1001, 0))</f>
        <v>Yes</v>
      </c>
    </row>
    <row r="644" spans="1:16" x14ac:dyDescent="0.25">
      <c r="A644" s="2" t="s">
        <v>4115</v>
      </c>
      <c r="B644" s="3">
        <v>43880</v>
      </c>
      <c r="C644" s="2" t="s">
        <v>4116</v>
      </c>
      <c r="D644" t="s">
        <v>6156</v>
      </c>
      <c r="E644" s="2">
        <v>2</v>
      </c>
      <c r="F644" s="2" t="str">
        <f>IFERROR(INDEX(customers!B$1:B$1001, MATCH(C644, customers!A$1:A$1001, 0)), "Not Found")</f>
        <v>Maggy Baistow</v>
      </c>
      <c r="G644" s="2" t="str">
        <f>IF(IFERROR(INDEX(customers!C$1:C$1001, MATCH(C644, customers!A$1:A$1001, 0)), "Not Found")=0,"",IFERROR(INDEX(customers!C$1:C$1001, MATCH(C644, customers!A$1:A$1001, 0)), "Not Found"))</f>
        <v>mbaistowhu@i2i.jp</v>
      </c>
      <c r="H644" s="2" t="str">
        <f>IFERROR(INDEX(customers!G$1:G$1001, MATCH(C644, customers!A$1:A$1001, 0)), "Not Found")</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L644*E644</f>
        <v>8.25</v>
      </c>
      <c r="N644" t="str">
        <f>IF(I644="Rob","Robusta",IF(I644="Exc","Excelsa",IF(I644="Ara","Arabica",IF(I644="Lib","Laberica",""))))</f>
        <v>Excelsa</v>
      </c>
      <c r="O644" t="str">
        <f t="shared" si="10"/>
        <v>Medium</v>
      </c>
      <c r="P644" t="str">
        <f>INDEX(customers!$I$1:$I$1001, MATCH(Orders[[#This Row],[Customer ID]], customers!$A$1:$A$1001, 0))</f>
        <v>Yes</v>
      </c>
    </row>
    <row r="645" spans="1:16" x14ac:dyDescent="0.25">
      <c r="A645" s="2" t="s">
        <v>4123</v>
      </c>
      <c r="B645" s="3">
        <v>44011</v>
      </c>
      <c r="C645" s="2" t="s">
        <v>4124</v>
      </c>
      <c r="D645" t="s">
        <v>6148</v>
      </c>
      <c r="E645" s="2">
        <v>3</v>
      </c>
      <c r="F645" s="2" t="str">
        <f>IFERROR(INDEX(customers!B$1:B$1001, MATCH(C645, customers!A$1:A$1001, 0)), "Not Found")</f>
        <v>Courtney Pallant</v>
      </c>
      <c r="G645" s="2" t="str">
        <f>IF(IFERROR(INDEX(customers!C$1:C$1001, MATCH(C645, customers!A$1:A$1001, 0)), "Not Found")=0,"",IFERROR(INDEX(customers!C$1:C$1001, MATCH(C645, customers!A$1:A$1001, 0)), "Not Found"))</f>
        <v>cpallanthv@typepad.com</v>
      </c>
      <c r="H645" s="2" t="str">
        <f>IFERROR(INDEX(customers!G$1:G$1001, MATCH(C645, customers!A$1:A$1001, 0)), "Not Found")</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L645*E645</f>
        <v>102.46499999999997</v>
      </c>
      <c r="N645" t="str">
        <f>IF(I645="Rob","Robusta",IF(I645="Exc","Excelsa",IF(I645="Ara","Arabica",IF(I645="Lib","Laberica",""))))</f>
        <v>Excelsa</v>
      </c>
      <c r="O645" t="str">
        <f t="shared" si="10"/>
        <v>Light</v>
      </c>
      <c r="P645" t="str">
        <f>INDEX(customers!$I$1:$I$1001, MATCH(Orders[[#This Row],[Customer ID]], customers!$A$1:$A$1001, 0))</f>
        <v>Yes</v>
      </c>
    </row>
    <row r="646" spans="1:16" x14ac:dyDescent="0.25">
      <c r="A646" s="2" t="s">
        <v>4128</v>
      </c>
      <c r="B646" s="3">
        <v>44694</v>
      </c>
      <c r="C646" s="2" t="s">
        <v>4129</v>
      </c>
      <c r="D646" t="s">
        <v>6149</v>
      </c>
      <c r="E646" s="2">
        <v>2</v>
      </c>
      <c r="F646" s="2" t="str">
        <f>IFERROR(INDEX(customers!B$1:B$1001, MATCH(C646, customers!A$1:A$1001, 0)), "Not Found")</f>
        <v>Marne Mingey</v>
      </c>
      <c r="G646" s="2" t="str">
        <f>IF(IFERROR(INDEX(customers!C$1:C$1001, MATCH(C646, customers!A$1:A$1001, 0)), "Not Found")=0,"",IFERROR(INDEX(customers!C$1:C$1001, MATCH(C646, customers!A$1:A$1001, 0)), "Not Found"))</f>
        <v/>
      </c>
      <c r="H646" s="2" t="str">
        <f>IFERROR(INDEX(customers!G$1:G$1001, MATCH(C646, customers!A$1:A$1001, 0)), "Not Found")</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L646*E646</f>
        <v>41.169999999999995</v>
      </c>
      <c r="N646" t="str">
        <f>IF(I646="Rob","Robusta",IF(I646="Exc","Excelsa",IF(I646="Ara","Arabica",IF(I646="Lib","Laberica",""))))</f>
        <v>Robusta</v>
      </c>
      <c r="O646" t="str">
        <f t="shared" si="10"/>
        <v>Dark</v>
      </c>
      <c r="P646" t="str">
        <f>INDEX(customers!$I$1:$I$1001, MATCH(Orders[[#This Row],[Customer ID]], customers!$A$1:$A$1001, 0))</f>
        <v>No</v>
      </c>
    </row>
    <row r="647" spans="1:16" x14ac:dyDescent="0.25">
      <c r="A647" s="2" t="s">
        <v>4133</v>
      </c>
      <c r="B647" s="3">
        <v>44106</v>
      </c>
      <c r="C647" s="2" t="s">
        <v>4134</v>
      </c>
      <c r="D647" t="s">
        <v>6168</v>
      </c>
      <c r="E647" s="2">
        <v>3</v>
      </c>
      <c r="F647" s="2" t="str">
        <f>IFERROR(INDEX(customers!B$1:B$1001, MATCH(C647, customers!A$1:A$1001, 0)), "Not Found")</f>
        <v>Denny O' Ronan</v>
      </c>
      <c r="G647" s="2" t="str">
        <f>IF(IFERROR(INDEX(customers!C$1:C$1001, MATCH(C647, customers!A$1:A$1001, 0)), "Not Found")=0,"",IFERROR(INDEX(customers!C$1:C$1001, MATCH(C647, customers!A$1:A$1001, 0)), "Not Found"))</f>
        <v>dohx@redcross.org</v>
      </c>
      <c r="H647" s="2" t="str">
        <f>IFERROR(INDEX(customers!G$1:G$1001, MATCH(C647, customers!A$1:A$1001, 0)), "Not Found")</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L647*E647</f>
        <v>68.655000000000001</v>
      </c>
      <c r="N647" t="str">
        <f>IF(I647="Rob","Robusta",IF(I647="Exc","Excelsa",IF(I647="Ara","Arabica",IF(I647="Lib","Laberica",""))))</f>
        <v>Arabica</v>
      </c>
      <c r="O647" t="str">
        <f t="shared" si="10"/>
        <v>Dark</v>
      </c>
      <c r="P647" t="str">
        <f>INDEX(customers!$I$1:$I$1001, MATCH(Orders[[#This Row],[Customer ID]], customers!$A$1:$A$1001, 0))</f>
        <v>Yes</v>
      </c>
    </row>
    <row r="648" spans="1:16" x14ac:dyDescent="0.25">
      <c r="A648" s="2" t="s">
        <v>4139</v>
      </c>
      <c r="B648" s="3">
        <v>44532</v>
      </c>
      <c r="C648" s="2" t="s">
        <v>4140</v>
      </c>
      <c r="D648" t="s">
        <v>6147</v>
      </c>
      <c r="E648" s="2">
        <v>1</v>
      </c>
      <c r="F648" s="2" t="str">
        <f>IFERROR(INDEX(customers!B$1:B$1001, MATCH(C648, customers!A$1:A$1001, 0)), "Not Found")</f>
        <v>Dottie Rallin</v>
      </c>
      <c r="G648" s="2" t="str">
        <f>IF(IFERROR(INDEX(customers!C$1:C$1001, MATCH(C648, customers!A$1:A$1001, 0)), "Not Found")=0,"",IFERROR(INDEX(customers!C$1:C$1001, MATCH(C648, customers!A$1:A$1001, 0)), "Not Found"))</f>
        <v>drallinhy@howstuffworks.com</v>
      </c>
      <c r="H648" s="2" t="str">
        <f>IFERROR(INDEX(customers!G$1:G$1001, MATCH(C648, customers!A$1:A$1001, 0)), "Not Found")</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L648*E648</f>
        <v>9.9499999999999993</v>
      </c>
      <c r="N648" t="str">
        <f>IF(I648="Rob","Robusta",IF(I648="Exc","Excelsa",IF(I648="Ara","Arabica",IF(I648="Lib","Laberica",""))))</f>
        <v>Arabica</v>
      </c>
      <c r="O648" t="str">
        <f t="shared" si="10"/>
        <v>Dark</v>
      </c>
      <c r="P648" t="str">
        <f>INDEX(customers!$I$1:$I$1001, MATCH(Orders[[#This Row],[Customer ID]], customers!$A$1:$A$1001, 0))</f>
        <v>Yes</v>
      </c>
    </row>
    <row r="649" spans="1:16" x14ac:dyDescent="0.25">
      <c r="A649" s="2" t="s">
        <v>4145</v>
      </c>
      <c r="B649" s="3">
        <v>44502</v>
      </c>
      <c r="C649" s="2" t="s">
        <v>4146</v>
      </c>
      <c r="D649" t="s">
        <v>6161</v>
      </c>
      <c r="E649" s="2">
        <v>3</v>
      </c>
      <c r="F649" s="2" t="str">
        <f>IFERROR(INDEX(customers!B$1:B$1001, MATCH(C649, customers!A$1:A$1001, 0)), "Not Found")</f>
        <v>Ardith Chill</v>
      </c>
      <c r="G649" s="2" t="str">
        <f>IF(IFERROR(INDEX(customers!C$1:C$1001, MATCH(C649, customers!A$1:A$1001, 0)), "Not Found")=0,"",IFERROR(INDEX(customers!C$1:C$1001, MATCH(C649, customers!A$1:A$1001, 0)), "Not Found"))</f>
        <v>achillhz@epa.gov</v>
      </c>
      <c r="H649" s="2" t="str">
        <f>IFERROR(INDEX(customers!G$1:G$1001, MATCH(C649, customers!A$1:A$1001, 0)), "Not Found")</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L649*E649</f>
        <v>28.53</v>
      </c>
      <c r="N649" t="str">
        <f>IF(I649="Rob","Robusta",IF(I649="Exc","Excelsa",IF(I649="Ara","Arabica",IF(I649="Lib","Laberica",""))))</f>
        <v>Laberica</v>
      </c>
      <c r="O649" t="str">
        <f t="shared" si="10"/>
        <v>Light</v>
      </c>
      <c r="P649" t="str">
        <f>INDEX(customers!$I$1:$I$1001, MATCH(Orders[[#This Row],[Customer ID]], customers!$A$1:$A$1001, 0))</f>
        <v>Yes</v>
      </c>
    </row>
    <row r="650" spans="1:16" x14ac:dyDescent="0.25">
      <c r="A650" s="2" t="s">
        <v>4151</v>
      </c>
      <c r="B650" s="3">
        <v>43884</v>
      </c>
      <c r="C650" s="2" t="s">
        <v>4152</v>
      </c>
      <c r="D650" t="s">
        <v>6163</v>
      </c>
      <c r="E650" s="2">
        <v>6</v>
      </c>
      <c r="F650" s="2" t="str">
        <f>IFERROR(INDEX(customers!B$1:B$1001, MATCH(C650, customers!A$1:A$1001, 0)), "Not Found")</f>
        <v>Tuckie Mathonnet</v>
      </c>
      <c r="G650" s="2" t="str">
        <f>IF(IFERROR(INDEX(customers!C$1:C$1001, MATCH(C650, customers!A$1:A$1001, 0)), "Not Found")=0,"",IFERROR(INDEX(customers!C$1:C$1001, MATCH(C650, customers!A$1:A$1001, 0)), "Not Found"))</f>
        <v>tmathonneti0@google.co.jp</v>
      </c>
      <c r="H650" s="2" t="str">
        <f>IFERROR(INDEX(customers!G$1:G$1001, MATCH(C650, customers!A$1:A$1001, 0)), "Not Found")</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L650*E650</f>
        <v>16.11</v>
      </c>
      <c r="N650" t="str">
        <f>IF(I650="Rob","Robusta",IF(I650="Exc","Excelsa",IF(I650="Ara","Arabica",IF(I650="Lib","Laberica",""))))</f>
        <v>Robusta</v>
      </c>
      <c r="O650" t="str">
        <f t="shared" si="10"/>
        <v>Dark</v>
      </c>
      <c r="P650" t="str">
        <f>INDEX(customers!$I$1:$I$1001, MATCH(Orders[[#This Row],[Customer ID]], customers!$A$1:$A$1001, 0))</f>
        <v>No</v>
      </c>
    </row>
    <row r="651" spans="1:16" x14ac:dyDescent="0.25">
      <c r="A651" s="2" t="s">
        <v>4157</v>
      </c>
      <c r="B651" s="3">
        <v>44015</v>
      </c>
      <c r="C651" s="2" t="s">
        <v>4158</v>
      </c>
      <c r="D651" t="s">
        <v>6170</v>
      </c>
      <c r="E651" s="2">
        <v>6</v>
      </c>
      <c r="F651" s="2" t="str">
        <f>IFERROR(INDEX(customers!B$1:B$1001, MATCH(C651, customers!A$1:A$1001, 0)), "Not Found")</f>
        <v>Charmane Denys</v>
      </c>
      <c r="G651" s="2" t="str">
        <f>IF(IFERROR(INDEX(customers!C$1:C$1001, MATCH(C651, customers!A$1:A$1001, 0)), "Not Found")=0,"",IFERROR(INDEX(customers!C$1:C$1001, MATCH(C651, customers!A$1:A$1001, 0)), "Not Found"))</f>
        <v>cdenysi1@is.gd</v>
      </c>
      <c r="H651" s="2" t="str">
        <f>IFERROR(INDEX(customers!G$1:G$1001, MATCH(C651, customers!A$1:A$1001, 0)), "Not Found")</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L651*E651</f>
        <v>95.1</v>
      </c>
      <c r="N651" t="str">
        <f>IF(I651="Rob","Robusta",IF(I651="Exc","Excelsa",IF(I651="Ara","Arabica",IF(I651="Lib","Laberica",""))))</f>
        <v>Laberica</v>
      </c>
      <c r="O651" t="str">
        <f t="shared" si="10"/>
        <v>Light</v>
      </c>
      <c r="P651" t="str">
        <f>INDEX(customers!$I$1:$I$1001, MATCH(Orders[[#This Row],[Customer ID]], customers!$A$1:$A$1001, 0))</f>
        <v>No</v>
      </c>
    </row>
    <row r="652" spans="1:16" x14ac:dyDescent="0.25">
      <c r="A652" s="2" t="s">
        <v>4163</v>
      </c>
      <c r="B652" s="3">
        <v>43507</v>
      </c>
      <c r="C652" s="2" t="s">
        <v>4164</v>
      </c>
      <c r="D652" t="s">
        <v>6172</v>
      </c>
      <c r="E652" s="2">
        <v>1</v>
      </c>
      <c r="F652" s="2" t="str">
        <f>IFERROR(INDEX(customers!B$1:B$1001, MATCH(C652, customers!A$1:A$1001, 0)), "Not Found")</f>
        <v>Cecily Stebbings</v>
      </c>
      <c r="G652" s="2" t="str">
        <f>IF(IFERROR(INDEX(customers!C$1:C$1001, MATCH(C652, customers!A$1:A$1001, 0)), "Not Found")=0,"",IFERROR(INDEX(customers!C$1:C$1001, MATCH(C652, customers!A$1:A$1001, 0)), "Not Found"))</f>
        <v>cstebbingsi2@drupal.org</v>
      </c>
      <c r="H652" s="2" t="str">
        <f>IFERROR(INDEX(customers!G$1:G$1001, MATCH(C652, customers!A$1:A$1001, 0)), "Not Found")</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L652*E652</f>
        <v>5.3699999999999992</v>
      </c>
      <c r="N652" t="str">
        <f>IF(I652="Rob","Robusta",IF(I652="Exc","Excelsa",IF(I652="Ara","Arabica",IF(I652="Lib","Laberica",""))))</f>
        <v>Robusta</v>
      </c>
      <c r="O652" t="str">
        <f t="shared" si="10"/>
        <v>Dark</v>
      </c>
      <c r="P652" t="str">
        <f>INDEX(customers!$I$1:$I$1001, MATCH(Orders[[#This Row],[Customer ID]], customers!$A$1:$A$1001, 0))</f>
        <v>Yes</v>
      </c>
    </row>
    <row r="653" spans="1:16" x14ac:dyDescent="0.25">
      <c r="A653" s="2" t="s">
        <v>4169</v>
      </c>
      <c r="B653" s="3">
        <v>44084</v>
      </c>
      <c r="C653" s="2" t="s">
        <v>4170</v>
      </c>
      <c r="D653" t="s">
        <v>6179</v>
      </c>
      <c r="E653" s="2">
        <v>4</v>
      </c>
      <c r="F653" s="2" t="str">
        <f>IFERROR(INDEX(customers!B$1:B$1001, MATCH(C653, customers!A$1:A$1001, 0)), "Not Found")</f>
        <v>Giana Tonnesen</v>
      </c>
      <c r="G653" s="2" t="str">
        <f>IF(IFERROR(INDEX(customers!C$1:C$1001, MATCH(C653, customers!A$1:A$1001, 0)), "Not Found")=0,"",IFERROR(INDEX(customers!C$1:C$1001, MATCH(C653, customers!A$1:A$1001, 0)), "Not Found"))</f>
        <v/>
      </c>
      <c r="H653" s="2" t="str">
        <f>IFERROR(INDEX(customers!G$1:G$1001, MATCH(C653, customers!A$1:A$1001, 0)), "Not Found")</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L653*E653</f>
        <v>47.8</v>
      </c>
      <c r="N653" t="str">
        <f>IF(I653="Rob","Robusta",IF(I653="Exc","Excelsa",IF(I653="Ara","Arabica",IF(I653="Lib","Laberica",""))))</f>
        <v>Robusta</v>
      </c>
      <c r="O653" t="str">
        <f t="shared" si="10"/>
        <v>Light</v>
      </c>
      <c r="P653" t="str">
        <f>INDEX(customers!$I$1:$I$1001, MATCH(Orders[[#This Row],[Customer ID]], customers!$A$1:$A$1001, 0))</f>
        <v>No</v>
      </c>
    </row>
    <row r="654" spans="1:16" x14ac:dyDescent="0.25">
      <c r="A654" s="2" t="s">
        <v>4174</v>
      </c>
      <c r="B654" s="3">
        <v>43892</v>
      </c>
      <c r="C654" s="2" t="s">
        <v>4175</v>
      </c>
      <c r="D654" t="s">
        <v>6170</v>
      </c>
      <c r="E654" s="2">
        <v>4</v>
      </c>
      <c r="F654" s="2" t="str">
        <f>IFERROR(INDEX(customers!B$1:B$1001, MATCH(C654, customers!A$1:A$1001, 0)), "Not Found")</f>
        <v>Rhetta Zywicki</v>
      </c>
      <c r="G654" s="2" t="str">
        <f>IF(IFERROR(INDEX(customers!C$1:C$1001, MATCH(C654, customers!A$1:A$1001, 0)), "Not Found")=0,"",IFERROR(INDEX(customers!C$1:C$1001, MATCH(C654, customers!A$1:A$1001, 0)), "Not Found"))</f>
        <v>rzywickii4@ifeng.com</v>
      </c>
      <c r="H654" s="2" t="str">
        <f>IFERROR(INDEX(customers!G$1:G$1001, MATCH(C654, customers!A$1:A$1001, 0)), "Not Found")</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L654*E654</f>
        <v>63.4</v>
      </c>
      <c r="N654" t="str">
        <f>IF(I654="Rob","Robusta",IF(I654="Exc","Excelsa",IF(I654="Ara","Arabica",IF(I654="Lib","Laberica",""))))</f>
        <v>Laberica</v>
      </c>
      <c r="O654" t="str">
        <f t="shared" si="10"/>
        <v>Light</v>
      </c>
      <c r="P654" t="str">
        <f>INDEX(customers!$I$1:$I$1001, MATCH(Orders[[#This Row],[Customer ID]], customers!$A$1:$A$1001, 0))</f>
        <v>No</v>
      </c>
    </row>
    <row r="655" spans="1:16" x14ac:dyDescent="0.25">
      <c r="A655" s="2" t="s">
        <v>4179</v>
      </c>
      <c r="B655" s="3">
        <v>44375</v>
      </c>
      <c r="C655" s="2" t="s">
        <v>4180</v>
      </c>
      <c r="D655" t="s">
        <v>6175</v>
      </c>
      <c r="E655" s="2">
        <v>4</v>
      </c>
      <c r="F655" s="2" t="str">
        <f>IFERROR(INDEX(customers!B$1:B$1001, MATCH(C655, customers!A$1:A$1001, 0)), "Not Found")</f>
        <v>Almeria Burgett</v>
      </c>
      <c r="G655" s="2" t="str">
        <f>IF(IFERROR(INDEX(customers!C$1:C$1001, MATCH(C655, customers!A$1:A$1001, 0)), "Not Found")=0,"",IFERROR(INDEX(customers!C$1:C$1001, MATCH(C655, customers!A$1:A$1001, 0)), "Not Found"))</f>
        <v>aburgetti5@moonfruit.com</v>
      </c>
      <c r="H655" s="2" t="str">
        <f>IFERROR(INDEX(customers!G$1:G$1001, MATCH(C655, customers!A$1:A$1001, 0)), "Not Found")</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L655*E655</f>
        <v>103.49999999999999</v>
      </c>
      <c r="N655" t="str">
        <f>IF(I655="Rob","Robusta",IF(I655="Exc","Excelsa",IF(I655="Ara","Arabica",IF(I655="Lib","Laberica",""))))</f>
        <v>Arabica</v>
      </c>
      <c r="O655" t="str">
        <f t="shared" si="10"/>
        <v>Medium</v>
      </c>
      <c r="P655" t="str">
        <f>INDEX(customers!$I$1:$I$1001, MATCH(Orders[[#This Row],[Customer ID]], customers!$A$1:$A$1001, 0))</f>
        <v>No</v>
      </c>
    </row>
    <row r="656" spans="1:16" x14ac:dyDescent="0.25">
      <c r="A656" s="2" t="s">
        <v>4185</v>
      </c>
      <c r="B656" s="3">
        <v>43476</v>
      </c>
      <c r="C656" s="2" t="s">
        <v>4186</v>
      </c>
      <c r="D656" t="s">
        <v>6168</v>
      </c>
      <c r="E656" s="2">
        <v>3</v>
      </c>
      <c r="F656" s="2" t="str">
        <f>IFERROR(INDEX(customers!B$1:B$1001, MATCH(C656, customers!A$1:A$1001, 0)), "Not Found")</f>
        <v>Marvin Malloy</v>
      </c>
      <c r="G656" s="2" t="str">
        <f>IF(IFERROR(INDEX(customers!C$1:C$1001, MATCH(C656, customers!A$1:A$1001, 0)), "Not Found")=0,"",IFERROR(INDEX(customers!C$1:C$1001, MATCH(C656, customers!A$1:A$1001, 0)), "Not Found"))</f>
        <v>mmalloyi6@seattletimes.com</v>
      </c>
      <c r="H656" s="2" t="str">
        <f>IFERROR(INDEX(customers!G$1:G$1001, MATCH(C656, customers!A$1:A$1001, 0)), "Not Found")</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L656*E656</f>
        <v>68.655000000000001</v>
      </c>
      <c r="N656" t="str">
        <f>IF(I656="Rob","Robusta",IF(I656="Exc","Excelsa",IF(I656="Ara","Arabica",IF(I656="Lib","Laberica",""))))</f>
        <v>Arabica</v>
      </c>
      <c r="O656" t="str">
        <f t="shared" si="10"/>
        <v>Dark</v>
      </c>
      <c r="P656" t="str">
        <f>INDEX(customers!$I$1:$I$1001, MATCH(Orders[[#This Row],[Customer ID]], customers!$A$1:$A$1001, 0))</f>
        <v>No</v>
      </c>
    </row>
    <row r="657" spans="1:16" x14ac:dyDescent="0.25">
      <c r="A657" s="2" t="s">
        <v>4191</v>
      </c>
      <c r="B657" s="3">
        <v>43728</v>
      </c>
      <c r="C657" s="2" t="s">
        <v>4192</v>
      </c>
      <c r="D657" t="s">
        <v>6151</v>
      </c>
      <c r="E657" s="2">
        <v>2</v>
      </c>
      <c r="F657" s="2" t="str">
        <f>IFERROR(INDEX(customers!B$1:B$1001, MATCH(C657, customers!A$1:A$1001, 0)), "Not Found")</f>
        <v>Maxim McParland</v>
      </c>
      <c r="G657" s="2" t="str">
        <f>IF(IFERROR(INDEX(customers!C$1:C$1001, MATCH(C657, customers!A$1:A$1001, 0)), "Not Found")=0,"",IFERROR(INDEX(customers!C$1:C$1001, MATCH(C657, customers!A$1:A$1001, 0)), "Not Found"))</f>
        <v>mmcparlandi7@w3.org</v>
      </c>
      <c r="H657" s="2" t="str">
        <f>IFERROR(INDEX(customers!G$1:G$1001, MATCH(C657, customers!A$1:A$1001, 0)), "Not Found")</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L657*E657</f>
        <v>45.769999999999996</v>
      </c>
      <c r="N657" t="str">
        <f>IF(I657="Rob","Robusta",IF(I657="Exc","Excelsa",IF(I657="Ara","Arabica",IF(I657="Lib","Laberica",""))))</f>
        <v>Robusta</v>
      </c>
      <c r="O657" t="str">
        <f t="shared" si="10"/>
        <v>Medium</v>
      </c>
      <c r="P657" t="str">
        <f>INDEX(customers!$I$1:$I$1001, MATCH(Orders[[#This Row],[Customer ID]], customers!$A$1:$A$1001, 0))</f>
        <v>Yes</v>
      </c>
    </row>
    <row r="658" spans="1:16" x14ac:dyDescent="0.25">
      <c r="A658" s="2" t="s">
        <v>4196</v>
      </c>
      <c r="B658" s="3">
        <v>44485</v>
      </c>
      <c r="C658" s="2" t="s">
        <v>4197</v>
      </c>
      <c r="D658" t="s">
        <v>6143</v>
      </c>
      <c r="E658" s="2">
        <v>4</v>
      </c>
      <c r="F658" s="2" t="str">
        <f>IFERROR(INDEX(customers!B$1:B$1001, MATCH(C658, customers!A$1:A$1001, 0)), "Not Found")</f>
        <v>Sylas Jennaroy</v>
      </c>
      <c r="G658" s="2" t="str">
        <f>IF(IFERROR(INDEX(customers!C$1:C$1001, MATCH(C658, customers!A$1:A$1001, 0)), "Not Found")=0,"",IFERROR(INDEX(customers!C$1:C$1001, MATCH(C658, customers!A$1:A$1001, 0)), "Not Found"))</f>
        <v>sjennaroyi8@purevolume.com</v>
      </c>
      <c r="H658" s="2" t="str">
        <f>IFERROR(INDEX(customers!G$1:G$1001, MATCH(C658, customers!A$1:A$1001, 0)), "Not Found")</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L658*E658</f>
        <v>51.8</v>
      </c>
      <c r="N658" t="str">
        <f>IF(I658="Rob","Robusta",IF(I658="Exc","Excelsa",IF(I658="Ara","Arabica",IF(I658="Lib","Laberica",""))))</f>
        <v>Laberica</v>
      </c>
      <c r="O658" t="str">
        <f t="shared" si="10"/>
        <v>Dark</v>
      </c>
      <c r="P658" t="str">
        <f>INDEX(customers!$I$1:$I$1001, MATCH(Orders[[#This Row],[Customer ID]], customers!$A$1:$A$1001, 0))</f>
        <v>No</v>
      </c>
    </row>
    <row r="659" spans="1:16" x14ac:dyDescent="0.25">
      <c r="A659" s="2" t="s">
        <v>4201</v>
      </c>
      <c r="B659" s="3">
        <v>43831</v>
      </c>
      <c r="C659" s="2" t="s">
        <v>4202</v>
      </c>
      <c r="D659" t="s">
        <v>6157</v>
      </c>
      <c r="E659" s="2">
        <v>2</v>
      </c>
      <c r="F659" s="2" t="str">
        <f>IFERROR(INDEX(customers!B$1:B$1001, MATCH(C659, customers!A$1:A$1001, 0)), "Not Found")</f>
        <v>Wren Place</v>
      </c>
      <c r="G659" s="2" t="str">
        <f>IF(IFERROR(INDEX(customers!C$1:C$1001, MATCH(C659, customers!A$1:A$1001, 0)), "Not Found")=0,"",IFERROR(INDEX(customers!C$1:C$1001, MATCH(C659, customers!A$1:A$1001, 0)), "Not Found"))</f>
        <v>wplacei9@wsj.com</v>
      </c>
      <c r="H659" s="2" t="str">
        <f>IFERROR(INDEX(customers!G$1:G$1001, MATCH(C659, customers!A$1:A$1001, 0)), "Not Found")</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L659*E659</f>
        <v>13.5</v>
      </c>
      <c r="N659" t="str">
        <f>IF(I659="Rob","Robusta",IF(I659="Exc","Excelsa",IF(I659="Ara","Arabica",IF(I659="Lib","Laberica",""))))</f>
        <v>Arabica</v>
      </c>
      <c r="O659" t="str">
        <f t="shared" si="10"/>
        <v>Medium</v>
      </c>
      <c r="P659" t="str">
        <f>INDEX(customers!$I$1:$I$1001, MATCH(Orders[[#This Row],[Customer ID]], customers!$A$1:$A$1001, 0))</f>
        <v>Yes</v>
      </c>
    </row>
    <row r="660" spans="1:16" x14ac:dyDescent="0.25">
      <c r="A660" s="2" t="s">
        <v>4207</v>
      </c>
      <c r="B660" s="3">
        <v>44630</v>
      </c>
      <c r="C660" s="2" t="s">
        <v>4263</v>
      </c>
      <c r="D660" t="s">
        <v>6139</v>
      </c>
      <c r="E660" s="2">
        <v>3</v>
      </c>
      <c r="F660" s="2" t="str">
        <f>IFERROR(INDEX(customers!B$1:B$1001, MATCH(C660, customers!A$1:A$1001, 0)), "Not Found")</f>
        <v>Janella Millett</v>
      </c>
      <c r="G660" s="2" t="str">
        <f>IF(IFERROR(INDEX(customers!C$1:C$1001, MATCH(C660, customers!A$1:A$1001, 0)), "Not Found")=0,"",IFERROR(INDEX(customers!C$1:C$1001, MATCH(C660, customers!A$1:A$1001, 0)), "Not Found"))</f>
        <v>jmillettik@addtoany.com</v>
      </c>
      <c r="H660" s="2" t="str">
        <f>IFERROR(INDEX(customers!G$1:G$1001, MATCH(C660, customers!A$1:A$1001, 0)), "Not Found")</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L660*E660</f>
        <v>24.75</v>
      </c>
      <c r="N660" t="str">
        <f>IF(I660="Rob","Robusta",IF(I660="Exc","Excelsa",IF(I660="Ara","Arabica",IF(I660="Lib","Laberica",""))))</f>
        <v>Excelsa</v>
      </c>
      <c r="O660" t="str">
        <f t="shared" si="10"/>
        <v>Medium</v>
      </c>
      <c r="P660" t="str">
        <f>INDEX(customers!$I$1:$I$1001, MATCH(Orders[[#This Row],[Customer ID]], customers!$A$1:$A$1001, 0))</f>
        <v>Yes</v>
      </c>
    </row>
    <row r="661" spans="1:16" x14ac:dyDescent="0.25">
      <c r="A661" s="2" t="s">
        <v>4211</v>
      </c>
      <c r="B661" s="3">
        <v>44693</v>
      </c>
      <c r="C661" s="2" t="s">
        <v>4212</v>
      </c>
      <c r="D661" t="s">
        <v>6168</v>
      </c>
      <c r="E661" s="2">
        <v>2</v>
      </c>
      <c r="F661" s="2" t="str">
        <f>IFERROR(INDEX(customers!B$1:B$1001, MATCH(C661, customers!A$1:A$1001, 0)), "Not Found")</f>
        <v>Dollie Gadsden</v>
      </c>
      <c r="G661" s="2" t="str">
        <f>IF(IFERROR(INDEX(customers!C$1:C$1001, MATCH(C661, customers!A$1:A$1001, 0)), "Not Found")=0,"",IFERROR(INDEX(customers!C$1:C$1001, MATCH(C661, customers!A$1:A$1001, 0)), "Not Found"))</f>
        <v>dgadsdenib@google.com.hk</v>
      </c>
      <c r="H661" s="2" t="str">
        <f>IFERROR(INDEX(customers!G$1:G$1001, MATCH(C661, customers!A$1:A$1001, 0)), "Not Found")</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L661*E661</f>
        <v>45.769999999999996</v>
      </c>
      <c r="N661" t="str">
        <f>IF(I661="Rob","Robusta",IF(I661="Exc","Excelsa",IF(I661="Ara","Arabica",IF(I661="Lib","Laberica",""))))</f>
        <v>Arabica</v>
      </c>
      <c r="O661" t="str">
        <f t="shared" si="10"/>
        <v>Dark</v>
      </c>
      <c r="P661" t="str">
        <f>INDEX(customers!$I$1:$I$1001, MATCH(Orders[[#This Row],[Customer ID]], customers!$A$1:$A$1001, 0))</f>
        <v>Yes</v>
      </c>
    </row>
    <row r="662" spans="1:16" x14ac:dyDescent="0.25">
      <c r="A662" s="2" t="s">
        <v>4217</v>
      </c>
      <c r="B662" s="3">
        <v>44084</v>
      </c>
      <c r="C662" s="2" t="s">
        <v>4218</v>
      </c>
      <c r="D662" t="s">
        <v>6176</v>
      </c>
      <c r="E662" s="2">
        <v>6</v>
      </c>
      <c r="F662" s="2" t="str">
        <f>IFERROR(INDEX(customers!B$1:B$1001, MATCH(C662, customers!A$1:A$1001, 0)), "Not Found")</f>
        <v>Val Wakelin</v>
      </c>
      <c r="G662" s="2" t="str">
        <f>IF(IFERROR(INDEX(customers!C$1:C$1001, MATCH(C662, customers!A$1:A$1001, 0)), "Not Found")=0,"",IFERROR(INDEX(customers!C$1:C$1001, MATCH(C662, customers!A$1:A$1001, 0)), "Not Found"))</f>
        <v>vwakelinic@unesco.org</v>
      </c>
      <c r="H662" s="2" t="str">
        <f>IFERROR(INDEX(customers!G$1:G$1001, MATCH(C662, customers!A$1:A$1001, 0)), "Not Found")</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L662*E662</f>
        <v>53.46</v>
      </c>
      <c r="N662" t="str">
        <f>IF(I662="Rob","Robusta",IF(I662="Exc","Excelsa",IF(I662="Ara","Arabica",IF(I662="Lib","Laberica",""))))</f>
        <v>Excelsa</v>
      </c>
      <c r="O662" t="str">
        <f t="shared" si="10"/>
        <v>Light</v>
      </c>
      <c r="P662" t="str">
        <f>INDEX(customers!$I$1:$I$1001, MATCH(Orders[[#This Row],[Customer ID]], customers!$A$1:$A$1001, 0))</f>
        <v>No</v>
      </c>
    </row>
    <row r="663" spans="1:16" x14ac:dyDescent="0.25">
      <c r="A663" s="2" t="s">
        <v>4223</v>
      </c>
      <c r="B663" s="3">
        <v>44485</v>
      </c>
      <c r="C663" s="2" t="s">
        <v>4224</v>
      </c>
      <c r="D663" t="s">
        <v>6152</v>
      </c>
      <c r="E663" s="2">
        <v>6</v>
      </c>
      <c r="F663" s="2" t="str">
        <f>IFERROR(INDEX(customers!B$1:B$1001, MATCH(C663, customers!A$1:A$1001, 0)), "Not Found")</f>
        <v>Annie Campsall</v>
      </c>
      <c r="G663" s="2" t="str">
        <f>IF(IFERROR(INDEX(customers!C$1:C$1001, MATCH(C663, customers!A$1:A$1001, 0)), "Not Found")=0,"",IFERROR(INDEX(customers!C$1:C$1001, MATCH(C663, customers!A$1:A$1001, 0)), "Not Found"))</f>
        <v>acampsallid@zimbio.com</v>
      </c>
      <c r="H663" s="2" t="str">
        <f>IFERROR(INDEX(customers!G$1:G$1001, MATCH(C663, customers!A$1:A$1001, 0)), "Not Found")</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L663*E663</f>
        <v>20.25</v>
      </c>
      <c r="N663" t="str">
        <f>IF(I663="Rob","Robusta",IF(I663="Exc","Excelsa",IF(I663="Ara","Arabica",IF(I663="Lib","Laberica",""))))</f>
        <v>Arabica</v>
      </c>
      <c r="O663" t="str">
        <f t="shared" si="10"/>
        <v>Medium</v>
      </c>
      <c r="P663" t="str">
        <f>INDEX(customers!$I$1:$I$1001, MATCH(Orders[[#This Row],[Customer ID]], customers!$A$1:$A$1001, 0))</f>
        <v>Yes</v>
      </c>
    </row>
    <row r="664" spans="1:16" x14ac:dyDescent="0.25">
      <c r="A664" s="2" t="s">
        <v>4229</v>
      </c>
      <c r="B664" s="3">
        <v>44364</v>
      </c>
      <c r="C664" s="2" t="s">
        <v>4230</v>
      </c>
      <c r="D664" t="s">
        <v>6165</v>
      </c>
      <c r="E664" s="2">
        <v>5</v>
      </c>
      <c r="F664" s="2" t="str">
        <f>IFERROR(INDEX(customers!B$1:B$1001, MATCH(C664, customers!A$1:A$1001, 0)), "Not Found")</f>
        <v>Shermy Moseby</v>
      </c>
      <c r="G664" s="2" t="str">
        <f>IF(IFERROR(INDEX(customers!C$1:C$1001, MATCH(C664, customers!A$1:A$1001, 0)), "Not Found")=0,"",IFERROR(INDEX(customers!C$1:C$1001, MATCH(C664, customers!A$1:A$1001, 0)), "Not Found"))</f>
        <v>smosebyie@stanford.edu</v>
      </c>
      <c r="H664" s="2" t="str">
        <f>IFERROR(INDEX(customers!G$1:G$1001, MATCH(C664, customers!A$1:A$1001, 0)), "Not Found")</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L664*E664</f>
        <v>148.92499999999998</v>
      </c>
      <c r="N664" t="str">
        <f>IF(I664="Rob","Robusta",IF(I664="Exc","Excelsa",IF(I664="Ara","Arabica",IF(I664="Lib","Laberica",""))))</f>
        <v>Laberica</v>
      </c>
      <c r="O664" t="str">
        <f t="shared" si="10"/>
        <v>Dark</v>
      </c>
      <c r="P664" t="str">
        <f>INDEX(customers!$I$1:$I$1001, MATCH(Orders[[#This Row],[Customer ID]], customers!$A$1:$A$1001, 0))</f>
        <v>No</v>
      </c>
    </row>
    <row r="665" spans="1:16" x14ac:dyDescent="0.25">
      <c r="A665" s="2" t="s">
        <v>4234</v>
      </c>
      <c r="B665" s="3">
        <v>43554</v>
      </c>
      <c r="C665" s="2" t="s">
        <v>4235</v>
      </c>
      <c r="D665" t="s">
        <v>6155</v>
      </c>
      <c r="E665" s="2">
        <v>6</v>
      </c>
      <c r="F665" s="2" t="str">
        <f>IFERROR(INDEX(customers!B$1:B$1001, MATCH(C665, customers!A$1:A$1001, 0)), "Not Found")</f>
        <v>Corrie Wass</v>
      </c>
      <c r="G665" s="2" t="str">
        <f>IF(IFERROR(INDEX(customers!C$1:C$1001, MATCH(C665, customers!A$1:A$1001, 0)), "Not Found")=0,"",IFERROR(INDEX(customers!C$1:C$1001, MATCH(C665, customers!A$1:A$1001, 0)), "Not Found"))</f>
        <v>cwassif@prweb.com</v>
      </c>
      <c r="H665" s="2" t="str">
        <f>IFERROR(INDEX(customers!G$1:G$1001, MATCH(C665, customers!A$1:A$1001, 0)), "Not Found")</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L665*E665</f>
        <v>67.5</v>
      </c>
      <c r="N665" t="str">
        <f>IF(I665="Rob","Robusta",IF(I665="Exc","Excelsa",IF(I665="Ara","Arabica",IF(I665="Lib","Laberica",""))))</f>
        <v>Arabica</v>
      </c>
      <c r="O665" t="str">
        <f t="shared" si="10"/>
        <v>Medium</v>
      </c>
      <c r="P665" t="str">
        <f>INDEX(customers!$I$1:$I$1001, MATCH(Orders[[#This Row],[Customer ID]], customers!$A$1:$A$1001, 0))</f>
        <v>No</v>
      </c>
    </row>
    <row r="666" spans="1:16" x14ac:dyDescent="0.25">
      <c r="A666" s="2" t="s">
        <v>4239</v>
      </c>
      <c r="B666" s="3">
        <v>44549</v>
      </c>
      <c r="C666" s="2" t="s">
        <v>4240</v>
      </c>
      <c r="D666" t="s">
        <v>6183</v>
      </c>
      <c r="E666" s="2">
        <v>6</v>
      </c>
      <c r="F666" s="2" t="str">
        <f>IFERROR(INDEX(customers!B$1:B$1001, MATCH(C666, customers!A$1:A$1001, 0)), "Not Found")</f>
        <v>Ira Sjostrom</v>
      </c>
      <c r="G666" s="2" t="str">
        <f>IF(IFERROR(INDEX(customers!C$1:C$1001, MATCH(C666, customers!A$1:A$1001, 0)), "Not Found")=0,"",IFERROR(INDEX(customers!C$1:C$1001, MATCH(C666, customers!A$1:A$1001, 0)), "Not Found"))</f>
        <v>isjostromig@pbs.org</v>
      </c>
      <c r="H666" s="2" t="str">
        <f>IFERROR(INDEX(customers!G$1:G$1001, MATCH(C666, customers!A$1:A$1001, 0)), "Not Found")</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L666*E666</f>
        <v>72.900000000000006</v>
      </c>
      <c r="N666" t="str">
        <f>IF(I666="Rob","Robusta",IF(I666="Exc","Excelsa",IF(I666="Ara","Arabica",IF(I666="Lib","Laberica",""))))</f>
        <v>Excelsa</v>
      </c>
      <c r="O666" t="str">
        <f t="shared" si="10"/>
        <v>Dark</v>
      </c>
      <c r="P666" t="str">
        <f>INDEX(customers!$I$1:$I$1001, MATCH(Orders[[#This Row],[Customer ID]], customers!$A$1:$A$1001, 0))</f>
        <v>No</v>
      </c>
    </row>
    <row r="667" spans="1:16" x14ac:dyDescent="0.25">
      <c r="A667" s="2" t="s">
        <v>4239</v>
      </c>
      <c r="B667" s="3">
        <v>44549</v>
      </c>
      <c r="C667" s="2" t="s">
        <v>4240</v>
      </c>
      <c r="D667" t="s">
        <v>6150</v>
      </c>
      <c r="E667" s="2">
        <v>2</v>
      </c>
      <c r="F667" s="2" t="str">
        <f>IFERROR(INDEX(customers!B$1:B$1001, MATCH(C667, customers!A$1:A$1001, 0)), "Not Found")</f>
        <v>Ira Sjostrom</v>
      </c>
      <c r="G667" s="2" t="str">
        <f>IF(IFERROR(INDEX(customers!C$1:C$1001, MATCH(C667, customers!A$1:A$1001, 0)), "Not Found")=0,"",IFERROR(INDEX(customers!C$1:C$1001, MATCH(C667, customers!A$1:A$1001, 0)), "Not Found"))</f>
        <v>isjostromig@pbs.org</v>
      </c>
      <c r="H667" s="2" t="str">
        <f>IFERROR(INDEX(customers!G$1:G$1001, MATCH(C667, customers!A$1:A$1001, 0)), "Not Found")</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L667*E667</f>
        <v>7.77</v>
      </c>
      <c r="N667" t="str">
        <f>IF(I667="Rob","Robusta",IF(I667="Exc","Excelsa",IF(I667="Ara","Arabica",IF(I667="Lib","Laberica",""))))</f>
        <v>Laberica</v>
      </c>
      <c r="O667" t="str">
        <f t="shared" si="10"/>
        <v>Dark</v>
      </c>
      <c r="P667" t="str">
        <f>INDEX(customers!$I$1:$I$1001, MATCH(Orders[[#This Row],[Customer ID]], customers!$A$1:$A$1001, 0))</f>
        <v>No</v>
      </c>
    </row>
    <row r="668" spans="1:16" x14ac:dyDescent="0.25">
      <c r="A668" s="2" t="s">
        <v>4250</v>
      </c>
      <c r="B668" s="3">
        <v>43987</v>
      </c>
      <c r="C668" s="2" t="s">
        <v>4251</v>
      </c>
      <c r="D668" t="s">
        <v>6168</v>
      </c>
      <c r="E668" s="2">
        <v>4</v>
      </c>
      <c r="F668" s="2" t="str">
        <f>IFERROR(INDEX(customers!B$1:B$1001, MATCH(C668, customers!A$1:A$1001, 0)), "Not Found")</f>
        <v>Jermaine Branchett</v>
      </c>
      <c r="G668" s="2" t="str">
        <f>IF(IFERROR(INDEX(customers!C$1:C$1001, MATCH(C668, customers!A$1:A$1001, 0)), "Not Found")=0,"",IFERROR(INDEX(customers!C$1:C$1001, MATCH(C668, customers!A$1:A$1001, 0)), "Not Found"))</f>
        <v>jbranchettii@bravesites.com</v>
      </c>
      <c r="H668" s="2" t="str">
        <f>IFERROR(INDEX(customers!G$1:G$1001, MATCH(C668, customers!A$1:A$1001, 0)), "Not Found")</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L668*E668</f>
        <v>91.539999999999992</v>
      </c>
      <c r="N668" t="str">
        <f>IF(I668="Rob","Robusta",IF(I668="Exc","Excelsa",IF(I668="Ara","Arabica",IF(I668="Lib","Laberica",""))))</f>
        <v>Arabica</v>
      </c>
      <c r="O668" t="str">
        <f t="shared" si="10"/>
        <v>Dark</v>
      </c>
      <c r="P668" t="str">
        <f>INDEX(customers!$I$1:$I$1001, MATCH(Orders[[#This Row],[Customer ID]], customers!$A$1:$A$1001, 0))</f>
        <v>No</v>
      </c>
    </row>
    <row r="669" spans="1:16" x14ac:dyDescent="0.25">
      <c r="A669" s="2" t="s">
        <v>4256</v>
      </c>
      <c r="B669" s="3">
        <v>44451</v>
      </c>
      <c r="C669" s="2" t="s">
        <v>4257</v>
      </c>
      <c r="D669" t="s">
        <v>6147</v>
      </c>
      <c r="E669" s="2">
        <v>6</v>
      </c>
      <c r="F669" s="2" t="str">
        <f>IFERROR(INDEX(customers!B$1:B$1001, MATCH(C669, customers!A$1:A$1001, 0)), "Not Found")</f>
        <v>Nissie Rudland</v>
      </c>
      <c r="G669" s="2" t="str">
        <f>IF(IFERROR(INDEX(customers!C$1:C$1001, MATCH(C669, customers!A$1:A$1001, 0)), "Not Found")=0,"",IFERROR(INDEX(customers!C$1:C$1001, MATCH(C669, customers!A$1:A$1001, 0)), "Not Found"))</f>
        <v>nrudlandij@blogs.com</v>
      </c>
      <c r="H669" s="2" t="str">
        <f>IFERROR(INDEX(customers!G$1:G$1001, MATCH(C669, customers!A$1:A$1001, 0)), "Not Found")</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L669*E669</f>
        <v>59.699999999999996</v>
      </c>
      <c r="N669" t="str">
        <f>IF(I669="Rob","Robusta",IF(I669="Exc","Excelsa",IF(I669="Ara","Arabica",IF(I669="Lib","Laberica",""))))</f>
        <v>Arabica</v>
      </c>
      <c r="O669" t="str">
        <f t="shared" si="10"/>
        <v>Dark</v>
      </c>
      <c r="P669" t="str">
        <f>INDEX(customers!$I$1:$I$1001, MATCH(Orders[[#This Row],[Customer ID]], customers!$A$1:$A$1001, 0))</f>
        <v>No</v>
      </c>
    </row>
    <row r="670" spans="1:16" x14ac:dyDescent="0.25">
      <c r="A670" s="2" t="s">
        <v>4262</v>
      </c>
      <c r="B670" s="3">
        <v>44636</v>
      </c>
      <c r="C670" s="2" t="s">
        <v>4263</v>
      </c>
      <c r="D670" t="s">
        <v>6142</v>
      </c>
      <c r="E670" s="2">
        <v>5</v>
      </c>
      <c r="F670" s="2" t="str">
        <f>IFERROR(INDEX(customers!B$1:B$1001, MATCH(C670, customers!A$1:A$1001, 0)), "Not Found")</f>
        <v>Janella Millett</v>
      </c>
      <c r="G670" s="2" t="str">
        <f>IF(IFERROR(INDEX(customers!C$1:C$1001, MATCH(C670, customers!A$1:A$1001, 0)), "Not Found")=0,"",IFERROR(INDEX(customers!C$1:C$1001, MATCH(C670, customers!A$1:A$1001, 0)), "Not Found"))</f>
        <v>jmillettik@addtoany.com</v>
      </c>
      <c r="H670" s="2" t="str">
        <f>IFERROR(INDEX(customers!G$1:G$1001, MATCH(C670, customers!A$1:A$1001, 0)), "Not Found")</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L670*E670</f>
        <v>137.42499999999998</v>
      </c>
      <c r="N670" t="str">
        <f>IF(I670="Rob","Robusta",IF(I670="Exc","Excelsa",IF(I670="Ara","Arabica",IF(I670="Lib","Laberica",""))))</f>
        <v>Robusta</v>
      </c>
      <c r="O670" t="str">
        <f t="shared" si="10"/>
        <v>Light</v>
      </c>
      <c r="P670" t="str">
        <f>INDEX(customers!$I$1:$I$1001, MATCH(Orders[[#This Row],[Customer ID]], customers!$A$1:$A$1001, 0))</f>
        <v>Yes</v>
      </c>
    </row>
    <row r="671" spans="1:16" x14ac:dyDescent="0.25">
      <c r="A671" s="2" t="s">
        <v>4268</v>
      </c>
      <c r="B671" s="3">
        <v>44551</v>
      </c>
      <c r="C671" s="2" t="s">
        <v>4269</v>
      </c>
      <c r="D671" t="s">
        <v>6181</v>
      </c>
      <c r="E671" s="2">
        <v>2</v>
      </c>
      <c r="F671" s="2" t="str">
        <f>IFERROR(INDEX(customers!B$1:B$1001, MATCH(C671, customers!A$1:A$1001, 0)), "Not Found")</f>
        <v>Ferdie Tourry</v>
      </c>
      <c r="G671" s="2" t="str">
        <f>IF(IFERROR(INDEX(customers!C$1:C$1001, MATCH(C671, customers!A$1:A$1001, 0)), "Not Found")=0,"",IFERROR(INDEX(customers!C$1:C$1001, MATCH(C671, customers!A$1:A$1001, 0)), "Not Found"))</f>
        <v>ftourryil@google.de</v>
      </c>
      <c r="H671" s="2" t="str">
        <f>IFERROR(INDEX(customers!G$1:G$1001, MATCH(C671, customers!A$1:A$1001, 0)), "Not Found")</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L671*E671</f>
        <v>66.929999999999993</v>
      </c>
      <c r="N671" t="str">
        <f>IF(I671="Rob","Robusta",IF(I671="Exc","Excelsa",IF(I671="Ara","Arabica",IF(I671="Lib","Laberica",""))))</f>
        <v>Laberica</v>
      </c>
      <c r="O671" t="str">
        <f t="shared" si="10"/>
        <v>Medium</v>
      </c>
      <c r="P671" t="str">
        <f>INDEX(customers!$I$1:$I$1001, MATCH(Orders[[#This Row],[Customer ID]], customers!$A$1:$A$1001, 0))</f>
        <v>No</v>
      </c>
    </row>
    <row r="672" spans="1:16" x14ac:dyDescent="0.25">
      <c r="A672" s="2" t="s">
        <v>4274</v>
      </c>
      <c r="B672" s="3">
        <v>43606</v>
      </c>
      <c r="C672" s="2" t="s">
        <v>4275</v>
      </c>
      <c r="D672" t="s">
        <v>6159</v>
      </c>
      <c r="E672" s="2">
        <v>3</v>
      </c>
      <c r="F672" s="2" t="str">
        <f>IFERROR(INDEX(customers!B$1:B$1001, MATCH(C672, customers!A$1:A$1001, 0)), "Not Found")</f>
        <v>Cecil Weatherall</v>
      </c>
      <c r="G672" s="2" t="str">
        <f>IF(IFERROR(INDEX(customers!C$1:C$1001, MATCH(C672, customers!A$1:A$1001, 0)), "Not Found")=0,"",IFERROR(INDEX(customers!C$1:C$1001, MATCH(C672, customers!A$1:A$1001, 0)), "Not Found"))</f>
        <v>cweatherallim@toplist.cz</v>
      </c>
      <c r="H672" s="2" t="str">
        <f>IFERROR(INDEX(customers!G$1:G$1001, MATCH(C672, customers!A$1:A$1001, 0)), "Not Found")</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L672*E672</f>
        <v>13.095000000000001</v>
      </c>
      <c r="N672" t="str">
        <f>IF(I672="Rob","Robusta",IF(I672="Exc","Excelsa",IF(I672="Ara","Arabica",IF(I672="Lib","Laberica",""))))</f>
        <v>Laberica</v>
      </c>
      <c r="O672" t="str">
        <f t="shared" si="10"/>
        <v>Medium</v>
      </c>
      <c r="P672" t="str">
        <f>INDEX(customers!$I$1:$I$1001, MATCH(Orders[[#This Row],[Customer ID]], customers!$A$1:$A$1001, 0))</f>
        <v>Yes</v>
      </c>
    </row>
    <row r="673" spans="1:16" x14ac:dyDescent="0.25">
      <c r="A673" s="2" t="s">
        <v>4280</v>
      </c>
      <c r="B673" s="3">
        <v>44495</v>
      </c>
      <c r="C673" s="2" t="s">
        <v>4281</v>
      </c>
      <c r="D673" t="s">
        <v>6179</v>
      </c>
      <c r="E673" s="2">
        <v>5</v>
      </c>
      <c r="F673" s="2" t="str">
        <f>IFERROR(INDEX(customers!B$1:B$1001, MATCH(C673, customers!A$1:A$1001, 0)), "Not Found")</f>
        <v>Gale Heindrick</v>
      </c>
      <c r="G673" s="2" t="str">
        <f>IF(IFERROR(INDEX(customers!C$1:C$1001, MATCH(C673, customers!A$1:A$1001, 0)), "Not Found")=0,"",IFERROR(INDEX(customers!C$1:C$1001, MATCH(C673, customers!A$1:A$1001, 0)), "Not Found"))</f>
        <v>gheindrickin@usda.gov</v>
      </c>
      <c r="H673" s="2" t="str">
        <f>IFERROR(INDEX(customers!G$1:G$1001, MATCH(C673, customers!A$1:A$1001, 0)), "Not Found")</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L673*E673</f>
        <v>59.75</v>
      </c>
      <c r="N673" t="str">
        <f>IF(I673="Rob","Robusta",IF(I673="Exc","Excelsa",IF(I673="Ara","Arabica",IF(I673="Lib","Laberica",""))))</f>
        <v>Robusta</v>
      </c>
      <c r="O673" t="str">
        <f t="shared" si="10"/>
        <v>Light</v>
      </c>
      <c r="P673" t="str">
        <f>INDEX(customers!$I$1:$I$1001, MATCH(Orders[[#This Row],[Customer ID]], customers!$A$1:$A$1001, 0))</f>
        <v>No</v>
      </c>
    </row>
    <row r="674" spans="1:16" x14ac:dyDescent="0.25">
      <c r="A674" s="2" t="s">
        <v>4286</v>
      </c>
      <c r="B674" s="3">
        <v>43916</v>
      </c>
      <c r="C674" s="2" t="s">
        <v>4287</v>
      </c>
      <c r="D674" t="s">
        <v>6160</v>
      </c>
      <c r="E674" s="2">
        <v>5</v>
      </c>
      <c r="F674" s="2" t="str">
        <f>IFERROR(INDEX(customers!B$1:B$1001, MATCH(C674, customers!A$1:A$1001, 0)), "Not Found")</f>
        <v>Layne Imason</v>
      </c>
      <c r="G674" s="2" t="str">
        <f>IF(IFERROR(INDEX(customers!C$1:C$1001, MATCH(C674, customers!A$1:A$1001, 0)), "Not Found")=0,"",IFERROR(INDEX(customers!C$1:C$1001, MATCH(C674, customers!A$1:A$1001, 0)), "Not Found"))</f>
        <v>limasonio@discuz.net</v>
      </c>
      <c r="H674" s="2" t="str">
        <f>IFERROR(INDEX(customers!G$1:G$1001, MATCH(C674, customers!A$1:A$1001, 0)), "Not Found")</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L674*E674</f>
        <v>43.650000000000006</v>
      </c>
      <c r="N674" t="str">
        <f>IF(I674="Rob","Robusta",IF(I674="Exc","Excelsa",IF(I674="Ara","Arabica",IF(I674="Lib","Laberica",""))))</f>
        <v>Laberica</v>
      </c>
      <c r="O674" t="str">
        <f t="shared" si="10"/>
        <v>Medium</v>
      </c>
      <c r="P674" t="str">
        <f>INDEX(customers!$I$1:$I$1001, MATCH(Orders[[#This Row],[Customer ID]], customers!$A$1:$A$1001, 0))</f>
        <v>Yes</v>
      </c>
    </row>
    <row r="675" spans="1:16" x14ac:dyDescent="0.25">
      <c r="A675" s="2" t="s">
        <v>4291</v>
      </c>
      <c r="B675" s="3">
        <v>44118</v>
      </c>
      <c r="C675" s="2" t="s">
        <v>4292</v>
      </c>
      <c r="D675" t="s">
        <v>6141</v>
      </c>
      <c r="E675" s="2">
        <v>6</v>
      </c>
      <c r="F675" s="2" t="str">
        <f>IFERROR(INDEX(customers!B$1:B$1001, MATCH(C675, customers!A$1:A$1001, 0)), "Not Found")</f>
        <v>Hazel Saill</v>
      </c>
      <c r="G675" s="2" t="str">
        <f>IF(IFERROR(INDEX(customers!C$1:C$1001, MATCH(C675, customers!A$1:A$1001, 0)), "Not Found")=0,"",IFERROR(INDEX(customers!C$1:C$1001, MATCH(C675, customers!A$1:A$1001, 0)), "Not Found"))</f>
        <v>hsaillip@odnoklassniki.ru</v>
      </c>
      <c r="H675" s="2" t="str">
        <f>IFERROR(INDEX(customers!G$1:G$1001, MATCH(C675, customers!A$1:A$1001, 0)), "Not Found")</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L675*E675</f>
        <v>82.5</v>
      </c>
      <c r="N675" t="str">
        <f>IF(I675="Rob","Robusta",IF(I675="Exc","Excelsa",IF(I675="Ara","Arabica",IF(I675="Lib","Laberica",""))))</f>
        <v>Excelsa</v>
      </c>
      <c r="O675" t="str">
        <f t="shared" si="10"/>
        <v>Medium</v>
      </c>
      <c r="P675" t="str">
        <f>INDEX(customers!$I$1:$I$1001, MATCH(Orders[[#This Row],[Customer ID]], customers!$A$1:$A$1001, 0))</f>
        <v>Yes</v>
      </c>
    </row>
    <row r="676" spans="1:16" x14ac:dyDescent="0.25">
      <c r="A676" s="2" t="s">
        <v>4297</v>
      </c>
      <c r="B676" s="3">
        <v>44543</v>
      </c>
      <c r="C676" s="2" t="s">
        <v>4298</v>
      </c>
      <c r="D676" t="s">
        <v>6182</v>
      </c>
      <c r="E676" s="2">
        <v>6</v>
      </c>
      <c r="F676" s="2" t="str">
        <f>IFERROR(INDEX(customers!B$1:B$1001, MATCH(C676, customers!A$1:A$1001, 0)), "Not Found")</f>
        <v>Hermann Larvor</v>
      </c>
      <c r="G676" s="2" t="str">
        <f>IF(IFERROR(INDEX(customers!C$1:C$1001, MATCH(C676, customers!A$1:A$1001, 0)), "Not Found")=0,"",IFERROR(INDEX(customers!C$1:C$1001, MATCH(C676, customers!A$1:A$1001, 0)), "Not Found"))</f>
        <v>hlarvoriq@last.fm</v>
      </c>
      <c r="H676" s="2" t="str">
        <f>IFERROR(INDEX(customers!G$1:G$1001, MATCH(C676, customers!A$1:A$1001, 0)), "Not Found")</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L676*E676</f>
        <v>178.70999999999998</v>
      </c>
      <c r="N676" t="str">
        <f>IF(I676="Rob","Robusta",IF(I676="Exc","Excelsa",IF(I676="Ara","Arabica",IF(I676="Lib","Laberica",""))))</f>
        <v>Arabica</v>
      </c>
      <c r="O676" t="str">
        <f t="shared" si="10"/>
        <v>Light</v>
      </c>
      <c r="P676" t="str">
        <f>INDEX(customers!$I$1:$I$1001, MATCH(Orders[[#This Row],[Customer ID]], customers!$A$1:$A$1001, 0))</f>
        <v>Yes</v>
      </c>
    </row>
    <row r="677" spans="1:16" x14ac:dyDescent="0.25">
      <c r="A677" s="2" t="s">
        <v>4303</v>
      </c>
      <c r="B677" s="3">
        <v>44263</v>
      </c>
      <c r="C677" s="2" t="s">
        <v>4304</v>
      </c>
      <c r="D677" t="s">
        <v>6165</v>
      </c>
      <c r="E677" s="2">
        <v>4</v>
      </c>
      <c r="F677" s="2" t="str">
        <f>IFERROR(INDEX(customers!B$1:B$1001, MATCH(C677, customers!A$1:A$1001, 0)), "Not Found")</f>
        <v>Terri Lyford</v>
      </c>
      <c r="G677" s="2" t="str">
        <f>IF(IFERROR(INDEX(customers!C$1:C$1001, MATCH(C677, customers!A$1:A$1001, 0)), "Not Found")=0,"",IFERROR(INDEX(customers!C$1:C$1001, MATCH(C677, customers!A$1:A$1001, 0)), "Not Found"))</f>
        <v/>
      </c>
      <c r="H677" s="2" t="str">
        <f>IFERROR(INDEX(customers!G$1:G$1001, MATCH(C677, customers!A$1:A$1001, 0)), "Not Found")</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L677*E677</f>
        <v>119.13999999999999</v>
      </c>
      <c r="N677" t="str">
        <f>IF(I677="Rob","Robusta",IF(I677="Exc","Excelsa",IF(I677="Ara","Arabica",IF(I677="Lib","Laberica",""))))</f>
        <v>Laberica</v>
      </c>
      <c r="O677" t="str">
        <f t="shared" si="10"/>
        <v>Dark</v>
      </c>
      <c r="P677" t="str">
        <f>INDEX(customers!$I$1:$I$1001, MATCH(Orders[[#This Row],[Customer ID]], customers!$A$1:$A$1001, 0))</f>
        <v>Yes</v>
      </c>
    </row>
    <row r="678" spans="1:16" x14ac:dyDescent="0.25">
      <c r="A678" s="2" t="s">
        <v>4308</v>
      </c>
      <c r="B678" s="3">
        <v>44217</v>
      </c>
      <c r="C678" s="2" t="s">
        <v>4309</v>
      </c>
      <c r="D678" t="s">
        <v>6161</v>
      </c>
      <c r="E678" s="2">
        <v>5</v>
      </c>
      <c r="F678" s="2" t="str">
        <f>IFERROR(INDEX(customers!B$1:B$1001, MATCH(C678, customers!A$1:A$1001, 0)), "Not Found")</f>
        <v>Gabey Cogan</v>
      </c>
      <c r="G678" s="2" t="str">
        <f>IF(IFERROR(INDEX(customers!C$1:C$1001, MATCH(C678, customers!A$1:A$1001, 0)), "Not Found")=0,"",IFERROR(INDEX(customers!C$1:C$1001, MATCH(C678, customers!A$1:A$1001, 0)), "Not Found"))</f>
        <v/>
      </c>
      <c r="H678" s="2" t="str">
        <f>IFERROR(INDEX(customers!G$1:G$1001, MATCH(C678, customers!A$1:A$1001, 0)), "Not Found")</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L678*E678</f>
        <v>47.55</v>
      </c>
      <c r="N678" t="str">
        <f>IF(I678="Rob","Robusta",IF(I678="Exc","Excelsa",IF(I678="Ara","Arabica",IF(I678="Lib","Laberica",""))))</f>
        <v>Laberica</v>
      </c>
      <c r="O678" t="str">
        <f t="shared" si="10"/>
        <v>Light</v>
      </c>
      <c r="P678" t="str">
        <f>INDEX(customers!$I$1:$I$1001, MATCH(Orders[[#This Row],[Customer ID]], customers!$A$1:$A$1001, 0))</f>
        <v>No</v>
      </c>
    </row>
    <row r="679" spans="1:16" x14ac:dyDescent="0.25">
      <c r="A679" s="2" t="s">
        <v>4313</v>
      </c>
      <c r="B679" s="3">
        <v>44206</v>
      </c>
      <c r="C679" s="2" t="s">
        <v>4314</v>
      </c>
      <c r="D679" t="s">
        <v>6160</v>
      </c>
      <c r="E679" s="2">
        <v>5</v>
      </c>
      <c r="F679" s="2" t="str">
        <f>IFERROR(INDEX(customers!B$1:B$1001, MATCH(C679, customers!A$1:A$1001, 0)), "Not Found")</f>
        <v>Charin Penwarden</v>
      </c>
      <c r="G679" s="2" t="str">
        <f>IF(IFERROR(INDEX(customers!C$1:C$1001, MATCH(C679, customers!A$1:A$1001, 0)), "Not Found")=0,"",IFERROR(INDEX(customers!C$1:C$1001, MATCH(C679, customers!A$1:A$1001, 0)), "Not Found"))</f>
        <v>cpenwardenit@mlb.com</v>
      </c>
      <c r="H679" s="2" t="str">
        <f>IFERROR(INDEX(customers!G$1:G$1001, MATCH(C679, customers!A$1:A$1001, 0)), "Not Found")</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L679*E679</f>
        <v>43.650000000000006</v>
      </c>
      <c r="N679" t="str">
        <f>IF(I679="Rob","Robusta",IF(I679="Exc","Excelsa",IF(I679="Ara","Arabica",IF(I679="Lib","Laberica",""))))</f>
        <v>Laberica</v>
      </c>
      <c r="O679" t="str">
        <f t="shared" si="10"/>
        <v>Medium</v>
      </c>
      <c r="P679" t="str">
        <f>INDEX(customers!$I$1:$I$1001, MATCH(Orders[[#This Row],[Customer ID]], customers!$A$1:$A$1001, 0))</f>
        <v>No</v>
      </c>
    </row>
    <row r="680" spans="1:16" x14ac:dyDescent="0.25">
      <c r="A680" s="2" t="s">
        <v>4319</v>
      </c>
      <c r="B680" s="3">
        <v>44281</v>
      </c>
      <c r="C680" s="2" t="s">
        <v>4320</v>
      </c>
      <c r="D680" t="s">
        <v>6182</v>
      </c>
      <c r="E680" s="2">
        <v>6</v>
      </c>
      <c r="F680" s="2" t="str">
        <f>IFERROR(INDEX(customers!B$1:B$1001, MATCH(C680, customers!A$1:A$1001, 0)), "Not Found")</f>
        <v>Milty Middis</v>
      </c>
      <c r="G680" s="2" t="str">
        <f>IF(IFERROR(INDEX(customers!C$1:C$1001, MATCH(C680, customers!A$1:A$1001, 0)), "Not Found")=0,"",IFERROR(INDEX(customers!C$1:C$1001, MATCH(C680, customers!A$1:A$1001, 0)), "Not Found"))</f>
        <v>mmiddisiu@dmoz.org</v>
      </c>
      <c r="H680" s="2" t="str">
        <f>IFERROR(INDEX(customers!G$1:G$1001, MATCH(C680, customers!A$1:A$1001, 0)), "Not Found")</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L680*E680</f>
        <v>178.70999999999998</v>
      </c>
      <c r="N680" t="str">
        <f>IF(I680="Rob","Robusta",IF(I680="Exc","Excelsa",IF(I680="Ara","Arabica",IF(I680="Lib","Laberica",""))))</f>
        <v>Arabica</v>
      </c>
      <c r="O680" t="str">
        <f t="shared" si="10"/>
        <v>Light</v>
      </c>
      <c r="P680" t="str">
        <f>INDEX(customers!$I$1:$I$1001, MATCH(Orders[[#This Row],[Customer ID]], customers!$A$1:$A$1001, 0))</f>
        <v>Yes</v>
      </c>
    </row>
    <row r="681" spans="1:16" x14ac:dyDescent="0.25">
      <c r="A681" s="2" t="s">
        <v>4325</v>
      </c>
      <c r="B681" s="3">
        <v>44645</v>
      </c>
      <c r="C681" s="2" t="s">
        <v>4326</v>
      </c>
      <c r="D681" t="s">
        <v>6142</v>
      </c>
      <c r="E681" s="2">
        <v>1</v>
      </c>
      <c r="F681" s="2" t="str">
        <f>IFERROR(INDEX(customers!B$1:B$1001, MATCH(C681, customers!A$1:A$1001, 0)), "Not Found")</f>
        <v>Adrianne Vairow</v>
      </c>
      <c r="G681" s="2" t="str">
        <f>IF(IFERROR(INDEX(customers!C$1:C$1001, MATCH(C681, customers!A$1:A$1001, 0)), "Not Found")=0,"",IFERROR(INDEX(customers!C$1:C$1001, MATCH(C681, customers!A$1:A$1001, 0)), "Not Found"))</f>
        <v>avairowiv@studiopress.com</v>
      </c>
      <c r="H681" s="2" t="str">
        <f>IFERROR(INDEX(customers!G$1:G$1001, MATCH(C681, customers!A$1:A$1001, 0)), "Not Found")</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L681*E681</f>
        <v>27.484999999999996</v>
      </c>
      <c r="N681" t="str">
        <f>IF(I681="Rob","Robusta",IF(I681="Exc","Excelsa",IF(I681="Ara","Arabica",IF(I681="Lib","Laberica",""))))</f>
        <v>Robusta</v>
      </c>
      <c r="O681" t="str">
        <f t="shared" si="10"/>
        <v>Light</v>
      </c>
      <c r="P681" t="str">
        <f>INDEX(customers!$I$1:$I$1001, MATCH(Orders[[#This Row],[Customer ID]], customers!$A$1:$A$1001, 0))</f>
        <v>No</v>
      </c>
    </row>
    <row r="682" spans="1:16" x14ac:dyDescent="0.25">
      <c r="A682" s="2" t="s">
        <v>4331</v>
      </c>
      <c r="B682" s="3">
        <v>44399</v>
      </c>
      <c r="C682" s="2" t="s">
        <v>4332</v>
      </c>
      <c r="D682" t="s">
        <v>6155</v>
      </c>
      <c r="E682" s="2">
        <v>5</v>
      </c>
      <c r="F682" s="2" t="str">
        <f>IFERROR(INDEX(customers!B$1:B$1001, MATCH(C682, customers!A$1:A$1001, 0)), "Not Found")</f>
        <v>Anjanette Goldie</v>
      </c>
      <c r="G682" s="2" t="str">
        <f>IF(IFERROR(INDEX(customers!C$1:C$1001, MATCH(C682, customers!A$1:A$1001, 0)), "Not Found")=0,"",IFERROR(INDEX(customers!C$1:C$1001, MATCH(C682, customers!A$1:A$1001, 0)), "Not Found"))</f>
        <v>agoldieiw@goo.gl</v>
      </c>
      <c r="H682" s="2" t="str">
        <f>IFERROR(INDEX(customers!G$1:G$1001, MATCH(C682, customers!A$1:A$1001, 0)), "Not Found")</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L682*E682</f>
        <v>56.25</v>
      </c>
      <c r="N682" t="str">
        <f>IF(I682="Rob","Robusta",IF(I682="Exc","Excelsa",IF(I682="Ara","Arabica",IF(I682="Lib","Laberica",""))))</f>
        <v>Arabica</v>
      </c>
      <c r="O682" t="str">
        <f t="shared" si="10"/>
        <v>Medium</v>
      </c>
      <c r="P682" t="str">
        <f>INDEX(customers!$I$1:$I$1001, MATCH(Orders[[#This Row],[Customer ID]], customers!$A$1:$A$1001, 0))</f>
        <v>No</v>
      </c>
    </row>
    <row r="683" spans="1:16" x14ac:dyDescent="0.25">
      <c r="A683" s="2" t="s">
        <v>4336</v>
      </c>
      <c r="B683" s="3">
        <v>44080</v>
      </c>
      <c r="C683" s="2" t="s">
        <v>4337</v>
      </c>
      <c r="D683" t="s">
        <v>6145</v>
      </c>
      <c r="E683" s="2">
        <v>2</v>
      </c>
      <c r="F683" s="2" t="str">
        <f>IFERROR(INDEX(customers!B$1:B$1001, MATCH(C683, customers!A$1:A$1001, 0)), "Not Found")</f>
        <v>Nicky Ayris</v>
      </c>
      <c r="G683" s="2" t="str">
        <f>IF(IFERROR(INDEX(customers!C$1:C$1001, MATCH(C683, customers!A$1:A$1001, 0)), "Not Found")=0,"",IFERROR(INDEX(customers!C$1:C$1001, MATCH(C683, customers!A$1:A$1001, 0)), "Not Found"))</f>
        <v>nayrisix@t-online.de</v>
      </c>
      <c r="H683" s="2" t="str">
        <f>IFERROR(INDEX(customers!G$1:G$1001, MATCH(C683, customers!A$1:A$1001, 0)), "Not Found")</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L683*E683</f>
        <v>9.51</v>
      </c>
      <c r="N683" t="str">
        <f>IF(I683="Rob","Robusta",IF(I683="Exc","Excelsa",IF(I683="Ara","Arabica",IF(I683="Lib","Laberica",""))))</f>
        <v>Laberica</v>
      </c>
      <c r="O683" t="str">
        <f t="shared" si="10"/>
        <v>Light</v>
      </c>
      <c r="P683" t="str">
        <f>INDEX(customers!$I$1:$I$1001, MATCH(Orders[[#This Row],[Customer ID]], customers!$A$1:$A$1001, 0))</f>
        <v>Yes</v>
      </c>
    </row>
    <row r="684" spans="1:16" x14ac:dyDescent="0.25">
      <c r="A684" s="2" t="s">
        <v>4342</v>
      </c>
      <c r="B684" s="3">
        <v>43827</v>
      </c>
      <c r="C684" s="2" t="s">
        <v>4343</v>
      </c>
      <c r="D684" t="s">
        <v>6156</v>
      </c>
      <c r="E684" s="2">
        <v>2</v>
      </c>
      <c r="F684" s="2" t="str">
        <f>IFERROR(INDEX(customers!B$1:B$1001, MATCH(C684, customers!A$1:A$1001, 0)), "Not Found")</f>
        <v>Laryssa Benediktovich</v>
      </c>
      <c r="G684" s="2" t="str">
        <f>IF(IFERROR(INDEX(customers!C$1:C$1001, MATCH(C684, customers!A$1:A$1001, 0)), "Not Found")=0,"",IFERROR(INDEX(customers!C$1:C$1001, MATCH(C684, customers!A$1:A$1001, 0)), "Not Found"))</f>
        <v>lbenediktovichiy@wunderground.com</v>
      </c>
      <c r="H684" s="2" t="str">
        <f>IFERROR(INDEX(customers!G$1:G$1001, MATCH(C684, customers!A$1:A$1001, 0)), "Not Found")</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L684*E684</f>
        <v>8.25</v>
      </c>
      <c r="N684" t="str">
        <f>IF(I684="Rob","Robusta",IF(I684="Exc","Excelsa",IF(I684="Ara","Arabica",IF(I684="Lib","Laberica",""))))</f>
        <v>Excelsa</v>
      </c>
      <c r="O684" t="str">
        <f t="shared" si="10"/>
        <v>Medium</v>
      </c>
      <c r="P684" t="str">
        <f>INDEX(customers!$I$1:$I$1001, MATCH(Orders[[#This Row],[Customer ID]], customers!$A$1:$A$1001, 0))</f>
        <v>Yes</v>
      </c>
    </row>
    <row r="685" spans="1:16" x14ac:dyDescent="0.25">
      <c r="A685" s="2" t="s">
        <v>4348</v>
      </c>
      <c r="B685" s="3">
        <v>43941</v>
      </c>
      <c r="C685" s="2" t="s">
        <v>4349</v>
      </c>
      <c r="D685" t="s">
        <v>6169</v>
      </c>
      <c r="E685" s="2">
        <v>6</v>
      </c>
      <c r="F685" s="2" t="str">
        <f>IFERROR(INDEX(customers!B$1:B$1001, MATCH(C685, customers!A$1:A$1001, 0)), "Not Found")</f>
        <v>Theo Jacobovitz</v>
      </c>
      <c r="G685" s="2" t="str">
        <f>IF(IFERROR(INDEX(customers!C$1:C$1001, MATCH(C685, customers!A$1:A$1001, 0)), "Not Found")=0,"",IFERROR(INDEX(customers!C$1:C$1001, MATCH(C685, customers!A$1:A$1001, 0)), "Not Found"))</f>
        <v>tjacobovitziz@cbc.ca</v>
      </c>
      <c r="H685" s="2" t="str">
        <f>IFERROR(INDEX(customers!G$1:G$1001, MATCH(C685, customers!A$1:A$1001, 0)), "Not Found")</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L685*E685</f>
        <v>46.62</v>
      </c>
      <c r="N685" t="str">
        <f>IF(I685="Rob","Robusta",IF(I685="Exc","Excelsa",IF(I685="Ara","Arabica",IF(I685="Lib","Laberica",""))))</f>
        <v>Laberica</v>
      </c>
      <c r="O685" t="str">
        <f t="shared" si="10"/>
        <v>Dark</v>
      </c>
      <c r="P685" t="str">
        <f>INDEX(customers!$I$1:$I$1001, MATCH(Orders[[#This Row],[Customer ID]], customers!$A$1:$A$1001, 0))</f>
        <v>No</v>
      </c>
    </row>
    <row r="686" spans="1:16" x14ac:dyDescent="0.25">
      <c r="A686" s="2" t="s">
        <v>4354</v>
      </c>
      <c r="B686" s="3">
        <v>43517</v>
      </c>
      <c r="C686" s="2" t="s">
        <v>4355</v>
      </c>
      <c r="D686" t="s">
        <v>6179</v>
      </c>
      <c r="E686" s="2">
        <v>6</v>
      </c>
      <c r="F686" s="2" t="str">
        <f>IFERROR(INDEX(customers!B$1:B$1001, MATCH(C686, customers!A$1:A$1001, 0)), "Not Found")</f>
        <v>Becca Ableson</v>
      </c>
      <c r="G686" s="2" t="str">
        <f>IF(IFERROR(INDEX(customers!C$1:C$1001, MATCH(C686, customers!A$1:A$1001, 0)), "Not Found")=0,"",IFERROR(INDEX(customers!C$1:C$1001, MATCH(C686, customers!A$1:A$1001, 0)), "Not Found"))</f>
        <v/>
      </c>
      <c r="H686" s="2" t="str">
        <f>IFERROR(INDEX(customers!G$1:G$1001, MATCH(C686, customers!A$1:A$1001, 0)), "Not Found")</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L686*E686</f>
        <v>71.699999999999989</v>
      </c>
      <c r="N686" t="str">
        <f>IF(I686="Rob","Robusta",IF(I686="Exc","Excelsa",IF(I686="Ara","Arabica",IF(I686="Lib","Laberica",""))))</f>
        <v>Robusta</v>
      </c>
      <c r="O686" t="str">
        <f t="shared" si="10"/>
        <v>Light</v>
      </c>
      <c r="P686" t="str">
        <f>INDEX(customers!$I$1:$I$1001, MATCH(Orders[[#This Row],[Customer ID]], customers!$A$1:$A$1001, 0))</f>
        <v>No</v>
      </c>
    </row>
    <row r="687" spans="1:16" x14ac:dyDescent="0.25">
      <c r="A687" s="2" t="s">
        <v>4359</v>
      </c>
      <c r="B687" s="3">
        <v>44637</v>
      </c>
      <c r="C687" s="2" t="s">
        <v>4360</v>
      </c>
      <c r="D687" t="s">
        <v>6164</v>
      </c>
      <c r="E687" s="2">
        <v>2</v>
      </c>
      <c r="F687" s="2" t="str">
        <f>IFERROR(INDEX(customers!B$1:B$1001, MATCH(C687, customers!A$1:A$1001, 0)), "Not Found")</f>
        <v>Jeno Druitt</v>
      </c>
      <c r="G687" s="2" t="str">
        <f>IF(IFERROR(INDEX(customers!C$1:C$1001, MATCH(C687, customers!A$1:A$1001, 0)), "Not Found")=0,"",IFERROR(INDEX(customers!C$1:C$1001, MATCH(C687, customers!A$1:A$1001, 0)), "Not Found"))</f>
        <v>jdruittj1@feedburner.com</v>
      </c>
      <c r="H687" s="2" t="str">
        <f>IFERROR(INDEX(customers!G$1:G$1001, MATCH(C687, customers!A$1:A$1001, 0)), "Not Found")</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L687*E687</f>
        <v>72.91</v>
      </c>
      <c r="N687" t="str">
        <f>IF(I687="Rob","Robusta",IF(I687="Exc","Excelsa",IF(I687="Ara","Arabica",IF(I687="Lib","Laberica",""))))</f>
        <v>Laberica</v>
      </c>
      <c r="O687" t="str">
        <f t="shared" si="10"/>
        <v>Light</v>
      </c>
      <c r="P687" t="str">
        <f>INDEX(customers!$I$1:$I$1001, MATCH(Orders[[#This Row],[Customer ID]], customers!$A$1:$A$1001, 0))</f>
        <v>Yes</v>
      </c>
    </row>
    <row r="688" spans="1:16" x14ac:dyDescent="0.25">
      <c r="A688" s="2" t="s">
        <v>4365</v>
      </c>
      <c r="B688" s="3">
        <v>44330</v>
      </c>
      <c r="C688" s="2" t="s">
        <v>4366</v>
      </c>
      <c r="D688" t="s">
        <v>6163</v>
      </c>
      <c r="E688" s="2">
        <v>3</v>
      </c>
      <c r="F688" s="2" t="str">
        <f>IFERROR(INDEX(customers!B$1:B$1001, MATCH(C688, customers!A$1:A$1001, 0)), "Not Found")</f>
        <v>Deonne Shortall</v>
      </c>
      <c r="G688" s="2" t="str">
        <f>IF(IFERROR(INDEX(customers!C$1:C$1001, MATCH(C688, customers!A$1:A$1001, 0)), "Not Found")=0,"",IFERROR(INDEX(customers!C$1:C$1001, MATCH(C688, customers!A$1:A$1001, 0)), "Not Found"))</f>
        <v>dshortallj2@wikipedia.org</v>
      </c>
      <c r="H688" s="2" t="str">
        <f>IFERROR(INDEX(customers!G$1:G$1001, MATCH(C688, customers!A$1:A$1001, 0)), "Not Found")</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L688*E688</f>
        <v>8.0549999999999997</v>
      </c>
      <c r="N688" t="str">
        <f>IF(I688="Rob","Robusta",IF(I688="Exc","Excelsa",IF(I688="Ara","Arabica",IF(I688="Lib","Laberica",""))))</f>
        <v>Robusta</v>
      </c>
      <c r="O688" t="str">
        <f t="shared" si="10"/>
        <v>Dark</v>
      </c>
      <c r="P688" t="str">
        <f>INDEX(customers!$I$1:$I$1001, MATCH(Orders[[#This Row],[Customer ID]], customers!$A$1:$A$1001, 0))</f>
        <v>Yes</v>
      </c>
    </row>
    <row r="689" spans="1:16" x14ac:dyDescent="0.25">
      <c r="A689" s="2" t="s">
        <v>4371</v>
      </c>
      <c r="B689" s="3">
        <v>43471</v>
      </c>
      <c r="C689" s="2" t="s">
        <v>4372</v>
      </c>
      <c r="D689" t="s">
        <v>6139</v>
      </c>
      <c r="E689" s="2">
        <v>2</v>
      </c>
      <c r="F689" s="2" t="str">
        <f>IFERROR(INDEX(customers!B$1:B$1001, MATCH(C689, customers!A$1:A$1001, 0)), "Not Found")</f>
        <v>Wilton Cottier</v>
      </c>
      <c r="G689" s="2" t="str">
        <f>IF(IFERROR(INDEX(customers!C$1:C$1001, MATCH(C689, customers!A$1:A$1001, 0)), "Not Found")=0,"",IFERROR(INDEX(customers!C$1:C$1001, MATCH(C689, customers!A$1:A$1001, 0)), "Not Found"))</f>
        <v>wcottierj3@cafepress.com</v>
      </c>
      <c r="H689" s="2" t="str">
        <f>IFERROR(INDEX(customers!G$1:G$1001, MATCH(C689, customers!A$1:A$1001, 0)), "Not Found")</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L689*E689</f>
        <v>16.5</v>
      </c>
      <c r="N689" t="str">
        <f>IF(I689="Rob","Robusta",IF(I689="Exc","Excelsa",IF(I689="Ara","Arabica",IF(I689="Lib","Laberica",""))))</f>
        <v>Excelsa</v>
      </c>
      <c r="O689" t="str">
        <f t="shared" si="10"/>
        <v>Medium</v>
      </c>
      <c r="P689" t="str">
        <f>INDEX(customers!$I$1:$I$1001, MATCH(Orders[[#This Row],[Customer ID]], customers!$A$1:$A$1001, 0))</f>
        <v>No</v>
      </c>
    </row>
    <row r="690" spans="1:16" x14ac:dyDescent="0.25">
      <c r="A690" s="2" t="s">
        <v>4377</v>
      </c>
      <c r="B690" s="3">
        <v>43579</v>
      </c>
      <c r="C690" s="2" t="s">
        <v>4378</v>
      </c>
      <c r="D690" t="s">
        <v>6140</v>
      </c>
      <c r="E690" s="2">
        <v>5</v>
      </c>
      <c r="F690" s="2" t="str">
        <f>IFERROR(INDEX(customers!B$1:B$1001, MATCH(C690, customers!A$1:A$1001, 0)), "Not Found")</f>
        <v>Kevan Grinsted</v>
      </c>
      <c r="G690" s="2" t="str">
        <f>IF(IFERROR(INDEX(customers!C$1:C$1001, MATCH(C690, customers!A$1:A$1001, 0)), "Not Found")=0,"",IFERROR(INDEX(customers!C$1:C$1001, MATCH(C690, customers!A$1:A$1001, 0)), "Not Found"))</f>
        <v>kgrinstedj4@google.com.br</v>
      </c>
      <c r="H690" s="2" t="str">
        <f>IFERROR(INDEX(customers!G$1:G$1001, MATCH(C690, customers!A$1:A$1001, 0)), "Not Found")</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L690*E690</f>
        <v>64.75</v>
      </c>
      <c r="N690" t="str">
        <f>IF(I690="Rob","Robusta",IF(I690="Exc","Excelsa",IF(I690="Ara","Arabica",IF(I690="Lib","Laberica",""))))</f>
        <v>Arabica</v>
      </c>
      <c r="O690" t="str">
        <f t="shared" si="10"/>
        <v>Light</v>
      </c>
      <c r="P690" t="str">
        <f>INDEX(customers!$I$1:$I$1001, MATCH(Orders[[#This Row],[Customer ID]], customers!$A$1:$A$1001, 0))</f>
        <v>No</v>
      </c>
    </row>
    <row r="691" spans="1:16" x14ac:dyDescent="0.25">
      <c r="A691" s="2" t="s">
        <v>4383</v>
      </c>
      <c r="B691" s="3">
        <v>44346</v>
      </c>
      <c r="C691" s="2" t="s">
        <v>4384</v>
      </c>
      <c r="D691" t="s">
        <v>6157</v>
      </c>
      <c r="E691" s="2">
        <v>5</v>
      </c>
      <c r="F691" s="2" t="str">
        <f>IFERROR(INDEX(customers!B$1:B$1001, MATCH(C691, customers!A$1:A$1001, 0)), "Not Found")</f>
        <v>Dionne Skyner</v>
      </c>
      <c r="G691" s="2" t="str">
        <f>IF(IFERROR(INDEX(customers!C$1:C$1001, MATCH(C691, customers!A$1:A$1001, 0)), "Not Found")=0,"",IFERROR(INDEX(customers!C$1:C$1001, MATCH(C691, customers!A$1:A$1001, 0)), "Not Found"))</f>
        <v>dskynerj5@hubpages.com</v>
      </c>
      <c r="H691" s="2" t="str">
        <f>IFERROR(INDEX(customers!G$1:G$1001, MATCH(C691, customers!A$1:A$1001, 0)), "Not Found")</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L691*E691</f>
        <v>33.75</v>
      </c>
      <c r="N691" t="str">
        <f>IF(I691="Rob","Robusta",IF(I691="Exc","Excelsa",IF(I691="Ara","Arabica",IF(I691="Lib","Laberica",""))))</f>
        <v>Arabica</v>
      </c>
      <c r="O691" t="str">
        <f t="shared" si="10"/>
        <v>Medium</v>
      </c>
      <c r="P691" t="str">
        <f>INDEX(customers!$I$1:$I$1001, MATCH(Orders[[#This Row],[Customer ID]], customers!$A$1:$A$1001, 0))</f>
        <v>No</v>
      </c>
    </row>
    <row r="692" spans="1:16" x14ac:dyDescent="0.25">
      <c r="A692" s="2" t="s">
        <v>4389</v>
      </c>
      <c r="B692" s="3">
        <v>44754</v>
      </c>
      <c r="C692" s="2" t="s">
        <v>4390</v>
      </c>
      <c r="D692" t="s">
        <v>6165</v>
      </c>
      <c r="E692" s="2">
        <v>6</v>
      </c>
      <c r="F692" s="2" t="str">
        <f>IFERROR(INDEX(customers!B$1:B$1001, MATCH(C692, customers!A$1:A$1001, 0)), "Not Found")</f>
        <v>Francesco Dressel</v>
      </c>
      <c r="G692" s="2" t="str">
        <f>IF(IFERROR(INDEX(customers!C$1:C$1001, MATCH(C692, customers!A$1:A$1001, 0)), "Not Found")=0,"",IFERROR(INDEX(customers!C$1:C$1001, MATCH(C692, customers!A$1:A$1001, 0)), "Not Found"))</f>
        <v/>
      </c>
      <c r="H692" s="2" t="str">
        <f>IFERROR(INDEX(customers!G$1:G$1001, MATCH(C692, customers!A$1:A$1001, 0)), "Not Found")</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L692*E692</f>
        <v>178.70999999999998</v>
      </c>
      <c r="N692" t="str">
        <f>IF(I692="Rob","Robusta",IF(I692="Exc","Excelsa",IF(I692="Ara","Arabica",IF(I692="Lib","Laberica",""))))</f>
        <v>Laberica</v>
      </c>
      <c r="O692" t="str">
        <f t="shared" si="10"/>
        <v>Dark</v>
      </c>
      <c r="P692" t="str">
        <f>INDEX(customers!$I$1:$I$1001, MATCH(Orders[[#This Row],[Customer ID]], customers!$A$1:$A$1001, 0))</f>
        <v>No</v>
      </c>
    </row>
    <row r="693" spans="1:16" x14ac:dyDescent="0.25">
      <c r="A693" s="2" t="s">
        <v>4393</v>
      </c>
      <c r="B693" s="3">
        <v>44227</v>
      </c>
      <c r="C693" s="2" t="s">
        <v>4434</v>
      </c>
      <c r="D693" t="s">
        <v>6155</v>
      </c>
      <c r="E693" s="2">
        <v>2</v>
      </c>
      <c r="F693" s="2" t="str">
        <f>IFERROR(INDEX(customers!B$1:B$1001, MATCH(C693, customers!A$1:A$1001, 0)), "Not Found")</f>
        <v>Jimmy Dymoke</v>
      </c>
      <c r="G693" s="2" t="str">
        <f>IF(IFERROR(INDEX(customers!C$1:C$1001, MATCH(C693, customers!A$1:A$1001, 0)), "Not Found")=0,"",IFERROR(INDEX(customers!C$1:C$1001, MATCH(C693, customers!A$1:A$1001, 0)), "Not Found"))</f>
        <v>jdymokeje@prnewswire.com</v>
      </c>
      <c r="H693" s="2" t="str">
        <f>IFERROR(INDEX(customers!G$1:G$1001, MATCH(C693, customers!A$1:A$1001, 0)), "Not Found")</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L693*E693</f>
        <v>22.5</v>
      </c>
      <c r="N693" t="str">
        <f>IF(I693="Rob","Robusta",IF(I693="Exc","Excelsa",IF(I693="Ara","Arabica",IF(I693="Lib","Laberica",""))))</f>
        <v>Arabica</v>
      </c>
      <c r="O693" t="str">
        <f t="shared" si="10"/>
        <v>Medium</v>
      </c>
      <c r="P693" t="str">
        <f>INDEX(customers!$I$1:$I$1001, MATCH(Orders[[#This Row],[Customer ID]], customers!$A$1:$A$1001, 0))</f>
        <v>No</v>
      </c>
    </row>
    <row r="694" spans="1:16" x14ac:dyDescent="0.25">
      <c r="A694" s="2" t="s">
        <v>4399</v>
      </c>
      <c r="B694" s="3">
        <v>43720</v>
      </c>
      <c r="C694" s="2" t="s">
        <v>4400</v>
      </c>
      <c r="D694" t="s">
        <v>6143</v>
      </c>
      <c r="E694" s="2">
        <v>1</v>
      </c>
      <c r="F694" s="2" t="str">
        <f>IFERROR(INDEX(customers!B$1:B$1001, MATCH(C694, customers!A$1:A$1001, 0)), "Not Found")</f>
        <v>Ambrosio Weinmann</v>
      </c>
      <c r="G694" s="2" t="str">
        <f>IF(IFERROR(INDEX(customers!C$1:C$1001, MATCH(C694, customers!A$1:A$1001, 0)), "Not Found")=0,"",IFERROR(INDEX(customers!C$1:C$1001, MATCH(C694, customers!A$1:A$1001, 0)), "Not Found"))</f>
        <v>aweinmannj8@shinystat.com</v>
      </c>
      <c r="H694" s="2" t="str">
        <f>IFERROR(INDEX(customers!G$1:G$1001, MATCH(C694, customers!A$1:A$1001, 0)), "Not Found")</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L694*E694</f>
        <v>12.95</v>
      </c>
      <c r="N694" t="str">
        <f>IF(I694="Rob","Robusta",IF(I694="Exc","Excelsa",IF(I694="Ara","Arabica",IF(I694="Lib","Laberica",""))))</f>
        <v>Laberica</v>
      </c>
      <c r="O694" t="str">
        <f t="shared" si="10"/>
        <v>Dark</v>
      </c>
      <c r="P694" t="str">
        <f>INDEX(customers!$I$1:$I$1001, MATCH(Orders[[#This Row],[Customer ID]], customers!$A$1:$A$1001, 0))</f>
        <v>No</v>
      </c>
    </row>
    <row r="695" spans="1:16" x14ac:dyDescent="0.25">
      <c r="A695" s="2" t="s">
        <v>4405</v>
      </c>
      <c r="B695" s="3">
        <v>44012</v>
      </c>
      <c r="C695" s="2" t="s">
        <v>4406</v>
      </c>
      <c r="D695" t="s">
        <v>6175</v>
      </c>
      <c r="E695" s="2">
        <v>2</v>
      </c>
      <c r="F695" s="2" t="str">
        <f>IFERROR(INDEX(customers!B$1:B$1001, MATCH(C695, customers!A$1:A$1001, 0)), "Not Found")</f>
        <v>Elden Andriessen</v>
      </c>
      <c r="G695" s="2" t="str">
        <f>IF(IFERROR(INDEX(customers!C$1:C$1001, MATCH(C695, customers!A$1:A$1001, 0)), "Not Found")=0,"",IFERROR(INDEX(customers!C$1:C$1001, MATCH(C695, customers!A$1:A$1001, 0)), "Not Found"))</f>
        <v>eandriessenj9@europa.eu</v>
      </c>
      <c r="H695" s="2" t="str">
        <f>IFERROR(INDEX(customers!G$1:G$1001, MATCH(C695, customers!A$1:A$1001, 0)), "Not Found")</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L695*E695</f>
        <v>51.749999999999993</v>
      </c>
      <c r="N695" t="str">
        <f>IF(I695="Rob","Robusta",IF(I695="Exc","Excelsa",IF(I695="Ara","Arabica",IF(I695="Lib","Laberica",""))))</f>
        <v>Arabica</v>
      </c>
      <c r="O695" t="str">
        <f t="shared" si="10"/>
        <v>Medium</v>
      </c>
      <c r="P695" t="str">
        <f>INDEX(customers!$I$1:$I$1001, MATCH(Orders[[#This Row],[Customer ID]], customers!$A$1:$A$1001, 0))</f>
        <v>Yes</v>
      </c>
    </row>
    <row r="696" spans="1:16" x14ac:dyDescent="0.25">
      <c r="A696" s="2" t="s">
        <v>4411</v>
      </c>
      <c r="B696" s="3">
        <v>43915</v>
      </c>
      <c r="C696" s="2" t="s">
        <v>4412</v>
      </c>
      <c r="D696" t="s">
        <v>6144</v>
      </c>
      <c r="E696" s="2">
        <v>5</v>
      </c>
      <c r="F696" s="2" t="str">
        <f>IFERROR(INDEX(customers!B$1:B$1001, MATCH(C696, customers!A$1:A$1001, 0)), "Not Found")</f>
        <v>Roxie Deaconson</v>
      </c>
      <c r="G696" s="2" t="str">
        <f>IF(IFERROR(INDEX(customers!C$1:C$1001, MATCH(C696, customers!A$1:A$1001, 0)), "Not Found")=0,"",IFERROR(INDEX(customers!C$1:C$1001, MATCH(C696, customers!A$1:A$1001, 0)), "Not Found"))</f>
        <v>rdeaconsonja@archive.org</v>
      </c>
      <c r="H696" s="2" t="str">
        <f>IFERROR(INDEX(customers!G$1:G$1001, MATCH(C696, customers!A$1:A$1001, 0)), "Not Found")</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L696*E696</f>
        <v>36.450000000000003</v>
      </c>
      <c r="N696" t="str">
        <f>IF(I696="Rob","Robusta",IF(I696="Exc","Excelsa",IF(I696="Ara","Arabica",IF(I696="Lib","Laberica",""))))</f>
        <v>Excelsa</v>
      </c>
      <c r="O696" t="str">
        <f t="shared" si="10"/>
        <v>Dark</v>
      </c>
      <c r="P696" t="str">
        <f>INDEX(customers!$I$1:$I$1001, MATCH(Orders[[#This Row],[Customer ID]], customers!$A$1:$A$1001, 0))</f>
        <v>No</v>
      </c>
    </row>
    <row r="697" spans="1:16" x14ac:dyDescent="0.25">
      <c r="A697" s="2" t="s">
        <v>4417</v>
      </c>
      <c r="B697" s="3">
        <v>44300</v>
      </c>
      <c r="C697" s="2" t="s">
        <v>4418</v>
      </c>
      <c r="D697" t="s">
        <v>6164</v>
      </c>
      <c r="E697" s="2">
        <v>5</v>
      </c>
      <c r="F697" s="2" t="str">
        <f>IFERROR(INDEX(customers!B$1:B$1001, MATCH(C697, customers!A$1:A$1001, 0)), "Not Found")</f>
        <v>Davida Caro</v>
      </c>
      <c r="G697" s="2" t="str">
        <f>IF(IFERROR(INDEX(customers!C$1:C$1001, MATCH(C697, customers!A$1:A$1001, 0)), "Not Found")=0,"",IFERROR(INDEX(customers!C$1:C$1001, MATCH(C697, customers!A$1:A$1001, 0)), "Not Found"))</f>
        <v>dcarojb@twitter.com</v>
      </c>
      <c r="H697" s="2" t="str">
        <f>IFERROR(INDEX(customers!G$1:G$1001, MATCH(C697, customers!A$1:A$1001, 0)), "Not Found")</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L697*E697</f>
        <v>182.27499999999998</v>
      </c>
      <c r="N697" t="str">
        <f>IF(I697="Rob","Robusta",IF(I697="Exc","Excelsa",IF(I697="Ara","Arabica",IF(I697="Lib","Laberica",""))))</f>
        <v>Laberica</v>
      </c>
      <c r="O697" t="str">
        <f t="shared" si="10"/>
        <v>Light</v>
      </c>
      <c r="P697" t="str">
        <f>INDEX(customers!$I$1:$I$1001, MATCH(Orders[[#This Row],[Customer ID]], customers!$A$1:$A$1001, 0))</f>
        <v>Yes</v>
      </c>
    </row>
    <row r="698" spans="1:16" x14ac:dyDescent="0.25">
      <c r="A698" s="2" t="s">
        <v>4423</v>
      </c>
      <c r="B698" s="3">
        <v>43693</v>
      </c>
      <c r="C698" s="2" t="s">
        <v>4424</v>
      </c>
      <c r="D698" t="s">
        <v>6169</v>
      </c>
      <c r="E698" s="2">
        <v>4</v>
      </c>
      <c r="F698" s="2" t="str">
        <f>IFERROR(INDEX(customers!B$1:B$1001, MATCH(C698, customers!A$1:A$1001, 0)), "Not Found")</f>
        <v>Johna Bluck</v>
      </c>
      <c r="G698" s="2" t="str">
        <f>IF(IFERROR(INDEX(customers!C$1:C$1001, MATCH(C698, customers!A$1:A$1001, 0)), "Not Found")=0,"",IFERROR(INDEX(customers!C$1:C$1001, MATCH(C698, customers!A$1:A$1001, 0)), "Not Found"))</f>
        <v>jbluckjc@imageshack.us</v>
      </c>
      <c r="H698" s="2" t="str">
        <f>IFERROR(INDEX(customers!G$1:G$1001, MATCH(C698, customers!A$1:A$1001, 0)), "Not Found")</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L698*E698</f>
        <v>31.08</v>
      </c>
      <c r="N698" t="str">
        <f>IF(I698="Rob","Robusta",IF(I698="Exc","Excelsa",IF(I698="Ara","Arabica",IF(I698="Lib","Laberica",""))))</f>
        <v>Laberica</v>
      </c>
      <c r="O698" t="str">
        <f t="shared" si="10"/>
        <v>Dark</v>
      </c>
      <c r="P698" t="str">
        <f>INDEX(customers!$I$1:$I$1001, MATCH(Orders[[#This Row],[Customer ID]], customers!$A$1:$A$1001, 0))</f>
        <v>No</v>
      </c>
    </row>
    <row r="699" spans="1:16" x14ac:dyDescent="0.25">
      <c r="A699" s="2" t="s">
        <v>4429</v>
      </c>
      <c r="B699" s="3">
        <v>44547</v>
      </c>
      <c r="C699" s="2" t="s">
        <v>4430</v>
      </c>
      <c r="D699" t="s">
        <v>6157</v>
      </c>
      <c r="E699" s="2">
        <v>3</v>
      </c>
      <c r="F699" s="2" t="str">
        <f>IFERROR(INDEX(customers!B$1:B$1001, MATCH(C699, customers!A$1:A$1001, 0)), "Not Found")</f>
        <v>Myrle Dearden</v>
      </c>
      <c r="G699" s="2" t="str">
        <f>IF(IFERROR(INDEX(customers!C$1:C$1001, MATCH(C699, customers!A$1:A$1001, 0)), "Not Found")=0,"",IFERROR(INDEX(customers!C$1:C$1001, MATCH(C699, customers!A$1:A$1001, 0)), "Not Found"))</f>
        <v/>
      </c>
      <c r="H699" s="2" t="str">
        <f>IFERROR(INDEX(customers!G$1:G$1001, MATCH(C699, customers!A$1:A$1001, 0)), "Not Found")</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L699*E699</f>
        <v>20.25</v>
      </c>
      <c r="N699" t="str">
        <f>IF(I699="Rob","Robusta",IF(I699="Exc","Excelsa",IF(I699="Ara","Arabica",IF(I699="Lib","Laberica",""))))</f>
        <v>Arabica</v>
      </c>
      <c r="O699" t="str">
        <f t="shared" si="10"/>
        <v>Medium</v>
      </c>
      <c r="P699" t="str">
        <f>INDEX(customers!$I$1:$I$1001, MATCH(Orders[[#This Row],[Customer ID]], customers!$A$1:$A$1001, 0))</f>
        <v>No</v>
      </c>
    </row>
    <row r="700" spans="1:16" x14ac:dyDescent="0.25">
      <c r="A700" s="2" t="s">
        <v>4433</v>
      </c>
      <c r="B700" s="3">
        <v>43830</v>
      </c>
      <c r="C700" s="2" t="s">
        <v>4434</v>
      </c>
      <c r="D700" t="s">
        <v>6143</v>
      </c>
      <c r="E700" s="2">
        <v>2</v>
      </c>
      <c r="F700" s="2" t="str">
        <f>IFERROR(INDEX(customers!B$1:B$1001, MATCH(C700, customers!A$1:A$1001, 0)), "Not Found")</f>
        <v>Jimmy Dymoke</v>
      </c>
      <c r="G700" s="2" t="str">
        <f>IF(IFERROR(INDEX(customers!C$1:C$1001, MATCH(C700, customers!A$1:A$1001, 0)), "Not Found")=0,"",IFERROR(INDEX(customers!C$1:C$1001, MATCH(C700, customers!A$1:A$1001, 0)), "Not Found"))</f>
        <v>jdymokeje@prnewswire.com</v>
      </c>
      <c r="H700" s="2" t="str">
        <f>IFERROR(INDEX(customers!G$1:G$1001, MATCH(C700, customers!A$1:A$1001, 0)), "Not Found")</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L700*E700</f>
        <v>25.9</v>
      </c>
      <c r="N700" t="str">
        <f>IF(I700="Rob","Robusta",IF(I700="Exc","Excelsa",IF(I700="Ara","Arabica",IF(I700="Lib","Laberica",""))))</f>
        <v>Laberica</v>
      </c>
      <c r="O700" t="str">
        <f t="shared" si="10"/>
        <v>Dark</v>
      </c>
      <c r="P700" t="str">
        <f>INDEX(customers!$I$1:$I$1001, MATCH(Orders[[#This Row],[Customer ID]], customers!$A$1:$A$1001, 0))</f>
        <v>No</v>
      </c>
    </row>
    <row r="701" spans="1:16" x14ac:dyDescent="0.25">
      <c r="A701" s="2" t="s">
        <v>4439</v>
      </c>
      <c r="B701" s="3">
        <v>44298</v>
      </c>
      <c r="C701" s="2" t="s">
        <v>4440</v>
      </c>
      <c r="D701" t="s">
        <v>6158</v>
      </c>
      <c r="E701" s="2">
        <v>4</v>
      </c>
      <c r="F701" s="2" t="str">
        <f>IFERROR(INDEX(customers!B$1:B$1001, MATCH(C701, customers!A$1:A$1001, 0)), "Not Found")</f>
        <v>Orland Tadman</v>
      </c>
      <c r="G701" s="2" t="str">
        <f>IF(IFERROR(INDEX(customers!C$1:C$1001, MATCH(C701, customers!A$1:A$1001, 0)), "Not Found")=0,"",IFERROR(INDEX(customers!C$1:C$1001, MATCH(C701, customers!A$1:A$1001, 0)), "Not Found"))</f>
        <v>otadmanjf@ft.com</v>
      </c>
      <c r="H701" s="2" t="str">
        <f>IFERROR(INDEX(customers!G$1:G$1001, MATCH(C701, customers!A$1:A$1001, 0)), "Not Found")</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L701*E701</f>
        <v>23.88</v>
      </c>
      <c r="N701" t="str">
        <f>IF(I701="Rob","Robusta",IF(I701="Exc","Excelsa",IF(I701="Ara","Arabica",IF(I701="Lib","Laberica",""))))</f>
        <v>Arabica</v>
      </c>
      <c r="O701" t="str">
        <f t="shared" si="10"/>
        <v>Dark</v>
      </c>
      <c r="P701" t="str">
        <f>INDEX(customers!$I$1:$I$1001, MATCH(Orders[[#This Row],[Customer ID]], customers!$A$1:$A$1001, 0))</f>
        <v>Yes</v>
      </c>
    </row>
    <row r="702" spans="1:16" x14ac:dyDescent="0.25">
      <c r="A702" s="2" t="s">
        <v>4445</v>
      </c>
      <c r="B702" s="3">
        <v>43736</v>
      </c>
      <c r="C702" s="2" t="s">
        <v>4446</v>
      </c>
      <c r="D702" t="s">
        <v>6161</v>
      </c>
      <c r="E702" s="2">
        <v>2</v>
      </c>
      <c r="F702" s="2" t="str">
        <f>IFERROR(INDEX(customers!B$1:B$1001, MATCH(C702, customers!A$1:A$1001, 0)), "Not Found")</f>
        <v>Barrett Gudde</v>
      </c>
      <c r="G702" s="2" t="str">
        <f>IF(IFERROR(INDEX(customers!C$1:C$1001, MATCH(C702, customers!A$1:A$1001, 0)), "Not Found")=0,"",IFERROR(INDEX(customers!C$1:C$1001, MATCH(C702, customers!A$1:A$1001, 0)), "Not Found"))</f>
        <v>bguddejg@dailymotion.com</v>
      </c>
      <c r="H702" s="2" t="str">
        <f>IFERROR(INDEX(customers!G$1:G$1001, MATCH(C702, customers!A$1:A$1001, 0)), "Not Found")</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L702*E702</f>
        <v>19.02</v>
      </c>
      <c r="N702" t="str">
        <f>IF(I702="Rob","Robusta",IF(I702="Exc","Excelsa",IF(I702="Ara","Arabica",IF(I702="Lib","Laberica",""))))</f>
        <v>Laberica</v>
      </c>
      <c r="O702" t="str">
        <f t="shared" si="10"/>
        <v>Light</v>
      </c>
      <c r="P702" t="str">
        <f>INDEX(customers!$I$1:$I$1001, MATCH(Orders[[#This Row],[Customer ID]], customers!$A$1:$A$1001, 0))</f>
        <v>No</v>
      </c>
    </row>
    <row r="703" spans="1:16" x14ac:dyDescent="0.25">
      <c r="A703" s="2" t="s">
        <v>4450</v>
      </c>
      <c r="B703" s="3">
        <v>44727</v>
      </c>
      <c r="C703" s="2" t="s">
        <v>4451</v>
      </c>
      <c r="D703" t="s">
        <v>6158</v>
      </c>
      <c r="E703" s="2">
        <v>5</v>
      </c>
      <c r="F703" s="2" t="str">
        <f>IFERROR(INDEX(customers!B$1:B$1001, MATCH(C703, customers!A$1:A$1001, 0)), "Not Found")</f>
        <v>Nathan Sictornes</v>
      </c>
      <c r="G703" s="2" t="str">
        <f>IF(IFERROR(INDEX(customers!C$1:C$1001, MATCH(C703, customers!A$1:A$1001, 0)), "Not Found")=0,"",IFERROR(INDEX(customers!C$1:C$1001, MATCH(C703, customers!A$1:A$1001, 0)), "Not Found"))</f>
        <v>nsictornesjh@buzzfeed.com</v>
      </c>
      <c r="H703" s="2" t="str">
        <f>IFERROR(INDEX(customers!G$1:G$1001, MATCH(C703, customers!A$1:A$1001, 0)), "Not Found")</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L703*E703</f>
        <v>29.849999999999998</v>
      </c>
      <c r="N703" t="str">
        <f>IF(I703="Rob","Robusta",IF(I703="Exc","Excelsa",IF(I703="Ara","Arabica",IF(I703="Lib","Laberica",""))))</f>
        <v>Arabica</v>
      </c>
      <c r="O703" t="str">
        <f t="shared" si="10"/>
        <v>Dark</v>
      </c>
      <c r="P703" t="str">
        <f>INDEX(customers!$I$1:$I$1001, MATCH(Orders[[#This Row],[Customer ID]], customers!$A$1:$A$1001, 0))</f>
        <v>Yes</v>
      </c>
    </row>
    <row r="704" spans="1:16" x14ac:dyDescent="0.25">
      <c r="A704" s="2" t="s">
        <v>4456</v>
      </c>
      <c r="B704" s="3">
        <v>43661</v>
      </c>
      <c r="C704" s="2" t="s">
        <v>4457</v>
      </c>
      <c r="D704" t="s">
        <v>6180</v>
      </c>
      <c r="E704" s="2">
        <v>1</v>
      </c>
      <c r="F704" s="2" t="str">
        <f>IFERROR(INDEX(customers!B$1:B$1001, MATCH(C704, customers!A$1:A$1001, 0)), "Not Found")</f>
        <v>Vivyan Dunning</v>
      </c>
      <c r="G704" s="2" t="str">
        <f>IF(IFERROR(INDEX(customers!C$1:C$1001, MATCH(C704, customers!A$1:A$1001, 0)), "Not Found")=0,"",IFERROR(INDEX(customers!C$1:C$1001, MATCH(C704, customers!A$1:A$1001, 0)), "Not Found"))</f>
        <v>vdunningji@independent.co.uk</v>
      </c>
      <c r="H704" s="2" t="str">
        <f>IFERROR(INDEX(customers!G$1:G$1001, MATCH(C704, customers!A$1:A$1001, 0)), "Not Found")</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L704*E704</f>
        <v>7.77</v>
      </c>
      <c r="N704" t="str">
        <f>IF(I704="Rob","Robusta",IF(I704="Exc","Excelsa",IF(I704="Ara","Arabica",IF(I704="Lib","Laberica",""))))</f>
        <v>Arabica</v>
      </c>
      <c r="O704" t="str">
        <f t="shared" si="10"/>
        <v>Light</v>
      </c>
      <c r="P704" t="str">
        <f>INDEX(customers!$I$1:$I$1001, MATCH(Orders[[#This Row],[Customer ID]], customers!$A$1:$A$1001, 0))</f>
        <v>Yes</v>
      </c>
    </row>
    <row r="705" spans="1:16" x14ac:dyDescent="0.25">
      <c r="A705" s="2" t="s">
        <v>4461</v>
      </c>
      <c r="B705" s="3">
        <v>43506</v>
      </c>
      <c r="C705" s="2" t="s">
        <v>4462</v>
      </c>
      <c r="D705" t="s">
        <v>6165</v>
      </c>
      <c r="E705" s="2">
        <v>4</v>
      </c>
      <c r="F705" s="2" t="str">
        <f>IFERROR(INDEX(customers!B$1:B$1001, MATCH(C705, customers!A$1:A$1001, 0)), "Not Found")</f>
        <v>Doralin Baison</v>
      </c>
      <c r="G705" s="2" t="str">
        <f>IF(IFERROR(INDEX(customers!C$1:C$1001, MATCH(C705, customers!A$1:A$1001, 0)), "Not Found")=0,"",IFERROR(INDEX(customers!C$1:C$1001, MATCH(C705, customers!A$1:A$1001, 0)), "Not Found"))</f>
        <v/>
      </c>
      <c r="H705" s="2" t="str">
        <f>IFERROR(INDEX(customers!G$1:G$1001, MATCH(C705, customers!A$1:A$1001, 0)), "Not Found")</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L705*E705</f>
        <v>119.13999999999999</v>
      </c>
      <c r="N705" t="str">
        <f>IF(I705="Rob","Robusta",IF(I705="Exc","Excelsa",IF(I705="Ara","Arabica",IF(I705="Lib","Laberica",""))))</f>
        <v>Laberica</v>
      </c>
      <c r="O705" t="str">
        <f t="shared" si="10"/>
        <v>Dark</v>
      </c>
      <c r="P705" t="str">
        <f>INDEX(customers!$I$1:$I$1001, MATCH(Orders[[#This Row],[Customer ID]], customers!$A$1:$A$1001, 0))</f>
        <v>Yes</v>
      </c>
    </row>
    <row r="706" spans="1:16" x14ac:dyDescent="0.25">
      <c r="A706" s="2" t="s">
        <v>4466</v>
      </c>
      <c r="B706" s="3">
        <v>44716</v>
      </c>
      <c r="C706" s="2" t="s">
        <v>4467</v>
      </c>
      <c r="D706" t="s">
        <v>6153</v>
      </c>
      <c r="E706" s="2">
        <v>6</v>
      </c>
      <c r="F706" s="2" t="str">
        <f>IFERROR(INDEX(customers!B$1:B$1001, MATCH(C706, customers!A$1:A$1001, 0)), "Not Found")</f>
        <v>Josefina Ferens</v>
      </c>
      <c r="G706" s="2" t="str">
        <f>IF(IFERROR(INDEX(customers!C$1:C$1001, MATCH(C706, customers!A$1:A$1001, 0)), "Not Found")=0,"",IFERROR(INDEX(customers!C$1:C$1001, MATCH(C706, customers!A$1:A$1001, 0)), "Not Found"))</f>
        <v/>
      </c>
      <c r="H706" s="2" t="str">
        <f>IFERROR(INDEX(customers!G$1:G$1001, MATCH(C706, customers!A$1:A$1001, 0)), "Not Found")</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L706*E706</f>
        <v>21.87</v>
      </c>
      <c r="N706" t="str">
        <f>IF(I706="Rob","Robusta",IF(I706="Exc","Excelsa",IF(I706="Ara","Arabica",IF(I706="Lib","Laberica",""))))</f>
        <v>Excelsa</v>
      </c>
      <c r="O706" t="str">
        <f t="shared" si="10"/>
        <v>Dark</v>
      </c>
      <c r="P706" t="str">
        <f>INDEX(customers!$I$1:$I$1001, MATCH(Orders[[#This Row],[Customer ID]], customers!$A$1:$A$1001, 0))</f>
        <v>Yes</v>
      </c>
    </row>
    <row r="707" spans="1:16" x14ac:dyDescent="0.25">
      <c r="A707" s="2" t="s">
        <v>4471</v>
      </c>
      <c r="B707" s="3">
        <v>44114</v>
      </c>
      <c r="C707" s="2" t="s">
        <v>4472</v>
      </c>
      <c r="D707" t="s">
        <v>6176</v>
      </c>
      <c r="E707" s="2">
        <v>2</v>
      </c>
      <c r="F707" s="2" t="str">
        <f>IFERROR(INDEX(customers!B$1:B$1001, MATCH(C707, customers!A$1:A$1001, 0)), "Not Found")</f>
        <v>Shelley Gehring</v>
      </c>
      <c r="G707" s="2" t="str">
        <f>IF(IFERROR(INDEX(customers!C$1:C$1001, MATCH(C707, customers!A$1:A$1001, 0)), "Not Found")=0,"",IFERROR(INDEX(customers!C$1:C$1001, MATCH(C707, customers!A$1:A$1001, 0)), "Not Found"))</f>
        <v>sgehringjl@gnu.org</v>
      </c>
      <c r="H707" s="2" t="str">
        <f>IFERROR(INDEX(customers!G$1:G$1001, MATCH(C707, customers!A$1:A$1001, 0)), "Not Found")</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L707*E707</f>
        <v>17.82</v>
      </c>
      <c r="N707" t="str">
        <f>IF(I707="Rob","Robusta",IF(I707="Exc","Excelsa",IF(I707="Ara","Arabica",IF(I707="Lib","Laberica",""))))</f>
        <v>Excelsa</v>
      </c>
      <c r="O707" t="str">
        <f t="shared" ref="O707:O770" si="11">IF(J707="M","Medium",IF(J707="L","Light",IF(J707="D","Dark","")))</f>
        <v>Light</v>
      </c>
      <c r="P707" t="str">
        <f>INDEX(customers!$I$1:$I$1001, MATCH(Orders[[#This Row],[Customer ID]], customers!$A$1:$A$1001, 0))</f>
        <v>No</v>
      </c>
    </row>
    <row r="708" spans="1:16" x14ac:dyDescent="0.25">
      <c r="A708" s="2" t="s">
        <v>4477</v>
      </c>
      <c r="B708" s="3">
        <v>44353</v>
      </c>
      <c r="C708" s="2" t="s">
        <v>4478</v>
      </c>
      <c r="D708" t="s">
        <v>6156</v>
      </c>
      <c r="E708" s="2">
        <v>3</v>
      </c>
      <c r="F708" s="2" t="str">
        <f>IFERROR(INDEX(customers!B$1:B$1001, MATCH(C708, customers!A$1:A$1001, 0)), "Not Found")</f>
        <v>Barrie Fallowes</v>
      </c>
      <c r="G708" s="2" t="str">
        <f>IF(IFERROR(INDEX(customers!C$1:C$1001, MATCH(C708, customers!A$1:A$1001, 0)), "Not Found")=0,"",IFERROR(INDEX(customers!C$1:C$1001, MATCH(C708, customers!A$1:A$1001, 0)), "Not Found"))</f>
        <v>bfallowesjm@purevolume.com</v>
      </c>
      <c r="H708" s="2" t="str">
        <f>IFERROR(INDEX(customers!G$1:G$1001, MATCH(C708, customers!A$1:A$1001, 0)), "Not Found")</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L708*E708</f>
        <v>12.375</v>
      </c>
      <c r="N708" t="str">
        <f>IF(I708="Rob","Robusta",IF(I708="Exc","Excelsa",IF(I708="Ara","Arabica",IF(I708="Lib","Laberica",""))))</f>
        <v>Excelsa</v>
      </c>
      <c r="O708" t="str">
        <f t="shared" si="11"/>
        <v>Medium</v>
      </c>
      <c r="P708" t="str">
        <f>INDEX(customers!$I$1:$I$1001, MATCH(Orders[[#This Row],[Customer ID]], customers!$A$1:$A$1001, 0))</f>
        <v>No</v>
      </c>
    </row>
    <row r="709" spans="1:16" x14ac:dyDescent="0.25">
      <c r="A709" s="2" t="s">
        <v>4483</v>
      </c>
      <c r="B709" s="3">
        <v>43540</v>
      </c>
      <c r="C709" s="2" t="s">
        <v>4484</v>
      </c>
      <c r="D709" t="s">
        <v>6143</v>
      </c>
      <c r="E709" s="2">
        <v>2</v>
      </c>
      <c r="F709" s="2" t="str">
        <f>IFERROR(INDEX(customers!B$1:B$1001, MATCH(C709, customers!A$1:A$1001, 0)), "Not Found")</f>
        <v>Nicolas Aiton</v>
      </c>
      <c r="G709" s="2" t="str">
        <f>IF(IFERROR(INDEX(customers!C$1:C$1001, MATCH(C709, customers!A$1:A$1001, 0)), "Not Found")=0,"",IFERROR(INDEX(customers!C$1:C$1001, MATCH(C709, customers!A$1:A$1001, 0)), "Not Found"))</f>
        <v/>
      </c>
      <c r="H709" s="2" t="str">
        <f>IFERROR(INDEX(customers!G$1:G$1001, MATCH(C709, customers!A$1:A$1001, 0)), "Not Found")</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L709*E709</f>
        <v>25.9</v>
      </c>
      <c r="N709" t="str">
        <f>IF(I709="Rob","Robusta",IF(I709="Exc","Excelsa",IF(I709="Ara","Arabica",IF(I709="Lib","Laberica",""))))</f>
        <v>Laberica</v>
      </c>
      <c r="O709" t="str">
        <f t="shared" si="11"/>
        <v>Dark</v>
      </c>
      <c r="P709" t="str">
        <f>INDEX(customers!$I$1:$I$1001, MATCH(Orders[[#This Row],[Customer ID]], customers!$A$1:$A$1001, 0))</f>
        <v>No</v>
      </c>
    </row>
    <row r="710" spans="1:16" x14ac:dyDescent="0.25">
      <c r="A710" s="2" t="s">
        <v>4488</v>
      </c>
      <c r="B710" s="3">
        <v>43804</v>
      </c>
      <c r="C710" s="2" t="s">
        <v>4489</v>
      </c>
      <c r="D710" t="s">
        <v>6157</v>
      </c>
      <c r="E710" s="2">
        <v>2</v>
      </c>
      <c r="F710" s="2" t="str">
        <f>IFERROR(INDEX(customers!B$1:B$1001, MATCH(C710, customers!A$1:A$1001, 0)), "Not Found")</f>
        <v>Shelli De Banke</v>
      </c>
      <c r="G710" s="2" t="str">
        <f>IF(IFERROR(INDEX(customers!C$1:C$1001, MATCH(C710, customers!A$1:A$1001, 0)), "Not Found")=0,"",IFERROR(INDEX(customers!C$1:C$1001, MATCH(C710, customers!A$1:A$1001, 0)), "Not Found"))</f>
        <v>sdejo@newsvine.com</v>
      </c>
      <c r="H710" s="2" t="str">
        <f>IFERROR(INDEX(customers!G$1:G$1001, MATCH(C710, customers!A$1:A$1001, 0)), "Not Found")</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L710*E710</f>
        <v>13.5</v>
      </c>
      <c r="N710" t="str">
        <f>IF(I710="Rob","Robusta",IF(I710="Exc","Excelsa",IF(I710="Ara","Arabica",IF(I710="Lib","Laberica",""))))</f>
        <v>Arabica</v>
      </c>
      <c r="O710" t="str">
        <f t="shared" si="11"/>
        <v>Medium</v>
      </c>
      <c r="P710" t="str">
        <f>INDEX(customers!$I$1:$I$1001, MATCH(Orders[[#This Row],[Customer ID]], customers!$A$1:$A$1001, 0))</f>
        <v>Yes</v>
      </c>
    </row>
    <row r="711" spans="1:16" x14ac:dyDescent="0.25">
      <c r="A711" s="2" t="s">
        <v>4494</v>
      </c>
      <c r="B711" s="3">
        <v>43485</v>
      </c>
      <c r="C711" s="2" t="s">
        <v>4495</v>
      </c>
      <c r="D711" t="s">
        <v>6176</v>
      </c>
      <c r="E711" s="2">
        <v>2</v>
      </c>
      <c r="F711" s="2" t="str">
        <f>IFERROR(INDEX(customers!B$1:B$1001, MATCH(C711, customers!A$1:A$1001, 0)), "Not Found")</f>
        <v>Lyell Murch</v>
      </c>
      <c r="G711" s="2" t="str">
        <f>IF(IFERROR(INDEX(customers!C$1:C$1001, MATCH(C711, customers!A$1:A$1001, 0)), "Not Found")=0,"",IFERROR(INDEX(customers!C$1:C$1001, MATCH(C711, customers!A$1:A$1001, 0)), "Not Found"))</f>
        <v/>
      </c>
      <c r="H711" s="2" t="str">
        <f>IFERROR(INDEX(customers!G$1:G$1001, MATCH(C711, customers!A$1:A$1001, 0)), "Not Found")</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L711*E711</f>
        <v>17.82</v>
      </c>
      <c r="N711" t="str">
        <f>IF(I711="Rob","Robusta",IF(I711="Exc","Excelsa",IF(I711="Ara","Arabica",IF(I711="Lib","Laberica",""))))</f>
        <v>Excelsa</v>
      </c>
      <c r="O711" t="str">
        <f t="shared" si="11"/>
        <v>Light</v>
      </c>
      <c r="P711" t="str">
        <f>INDEX(customers!$I$1:$I$1001, MATCH(Orders[[#This Row],[Customer ID]], customers!$A$1:$A$1001, 0))</f>
        <v>Yes</v>
      </c>
    </row>
    <row r="712" spans="1:16" x14ac:dyDescent="0.25">
      <c r="A712" s="2" t="s">
        <v>4499</v>
      </c>
      <c r="B712" s="3">
        <v>44655</v>
      </c>
      <c r="C712" s="2" t="s">
        <v>4500</v>
      </c>
      <c r="D712" t="s">
        <v>6139</v>
      </c>
      <c r="E712" s="2">
        <v>3</v>
      </c>
      <c r="F712" s="2" t="str">
        <f>IFERROR(INDEX(customers!B$1:B$1001, MATCH(C712, customers!A$1:A$1001, 0)), "Not Found")</f>
        <v>Stearne Count</v>
      </c>
      <c r="G712" s="2" t="str">
        <f>IF(IFERROR(INDEX(customers!C$1:C$1001, MATCH(C712, customers!A$1:A$1001, 0)), "Not Found")=0,"",IFERROR(INDEX(customers!C$1:C$1001, MATCH(C712, customers!A$1:A$1001, 0)), "Not Found"))</f>
        <v>scountjq@nba.com</v>
      </c>
      <c r="H712" s="2" t="str">
        <f>IFERROR(INDEX(customers!G$1:G$1001, MATCH(C712, customers!A$1:A$1001, 0)), "Not Found")</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L712*E712</f>
        <v>24.75</v>
      </c>
      <c r="N712" t="str">
        <f>IF(I712="Rob","Robusta",IF(I712="Exc","Excelsa",IF(I712="Ara","Arabica",IF(I712="Lib","Laberica",""))))</f>
        <v>Excelsa</v>
      </c>
      <c r="O712" t="str">
        <f t="shared" si="11"/>
        <v>Medium</v>
      </c>
      <c r="P712" t="str">
        <f>INDEX(customers!$I$1:$I$1001, MATCH(Orders[[#This Row],[Customer ID]], customers!$A$1:$A$1001, 0))</f>
        <v>No</v>
      </c>
    </row>
    <row r="713" spans="1:16" x14ac:dyDescent="0.25">
      <c r="A713" s="2" t="s">
        <v>4505</v>
      </c>
      <c r="B713" s="3">
        <v>44600</v>
      </c>
      <c r="C713" s="2" t="s">
        <v>4506</v>
      </c>
      <c r="D713" t="s">
        <v>6174</v>
      </c>
      <c r="E713" s="2">
        <v>6</v>
      </c>
      <c r="F713" s="2" t="str">
        <f>IFERROR(INDEX(customers!B$1:B$1001, MATCH(C713, customers!A$1:A$1001, 0)), "Not Found")</f>
        <v>Selia Ragles</v>
      </c>
      <c r="G713" s="2" t="str">
        <f>IF(IFERROR(INDEX(customers!C$1:C$1001, MATCH(C713, customers!A$1:A$1001, 0)), "Not Found")=0,"",IFERROR(INDEX(customers!C$1:C$1001, MATCH(C713, customers!A$1:A$1001, 0)), "Not Found"))</f>
        <v>sraglesjr@blogtalkradio.com</v>
      </c>
      <c r="H713" s="2" t="str">
        <f>IFERROR(INDEX(customers!G$1:G$1001, MATCH(C713, customers!A$1:A$1001, 0)), "Not Found")</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L713*E713</f>
        <v>17.91</v>
      </c>
      <c r="N713" t="str">
        <f>IF(I713="Rob","Robusta",IF(I713="Exc","Excelsa",IF(I713="Ara","Arabica",IF(I713="Lib","Laberica",""))))</f>
        <v>Robusta</v>
      </c>
      <c r="O713" t="str">
        <f t="shared" si="11"/>
        <v>Medium</v>
      </c>
      <c r="P713" t="str">
        <f>INDEX(customers!$I$1:$I$1001, MATCH(Orders[[#This Row],[Customer ID]], customers!$A$1:$A$1001, 0))</f>
        <v>No</v>
      </c>
    </row>
    <row r="714" spans="1:16" x14ac:dyDescent="0.25">
      <c r="A714" s="2" t="s">
        <v>4512</v>
      </c>
      <c r="B714" s="3">
        <v>43646</v>
      </c>
      <c r="C714" s="2" t="s">
        <v>4513</v>
      </c>
      <c r="D714" t="s">
        <v>6139</v>
      </c>
      <c r="E714" s="2">
        <v>2</v>
      </c>
      <c r="F714" s="2" t="str">
        <f>IFERROR(INDEX(customers!B$1:B$1001, MATCH(C714, customers!A$1:A$1001, 0)), "Not Found")</f>
        <v>Silas Deehan</v>
      </c>
      <c r="G714" s="2" t="str">
        <f>IF(IFERROR(INDEX(customers!C$1:C$1001, MATCH(C714, customers!A$1:A$1001, 0)), "Not Found")=0,"",IFERROR(INDEX(customers!C$1:C$1001, MATCH(C714, customers!A$1:A$1001, 0)), "Not Found"))</f>
        <v/>
      </c>
      <c r="H714" s="2" t="str">
        <f>IFERROR(INDEX(customers!G$1:G$1001, MATCH(C714, customers!A$1:A$1001, 0)), "Not Found")</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L714*E714</f>
        <v>16.5</v>
      </c>
      <c r="N714" t="str">
        <f>IF(I714="Rob","Robusta",IF(I714="Exc","Excelsa",IF(I714="Ara","Arabica",IF(I714="Lib","Laberica",""))))</f>
        <v>Excelsa</v>
      </c>
      <c r="O714" t="str">
        <f t="shared" si="11"/>
        <v>Medium</v>
      </c>
      <c r="P714" t="str">
        <f>INDEX(customers!$I$1:$I$1001, MATCH(Orders[[#This Row],[Customer ID]], customers!$A$1:$A$1001, 0))</f>
        <v>No</v>
      </c>
    </row>
    <row r="715" spans="1:16" x14ac:dyDescent="0.25">
      <c r="A715" s="2" t="s">
        <v>4516</v>
      </c>
      <c r="B715" s="3">
        <v>43960</v>
      </c>
      <c r="C715" s="2" t="s">
        <v>4517</v>
      </c>
      <c r="D715" t="s">
        <v>6174</v>
      </c>
      <c r="E715" s="2">
        <v>1</v>
      </c>
      <c r="F715" s="2" t="str">
        <f>IFERROR(INDEX(customers!B$1:B$1001, MATCH(C715, customers!A$1:A$1001, 0)), "Not Found")</f>
        <v>Sacha Bruun</v>
      </c>
      <c r="G715" s="2" t="str">
        <f>IF(IFERROR(INDEX(customers!C$1:C$1001, MATCH(C715, customers!A$1:A$1001, 0)), "Not Found")=0,"",IFERROR(INDEX(customers!C$1:C$1001, MATCH(C715, customers!A$1:A$1001, 0)), "Not Found"))</f>
        <v>sbruunjt@blogtalkradio.com</v>
      </c>
      <c r="H715" s="2" t="str">
        <f>IFERROR(INDEX(customers!G$1:G$1001, MATCH(C715, customers!A$1:A$1001, 0)), "Not Found")</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L715*E715</f>
        <v>2.9849999999999999</v>
      </c>
      <c r="N715" t="str">
        <f>IF(I715="Rob","Robusta",IF(I715="Exc","Excelsa",IF(I715="Ara","Arabica",IF(I715="Lib","Laberica",""))))</f>
        <v>Robusta</v>
      </c>
      <c r="O715" t="str">
        <f t="shared" si="11"/>
        <v>Medium</v>
      </c>
      <c r="P715" t="str">
        <f>INDEX(customers!$I$1:$I$1001, MATCH(Orders[[#This Row],[Customer ID]], customers!$A$1:$A$1001, 0))</f>
        <v>No</v>
      </c>
    </row>
    <row r="716" spans="1:16" x14ac:dyDescent="0.25">
      <c r="A716" s="2" t="s">
        <v>4522</v>
      </c>
      <c r="B716" s="3">
        <v>44358</v>
      </c>
      <c r="C716" s="2" t="s">
        <v>4523</v>
      </c>
      <c r="D716" t="s">
        <v>6153</v>
      </c>
      <c r="E716" s="2">
        <v>4</v>
      </c>
      <c r="F716" s="2" t="str">
        <f>IFERROR(INDEX(customers!B$1:B$1001, MATCH(C716, customers!A$1:A$1001, 0)), "Not Found")</f>
        <v>Alon Pllu</v>
      </c>
      <c r="G716" s="2" t="str">
        <f>IF(IFERROR(INDEX(customers!C$1:C$1001, MATCH(C716, customers!A$1:A$1001, 0)), "Not Found")=0,"",IFERROR(INDEX(customers!C$1:C$1001, MATCH(C716, customers!A$1:A$1001, 0)), "Not Found"))</f>
        <v>aplluju@dagondesign.com</v>
      </c>
      <c r="H716" s="2" t="str">
        <f>IFERROR(INDEX(customers!G$1:G$1001, MATCH(C716, customers!A$1:A$1001, 0)), "Not Found")</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L716*E716</f>
        <v>14.58</v>
      </c>
      <c r="N716" t="str">
        <f>IF(I716="Rob","Robusta",IF(I716="Exc","Excelsa",IF(I716="Ara","Arabica",IF(I716="Lib","Laberica",""))))</f>
        <v>Excelsa</v>
      </c>
      <c r="O716" t="str">
        <f t="shared" si="11"/>
        <v>Dark</v>
      </c>
      <c r="P716" t="str">
        <f>INDEX(customers!$I$1:$I$1001, MATCH(Orders[[#This Row],[Customer ID]], customers!$A$1:$A$1001, 0))</f>
        <v>Yes</v>
      </c>
    </row>
    <row r="717" spans="1:16" x14ac:dyDescent="0.25">
      <c r="A717" s="2" t="s">
        <v>4528</v>
      </c>
      <c r="B717" s="3">
        <v>44504</v>
      </c>
      <c r="C717" s="2" t="s">
        <v>4529</v>
      </c>
      <c r="D717" t="s">
        <v>6171</v>
      </c>
      <c r="E717" s="2">
        <v>6</v>
      </c>
      <c r="F717" s="2" t="str">
        <f>IFERROR(INDEX(customers!B$1:B$1001, MATCH(C717, customers!A$1:A$1001, 0)), "Not Found")</f>
        <v>Gilberto Cornier</v>
      </c>
      <c r="G717" s="2" t="str">
        <f>IF(IFERROR(INDEX(customers!C$1:C$1001, MATCH(C717, customers!A$1:A$1001, 0)), "Not Found")=0,"",IFERROR(INDEX(customers!C$1:C$1001, MATCH(C717, customers!A$1:A$1001, 0)), "Not Found"))</f>
        <v>gcornierjv@techcrunch.com</v>
      </c>
      <c r="H717" s="2" t="str">
        <f>IFERROR(INDEX(customers!G$1:G$1001, MATCH(C717, customers!A$1:A$1001, 0)), "Not Found")</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L717*E717</f>
        <v>89.1</v>
      </c>
      <c r="N717" t="str">
        <f>IF(I717="Rob","Robusta",IF(I717="Exc","Excelsa",IF(I717="Ara","Arabica",IF(I717="Lib","Laberica",""))))</f>
        <v>Excelsa</v>
      </c>
      <c r="O717" t="str">
        <f t="shared" si="11"/>
        <v>Light</v>
      </c>
      <c r="P717" t="str">
        <f>INDEX(customers!$I$1:$I$1001, MATCH(Orders[[#This Row],[Customer ID]], customers!$A$1:$A$1001, 0))</f>
        <v>No</v>
      </c>
    </row>
    <row r="718" spans="1:16" x14ac:dyDescent="0.25">
      <c r="A718" s="2" t="s">
        <v>4533</v>
      </c>
      <c r="B718" s="3">
        <v>44612</v>
      </c>
      <c r="C718" s="2" t="s">
        <v>4434</v>
      </c>
      <c r="D718" t="s">
        <v>6179</v>
      </c>
      <c r="E718" s="2">
        <v>3</v>
      </c>
      <c r="F718" s="2" t="str">
        <f>IFERROR(INDEX(customers!B$1:B$1001, MATCH(C718, customers!A$1:A$1001, 0)), "Not Found")</f>
        <v>Jimmy Dymoke</v>
      </c>
      <c r="G718" s="2" t="str">
        <f>IF(IFERROR(INDEX(customers!C$1:C$1001, MATCH(C718, customers!A$1:A$1001, 0)), "Not Found")=0,"",IFERROR(INDEX(customers!C$1:C$1001, MATCH(C718, customers!A$1:A$1001, 0)), "Not Found"))</f>
        <v>jdymokeje@prnewswire.com</v>
      </c>
      <c r="H718" s="2" t="str">
        <f>IFERROR(INDEX(customers!G$1:G$1001, MATCH(C718, customers!A$1:A$1001, 0)), "Not Found")</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L718*E718</f>
        <v>35.849999999999994</v>
      </c>
      <c r="N718" t="str">
        <f>IF(I718="Rob","Robusta",IF(I718="Exc","Excelsa",IF(I718="Ara","Arabica",IF(I718="Lib","Laberica",""))))</f>
        <v>Robusta</v>
      </c>
      <c r="O718" t="str">
        <f t="shared" si="11"/>
        <v>Light</v>
      </c>
      <c r="P718" t="str">
        <f>INDEX(customers!$I$1:$I$1001, MATCH(Orders[[#This Row],[Customer ID]], customers!$A$1:$A$1001, 0))</f>
        <v>No</v>
      </c>
    </row>
    <row r="719" spans="1:16" x14ac:dyDescent="0.25">
      <c r="A719" s="2" t="s">
        <v>4539</v>
      </c>
      <c r="B719" s="3">
        <v>43649</v>
      </c>
      <c r="C719" s="2" t="s">
        <v>4540</v>
      </c>
      <c r="D719" t="s">
        <v>6168</v>
      </c>
      <c r="E719" s="2">
        <v>3</v>
      </c>
      <c r="F719" s="2" t="str">
        <f>IFERROR(INDEX(customers!B$1:B$1001, MATCH(C719, customers!A$1:A$1001, 0)), "Not Found")</f>
        <v>Willabella Harvison</v>
      </c>
      <c r="G719" s="2" t="str">
        <f>IF(IFERROR(INDEX(customers!C$1:C$1001, MATCH(C719, customers!A$1:A$1001, 0)), "Not Found")=0,"",IFERROR(INDEX(customers!C$1:C$1001, MATCH(C719, customers!A$1:A$1001, 0)), "Not Found"))</f>
        <v>wharvisonjx@gizmodo.com</v>
      </c>
      <c r="H719" s="2" t="str">
        <f>IFERROR(INDEX(customers!G$1:G$1001, MATCH(C719, customers!A$1:A$1001, 0)), "Not Found")</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L719*E719</f>
        <v>68.655000000000001</v>
      </c>
      <c r="N719" t="str">
        <f>IF(I719="Rob","Robusta",IF(I719="Exc","Excelsa",IF(I719="Ara","Arabica",IF(I719="Lib","Laberica",""))))</f>
        <v>Arabica</v>
      </c>
      <c r="O719" t="str">
        <f t="shared" si="11"/>
        <v>Dark</v>
      </c>
      <c r="P719" t="str">
        <f>INDEX(customers!$I$1:$I$1001, MATCH(Orders[[#This Row],[Customer ID]], customers!$A$1:$A$1001, 0))</f>
        <v>No</v>
      </c>
    </row>
    <row r="720" spans="1:16" x14ac:dyDescent="0.25">
      <c r="A720" s="2" t="s">
        <v>4545</v>
      </c>
      <c r="B720" s="3">
        <v>44348</v>
      </c>
      <c r="C720" s="2" t="s">
        <v>4546</v>
      </c>
      <c r="D720" t="s">
        <v>6143</v>
      </c>
      <c r="E720" s="2">
        <v>3</v>
      </c>
      <c r="F720" s="2" t="str">
        <f>IFERROR(INDEX(customers!B$1:B$1001, MATCH(C720, customers!A$1:A$1001, 0)), "Not Found")</f>
        <v>Darice Heaford</v>
      </c>
      <c r="G720" s="2" t="str">
        <f>IF(IFERROR(INDEX(customers!C$1:C$1001, MATCH(C720, customers!A$1:A$1001, 0)), "Not Found")=0,"",IFERROR(INDEX(customers!C$1:C$1001, MATCH(C720, customers!A$1:A$1001, 0)), "Not Found"))</f>
        <v>dheafordjy@twitpic.com</v>
      </c>
      <c r="H720" s="2" t="str">
        <f>IFERROR(INDEX(customers!G$1:G$1001, MATCH(C720, customers!A$1:A$1001, 0)), "Not Found")</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L720*E720</f>
        <v>38.849999999999994</v>
      </c>
      <c r="N720" t="str">
        <f>IF(I720="Rob","Robusta",IF(I720="Exc","Excelsa",IF(I720="Ara","Arabica",IF(I720="Lib","Laberica",""))))</f>
        <v>Laberica</v>
      </c>
      <c r="O720" t="str">
        <f t="shared" si="11"/>
        <v>Dark</v>
      </c>
      <c r="P720" t="str">
        <f>INDEX(customers!$I$1:$I$1001, MATCH(Orders[[#This Row],[Customer ID]], customers!$A$1:$A$1001, 0))</f>
        <v>No</v>
      </c>
    </row>
    <row r="721" spans="1:16" x14ac:dyDescent="0.25">
      <c r="A721" s="2" t="s">
        <v>4551</v>
      </c>
      <c r="B721" s="3">
        <v>44150</v>
      </c>
      <c r="C721" s="2" t="s">
        <v>4552</v>
      </c>
      <c r="D721" t="s">
        <v>6170</v>
      </c>
      <c r="E721" s="2">
        <v>5</v>
      </c>
      <c r="F721" s="2" t="str">
        <f>IFERROR(INDEX(customers!B$1:B$1001, MATCH(C721, customers!A$1:A$1001, 0)), "Not Found")</f>
        <v>Granger Fantham</v>
      </c>
      <c r="G721" s="2" t="str">
        <f>IF(IFERROR(INDEX(customers!C$1:C$1001, MATCH(C721, customers!A$1:A$1001, 0)), "Not Found")=0,"",IFERROR(INDEX(customers!C$1:C$1001, MATCH(C721, customers!A$1:A$1001, 0)), "Not Found"))</f>
        <v>gfanthamjz@hexun.com</v>
      </c>
      <c r="H721" s="2" t="str">
        <f>IFERROR(INDEX(customers!G$1:G$1001, MATCH(C721, customers!A$1:A$1001, 0)), "Not Found")</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L721*E721</f>
        <v>79.25</v>
      </c>
      <c r="N721" t="str">
        <f>IF(I721="Rob","Robusta",IF(I721="Exc","Excelsa",IF(I721="Ara","Arabica",IF(I721="Lib","Laberica",""))))</f>
        <v>Laberica</v>
      </c>
      <c r="O721" t="str">
        <f t="shared" si="11"/>
        <v>Light</v>
      </c>
      <c r="P721" t="str">
        <f>INDEX(customers!$I$1:$I$1001, MATCH(Orders[[#This Row],[Customer ID]], customers!$A$1:$A$1001, 0))</f>
        <v>Yes</v>
      </c>
    </row>
    <row r="722" spans="1:16" x14ac:dyDescent="0.25">
      <c r="A722" s="2" t="s">
        <v>4557</v>
      </c>
      <c r="B722" s="3">
        <v>44215</v>
      </c>
      <c r="C722" s="2" t="s">
        <v>4558</v>
      </c>
      <c r="D722" t="s">
        <v>6144</v>
      </c>
      <c r="E722" s="2">
        <v>5</v>
      </c>
      <c r="F722" s="2" t="str">
        <f>IFERROR(INDEX(customers!B$1:B$1001, MATCH(C722, customers!A$1:A$1001, 0)), "Not Found")</f>
        <v>Reynolds Crookshanks</v>
      </c>
      <c r="G722" s="2" t="str">
        <f>IF(IFERROR(INDEX(customers!C$1:C$1001, MATCH(C722, customers!A$1:A$1001, 0)), "Not Found")=0,"",IFERROR(INDEX(customers!C$1:C$1001, MATCH(C722, customers!A$1:A$1001, 0)), "Not Found"))</f>
        <v>rcrookshanksk0@unc.edu</v>
      </c>
      <c r="H722" s="2" t="str">
        <f>IFERROR(INDEX(customers!G$1:G$1001, MATCH(C722, customers!A$1:A$1001, 0)), "Not Found")</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L722*E722</f>
        <v>36.450000000000003</v>
      </c>
      <c r="N722" t="str">
        <f>IF(I722="Rob","Robusta",IF(I722="Exc","Excelsa",IF(I722="Ara","Arabica",IF(I722="Lib","Laberica",""))))</f>
        <v>Excelsa</v>
      </c>
      <c r="O722" t="str">
        <f t="shared" si="11"/>
        <v>Dark</v>
      </c>
      <c r="P722" t="str">
        <f>INDEX(customers!$I$1:$I$1001, MATCH(Orders[[#This Row],[Customer ID]], customers!$A$1:$A$1001, 0))</f>
        <v>Yes</v>
      </c>
    </row>
    <row r="723" spans="1:16" x14ac:dyDescent="0.25">
      <c r="A723" s="2" t="s">
        <v>4563</v>
      </c>
      <c r="B723" s="3">
        <v>44479</v>
      </c>
      <c r="C723" s="2" t="s">
        <v>4564</v>
      </c>
      <c r="D723" t="s">
        <v>6174</v>
      </c>
      <c r="E723" s="2">
        <v>3</v>
      </c>
      <c r="F723" s="2" t="str">
        <f>IFERROR(INDEX(customers!B$1:B$1001, MATCH(C723, customers!A$1:A$1001, 0)), "Not Found")</f>
        <v>Niels Leake</v>
      </c>
      <c r="G723" s="2" t="str">
        <f>IF(IFERROR(INDEX(customers!C$1:C$1001, MATCH(C723, customers!A$1:A$1001, 0)), "Not Found")=0,"",IFERROR(INDEX(customers!C$1:C$1001, MATCH(C723, customers!A$1:A$1001, 0)), "Not Found"))</f>
        <v>nleakek1@cmu.edu</v>
      </c>
      <c r="H723" s="2" t="str">
        <f>IFERROR(INDEX(customers!G$1:G$1001, MATCH(C723, customers!A$1:A$1001, 0)), "Not Found")</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L723*E723</f>
        <v>8.9550000000000001</v>
      </c>
      <c r="N723" t="str">
        <f>IF(I723="Rob","Robusta",IF(I723="Exc","Excelsa",IF(I723="Ara","Arabica",IF(I723="Lib","Laberica",""))))</f>
        <v>Robusta</v>
      </c>
      <c r="O723" t="str">
        <f t="shared" si="11"/>
        <v>Medium</v>
      </c>
      <c r="P723" t="str">
        <f>INDEX(customers!$I$1:$I$1001, MATCH(Orders[[#This Row],[Customer ID]], customers!$A$1:$A$1001, 0))</f>
        <v>Yes</v>
      </c>
    </row>
    <row r="724" spans="1:16" x14ac:dyDescent="0.25">
      <c r="A724" s="2" t="s">
        <v>4569</v>
      </c>
      <c r="B724" s="3">
        <v>44620</v>
      </c>
      <c r="C724" s="2" t="s">
        <v>4570</v>
      </c>
      <c r="D724" t="s">
        <v>6183</v>
      </c>
      <c r="E724" s="2">
        <v>2</v>
      </c>
      <c r="F724" s="2" t="str">
        <f>IFERROR(INDEX(customers!B$1:B$1001, MATCH(C724, customers!A$1:A$1001, 0)), "Not Found")</f>
        <v>Hetti Measures</v>
      </c>
      <c r="G724" s="2" t="str">
        <f>IF(IFERROR(INDEX(customers!C$1:C$1001, MATCH(C724, customers!A$1:A$1001, 0)), "Not Found")=0,"",IFERROR(INDEX(customers!C$1:C$1001, MATCH(C724, customers!A$1:A$1001, 0)), "Not Found"))</f>
        <v/>
      </c>
      <c r="H724" s="2" t="str">
        <f>IFERROR(INDEX(customers!G$1:G$1001, MATCH(C724, customers!A$1:A$1001, 0)), "Not Found")</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L724*E724</f>
        <v>24.3</v>
      </c>
      <c r="N724" t="str">
        <f>IF(I724="Rob","Robusta",IF(I724="Exc","Excelsa",IF(I724="Ara","Arabica",IF(I724="Lib","Laberica",""))))</f>
        <v>Excelsa</v>
      </c>
      <c r="O724" t="str">
        <f t="shared" si="11"/>
        <v>Dark</v>
      </c>
      <c r="P724" t="str">
        <f>INDEX(customers!$I$1:$I$1001, MATCH(Orders[[#This Row],[Customer ID]], customers!$A$1:$A$1001, 0))</f>
        <v>No</v>
      </c>
    </row>
    <row r="725" spans="1:16" x14ac:dyDescent="0.25">
      <c r="A725" s="2" t="s">
        <v>4574</v>
      </c>
      <c r="B725" s="3">
        <v>44470</v>
      </c>
      <c r="C725" s="2" t="s">
        <v>4575</v>
      </c>
      <c r="D725" t="s">
        <v>6166</v>
      </c>
      <c r="E725" s="2">
        <v>2</v>
      </c>
      <c r="F725" s="2" t="str">
        <f>IFERROR(INDEX(customers!B$1:B$1001, MATCH(C725, customers!A$1:A$1001, 0)), "Not Found")</f>
        <v>Gay Eilhersen</v>
      </c>
      <c r="G725" s="2" t="str">
        <f>IF(IFERROR(INDEX(customers!C$1:C$1001, MATCH(C725, customers!A$1:A$1001, 0)), "Not Found")=0,"",IFERROR(INDEX(customers!C$1:C$1001, MATCH(C725, customers!A$1:A$1001, 0)), "Not Found"))</f>
        <v>geilhersenk3@networksolutions.com</v>
      </c>
      <c r="H725" s="2" t="str">
        <f>IFERROR(INDEX(customers!G$1:G$1001, MATCH(C725, customers!A$1:A$1001, 0)), "Not Found")</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L725*E725</f>
        <v>63.249999999999993</v>
      </c>
      <c r="N725" t="str">
        <f>IF(I725="Rob","Robusta",IF(I725="Exc","Excelsa",IF(I725="Ara","Arabica",IF(I725="Lib","Laberica",""))))</f>
        <v>Excelsa</v>
      </c>
      <c r="O725" t="str">
        <f t="shared" si="11"/>
        <v>Medium</v>
      </c>
      <c r="P725" t="str">
        <f>INDEX(customers!$I$1:$I$1001, MATCH(Orders[[#This Row],[Customer ID]], customers!$A$1:$A$1001, 0))</f>
        <v>No</v>
      </c>
    </row>
    <row r="726" spans="1:16" x14ac:dyDescent="0.25">
      <c r="A726" s="2" t="s">
        <v>4580</v>
      </c>
      <c r="B726" s="3">
        <v>44076</v>
      </c>
      <c r="C726" s="2" t="s">
        <v>4581</v>
      </c>
      <c r="D726" t="s">
        <v>6152</v>
      </c>
      <c r="E726" s="2">
        <v>2</v>
      </c>
      <c r="F726" s="2" t="str">
        <f>IFERROR(INDEX(customers!B$1:B$1001, MATCH(C726, customers!A$1:A$1001, 0)), "Not Found")</f>
        <v>Nico Hubert</v>
      </c>
      <c r="G726" s="2" t="str">
        <f>IF(IFERROR(INDEX(customers!C$1:C$1001, MATCH(C726, customers!A$1:A$1001, 0)), "Not Found")=0,"",IFERROR(INDEX(customers!C$1:C$1001, MATCH(C726, customers!A$1:A$1001, 0)), "Not Found"))</f>
        <v/>
      </c>
      <c r="H726" s="2" t="str">
        <f>IFERROR(INDEX(customers!G$1:G$1001, MATCH(C726, customers!A$1:A$1001, 0)), "Not Found")</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L726*E726</f>
        <v>6.75</v>
      </c>
      <c r="N726" t="str">
        <f>IF(I726="Rob","Robusta",IF(I726="Exc","Excelsa",IF(I726="Ara","Arabica",IF(I726="Lib","Laberica",""))))</f>
        <v>Arabica</v>
      </c>
      <c r="O726" t="str">
        <f t="shared" si="11"/>
        <v>Medium</v>
      </c>
      <c r="P726" t="str">
        <f>INDEX(customers!$I$1:$I$1001, MATCH(Orders[[#This Row],[Customer ID]], customers!$A$1:$A$1001, 0))</f>
        <v>Yes</v>
      </c>
    </row>
    <row r="727" spans="1:16" x14ac:dyDescent="0.25">
      <c r="A727" s="2" t="s">
        <v>4585</v>
      </c>
      <c r="B727" s="3">
        <v>44043</v>
      </c>
      <c r="C727" s="2" t="s">
        <v>4586</v>
      </c>
      <c r="D727" t="s">
        <v>6167</v>
      </c>
      <c r="E727" s="2">
        <v>6</v>
      </c>
      <c r="F727" s="2" t="str">
        <f>IFERROR(INDEX(customers!B$1:B$1001, MATCH(C727, customers!A$1:A$1001, 0)), "Not Found")</f>
        <v>Cristina Aleixo</v>
      </c>
      <c r="G727" s="2" t="str">
        <f>IF(IFERROR(INDEX(customers!C$1:C$1001, MATCH(C727, customers!A$1:A$1001, 0)), "Not Found")=0,"",IFERROR(INDEX(customers!C$1:C$1001, MATCH(C727, customers!A$1:A$1001, 0)), "Not Found"))</f>
        <v>caleixok5@globo.com</v>
      </c>
      <c r="H727" s="2" t="str">
        <f>IFERROR(INDEX(customers!G$1:G$1001, MATCH(C727, customers!A$1:A$1001, 0)), "Not Found")</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L727*E727</f>
        <v>23.31</v>
      </c>
      <c r="N727" t="str">
        <f>IF(I727="Rob","Robusta",IF(I727="Exc","Excelsa",IF(I727="Ara","Arabica",IF(I727="Lib","Laberica",""))))</f>
        <v>Arabica</v>
      </c>
      <c r="O727" t="str">
        <f t="shared" si="11"/>
        <v>Light</v>
      </c>
      <c r="P727" t="str">
        <f>INDEX(customers!$I$1:$I$1001, MATCH(Orders[[#This Row],[Customer ID]], customers!$A$1:$A$1001, 0))</f>
        <v>No</v>
      </c>
    </row>
    <row r="728" spans="1:16" x14ac:dyDescent="0.25">
      <c r="A728" s="2" t="s">
        <v>4591</v>
      </c>
      <c r="B728" s="3">
        <v>44571</v>
      </c>
      <c r="C728" s="2" t="s">
        <v>4592</v>
      </c>
      <c r="D728" t="s">
        <v>6164</v>
      </c>
      <c r="E728" s="2">
        <v>4</v>
      </c>
      <c r="F728" s="2" t="str">
        <f>IFERROR(INDEX(customers!B$1:B$1001, MATCH(C728, customers!A$1:A$1001, 0)), "Not Found")</f>
        <v>Derrek Allpress</v>
      </c>
      <c r="G728" s="2" t="str">
        <f>IF(IFERROR(INDEX(customers!C$1:C$1001, MATCH(C728, customers!A$1:A$1001, 0)), "Not Found")=0,"",IFERROR(INDEX(customers!C$1:C$1001, MATCH(C728, customers!A$1:A$1001, 0)), "Not Found"))</f>
        <v/>
      </c>
      <c r="H728" s="2" t="str">
        <f>IFERROR(INDEX(customers!G$1:G$1001, MATCH(C728, customers!A$1:A$1001, 0)), "Not Found")</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L728*E728</f>
        <v>145.82</v>
      </c>
      <c r="N728" t="str">
        <f>IF(I728="Rob","Robusta",IF(I728="Exc","Excelsa",IF(I728="Ara","Arabica",IF(I728="Lib","Laberica",""))))</f>
        <v>Laberica</v>
      </c>
      <c r="O728" t="str">
        <f t="shared" si="11"/>
        <v>Light</v>
      </c>
      <c r="P728" t="str">
        <f>INDEX(customers!$I$1:$I$1001, MATCH(Orders[[#This Row],[Customer ID]], customers!$A$1:$A$1001, 0))</f>
        <v>No</v>
      </c>
    </row>
    <row r="729" spans="1:16" x14ac:dyDescent="0.25">
      <c r="A729" s="2" t="s">
        <v>4596</v>
      </c>
      <c r="B729" s="3">
        <v>44264</v>
      </c>
      <c r="C729" s="2" t="s">
        <v>4597</v>
      </c>
      <c r="D729" t="s">
        <v>6146</v>
      </c>
      <c r="E729" s="2">
        <v>5</v>
      </c>
      <c r="F729" s="2" t="str">
        <f>IFERROR(INDEX(customers!B$1:B$1001, MATCH(C729, customers!A$1:A$1001, 0)), "Not Found")</f>
        <v>Rikki Tomkowicz</v>
      </c>
      <c r="G729" s="2" t="str">
        <f>IF(IFERROR(INDEX(customers!C$1:C$1001, MATCH(C729, customers!A$1:A$1001, 0)), "Not Found")=0,"",IFERROR(INDEX(customers!C$1:C$1001, MATCH(C729, customers!A$1:A$1001, 0)), "Not Found"))</f>
        <v>rtomkowiczk7@bravesites.com</v>
      </c>
      <c r="H729" s="2" t="str">
        <f>IFERROR(INDEX(customers!G$1:G$1001, MATCH(C729, customers!A$1:A$1001, 0)), "Not Found")</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L729*E729</f>
        <v>29.849999999999998</v>
      </c>
      <c r="N729" t="str">
        <f>IF(I729="Rob","Robusta",IF(I729="Exc","Excelsa",IF(I729="Ara","Arabica",IF(I729="Lib","Laberica",""))))</f>
        <v>Robusta</v>
      </c>
      <c r="O729" t="str">
        <f t="shared" si="11"/>
        <v>Medium</v>
      </c>
      <c r="P729" t="str">
        <f>INDEX(customers!$I$1:$I$1001, MATCH(Orders[[#This Row],[Customer ID]], customers!$A$1:$A$1001, 0))</f>
        <v>Yes</v>
      </c>
    </row>
    <row r="730" spans="1:16" x14ac:dyDescent="0.25">
      <c r="A730" s="2" t="s">
        <v>4602</v>
      </c>
      <c r="B730" s="3">
        <v>44155</v>
      </c>
      <c r="C730" s="2" t="s">
        <v>4603</v>
      </c>
      <c r="D730" t="s">
        <v>6144</v>
      </c>
      <c r="E730" s="2">
        <v>3</v>
      </c>
      <c r="F730" s="2" t="str">
        <f>IFERROR(INDEX(customers!B$1:B$1001, MATCH(C730, customers!A$1:A$1001, 0)), "Not Found")</f>
        <v>Rochette Huscroft</v>
      </c>
      <c r="G730" s="2" t="str">
        <f>IF(IFERROR(INDEX(customers!C$1:C$1001, MATCH(C730, customers!A$1:A$1001, 0)), "Not Found")=0,"",IFERROR(INDEX(customers!C$1:C$1001, MATCH(C730, customers!A$1:A$1001, 0)), "Not Found"))</f>
        <v>rhuscroftk8@jimdo.com</v>
      </c>
      <c r="H730" s="2" t="str">
        <f>IFERROR(INDEX(customers!G$1:G$1001, MATCH(C730, customers!A$1:A$1001, 0)), "Not Found")</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L730*E730</f>
        <v>21.87</v>
      </c>
      <c r="N730" t="str">
        <f>IF(I730="Rob","Robusta",IF(I730="Exc","Excelsa",IF(I730="Ara","Arabica",IF(I730="Lib","Laberica",""))))</f>
        <v>Excelsa</v>
      </c>
      <c r="O730" t="str">
        <f t="shared" si="11"/>
        <v>Dark</v>
      </c>
      <c r="P730" t="str">
        <f>INDEX(customers!$I$1:$I$1001, MATCH(Orders[[#This Row],[Customer ID]], customers!$A$1:$A$1001, 0))</f>
        <v>Yes</v>
      </c>
    </row>
    <row r="731" spans="1:16" x14ac:dyDescent="0.25">
      <c r="A731" s="2" t="s">
        <v>4608</v>
      </c>
      <c r="B731" s="3">
        <v>44634</v>
      </c>
      <c r="C731" s="2" t="s">
        <v>4609</v>
      </c>
      <c r="D731" t="s">
        <v>6159</v>
      </c>
      <c r="E731" s="2">
        <v>1</v>
      </c>
      <c r="F731" s="2" t="str">
        <f>IFERROR(INDEX(customers!B$1:B$1001, MATCH(C731, customers!A$1:A$1001, 0)), "Not Found")</f>
        <v>Selle Scurrer</v>
      </c>
      <c r="G731" s="2" t="str">
        <f>IF(IFERROR(INDEX(customers!C$1:C$1001, MATCH(C731, customers!A$1:A$1001, 0)), "Not Found")=0,"",IFERROR(INDEX(customers!C$1:C$1001, MATCH(C731, customers!A$1:A$1001, 0)), "Not Found"))</f>
        <v>sscurrerk9@flavors.me</v>
      </c>
      <c r="H731" s="2" t="str">
        <f>IFERROR(INDEX(customers!G$1:G$1001, MATCH(C731, customers!A$1:A$1001, 0)), "Not Found")</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L731*E731</f>
        <v>4.3650000000000002</v>
      </c>
      <c r="N731" t="str">
        <f>IF(I731="Rob","Robusta",IF(I731="Exc","Excelsa",IF(I731="Ara","Arabica",IF(I731="Lib","Laberica",""))))</f>
        <v>Laberica</v>
      </c>
      <c r="O731" t="str">
        <f t="shared" si="11"/>
        <v>Medium</v>
      </c>
      <c r="P731" t="str">
        <f>INDEX(customers!$I$1:$I$1001, MATCH(Orders[[#This Row],[Customer ID]], customers!$A$1:$A$1001, 0))</f>
        <v>No</v>
      </c>
    </row>
    <row r="732" spans="1:16" x14ac:dyDescent="0.25">
      <c r="A732" s="2" t="s">
        <v>4614</v>
      </c>
      <c r="B732" s="3">
        <v>43475</v>
      </c>
      <c r="C732" s="2" t="s">
        <v>4615</v>
      </c>
      <c r="D732" t="s">
        <v>6164</v>
      </c>
      <c r="E732" s="2">
        <v>1</v>
      </c>
      <c r="F732" s="2" t="str">
        <f>IFERROR(INDEX(customers!B$1:B$1001, MATCH(C732, customers!A$1:A$1001, 0)), "Not Found")</f>
        <v>Andie Rudram</v>
      </c>
      <c r="G732" s="2" t="str">
        <f>IF(IFERROR(INDEX(customers!C$1:C$1001, MATCH(C732, customers!A$1:A$1001, 0)), "Not Found")=0,"",IFERROR(INDEX(customers!C$1:C$1001, MATCH(C732, customers!A$1:A$1001, 0)), "Not Found"))</f>
        <v>arudramka@prnewswire.com</v>
      </c>
      <c r="H732" s="2" t="str">
        <f>IFERROR(INDEX(customers!G$1:G$1001, MATCH(C732, customers!A$1:A$1001, 0)), "Not Found")</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L732*E732</f>
        <v>36.454999999999998</v>
      </c>
      <c r="N732" t="str">
        <f>IF(I732="Rob","Robusta",IF(I732="Exc","Excelsa",IF(I732="Ara","Arabica",IF(I732="Lib","Laberica",""))))</f>
        <v>Laberica</v>
      </c>
      <c r="O732" t="str">
        <f t="shared" si="11"/>
        <v>Light</v>
      </c>
      <c r="P732" t="str">
        <f>INDEX(customers!$I$1:$I$1001, MATCH(Orders[[#This Row],[Customer ID]], customers!$A$1:$A$1001, 0))</f>
        <v>No</v>
      </c>
    </row>
    <row r="733" spans="1:16" x14ac:dyDescent="0.25">
      <c r="A733" s="2" t="s">
        <v>4620</v>
      </c>
      <c r="B733" s="3">
        <v>44222</v>
      </c>
      <c r="C733" s="2" t="s">
        <v>4621</v>
      </c>
      <c r="D733" t="s">
        <v>6150</v>
      </c>
      <c r="E733" s="2">
        <v>4</v>
      </c>
      <c r="F733" s="2" t="str">
        <f>IFERROR(INDEX(customers!B$1:B$1001, MATCH(C733, customers!A$1:A$1001, 0)), "Not Found")</f>
        <v>Leta Clarricoates</v>
      </c>
      <c r="G733" s="2" t="str">
        <f>IF(IFERROR(INDEX(customers!C$1:C$1001, MATCH(C733, customers!A$1:A$1001, 0)), "Not Found")=0,"",IFERROR(INDEX(customers!C$1:C$1001, MATCH(C733, customers!A$1:A$1001, 0)), "Not Found"))</f>
        <v/>
      </c>
      <c r="H733" s="2" t="str">
        <f>IFERROR(INDEX(customers!G$1:G$1001, MATCH(C733, customers!A$1:A$1001, 0)), "Not Found")</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L733*E733</f>
        <v>15.54</v>
      </c>
      <c r="N733" t="str">
        <f>IF(I733="Rob","Robusta",IF(I733="Exc","Excelsa",IF(I733="Ara","Arabica",IF(I733="Lib","Laberica",""))))</f>
        <v>Laberica</v>
      </c>
      <c r="O733" t="str">
        <f t="shared" si="11"/>
        <v>Dark</v>
      </c>
      <c r="P733" t="str">
        <f>INDEX(customers!$I$1:$I$1001, MATCH(Orders[[#This Row],[Customer ID]], customers!$A$1:$A$1001, 0))</f>
        <v>Yes</v>
      </c>
    </row>
    <row r="734" spans="1:16" x14ac:dyDescent="0.25">
      <c r="A734" s="2" t="s">
        <v>4625</v>
      </c>
      <c r="B734" s="3">
        <v>44312</v>
      </c>
      <c r="C734" s="2" t="s">
        <v>4626</v>
      </c>
      <c r="D734" t="s">
        <v>6184</v>
      </c>
      <c r="E734" s="2">
        <v>2</v>
      </c>
      <c r="F734" s="2" t="str">
        <f>IFERROR(INDEX(customers!B$1:B$1001, MATCH(C734, customers!A$1:A$1001, 0)), "Not Found")</f>
        <v>Jacquelyn Maha</v>
      </c>
      <c r="G734" s="2" t="str">
        <f>IF(IFERROR(INDEX(customers!C$1:C$1001, MATCH(C734, customers!A$1:A$1001, 0)), "Not Found")=0,"",IFERROR(INDEX(customers!C$1:C$1001, MATCH(C734, customers!A$1:A$1001, 0)), "Not Found"))</f>
        <v>jmahakc@cyberchimps.com</v>
      </c>
      <c r="H734" s="2" t="str">
        <f>IFERROR(INDEX(customers!G$1:G$1001, MATCH(C734, customers!A$1:A$1001, 0)), "Not Found")</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L734*E734</f>
        <v>8.91</v>
      </c>
      <c r="N734" t="str">
        <f>IF(I734="Rob","Robusta",IF(I734="Exc","Excelsa",IF(I734="Ara","Arabica",IF(I734="Lib","Laberica",""))))</f>
        <v>Excelsa</v>
      </c>
      <c r="O734" t="str">
        <f t="shared" si="11"/>
        <v>Light</v>
      </c>
      <c r="P734" t="str">
        <f>INDEX(customers!$I$1:$I$1001, MATCH(Orders[[#This Row],[Customer ID]], customers!$A$1:$A$1001, 0))</f>
        <v>No</v>
      </c>
    </row>
    <row r="735" spans="1:16" x14ac:dyDescent="0.25">
      <c r="A735" s="2" t="s">
        <v>4631</v>
      </c>
      <c r="B735" s="3">
        <v>44565</v>
      </c>
      <c r="C735" s="2" t="s">
        <v>4632</v>
      </c>
      <c r="D735" t="s">
        <v>6181</v>
      </c>
      <c r="E735" s="2">
        <v>3</v>
      </c>
      <c r="F735" s="2" t="str">
        <f>IFERROR(INDEX(customers!B$1:B$1001, MATCH(C735, customers!A$1:A$1001, 0)), "Not Found")</f>
        <v>Glory Clemon</v>
      </c>
      <c r="G735" s="2" t="str">
        <f>IF(IFERROR(INDEX(customers!C$1:C$1001, MATCH(C735, customers!A$1:A$1001, 0)), "Not Found")=0,"",IFERROR(INDEX(customers!C$1:C$1001, MATCH(C735, customers!A$1:A$1001, 0)), "Not Found"))</f>
        <v>gclemonkd@networksolutions.com</v>
      </c>
      <c r="H735" s="2" t="str">
        <f>IFERROR(INDEX(customers!G$1:G$1001, MATCH(C735, customers!A$1:A$1001, 0)), "Not Found")</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L735*E735</f>
        <v>100.39499999999998</v>
      </c>
      <c r="N735" t="str">
        <f>IF(I735="Rob","Robusta",IF(I735="Exc","Excelsa",IF(I735="Ara","Arabica",IF(I735="Lib","Laberica",""))))</f>
        <v>Laberica</v>
      </c>
      <c r="O735" t="str">
        <f t="shared" si="11"/>
        <v>Medium</v>
      </c>
      <c r="P735" t="str">
        <f>INDEX(customers!$I$1:$I$1001, MATCH(Orders[[#This Row],[Customer ID]], customers!$A$1:$A$1001, 0))</f>
        <v>Yes</v>
      </c>
    </row>
    <row r="736" spans="1:16" x14ac:dyDescent="0.25">
      <c r="A736" s="2" t="s">
        <v>4637</v>
      </c>
      <c r="B736" s="3">
        <v>43697</v>
      </c>
      <c r="C736" s="2" t="s">
        <v>4638</v>
      </c>
      <c r="D736" t="s">
        <v>6163</v>
      </c>
      <c r="E736" s="2">
        <v>5</v>
      </c>
      <c r="F736" s="2" t="str">
        <f>IFERROR(INDEX(customers!B$1:B$1001, MATCH(C736, customers!A$1:A$1001, 0)), "Not Found")</f>
        <v>Alica Kift</v>
      </c>
      <c r="G736" s="2" t="str">
        <f>IF(IFERROR(INDEX(customers!C$1:C$1001, MATCH(C736, customers!A$1:A$1001, 0)), "Not Found")=0,"",IFERROR(INDEX(customers!C$1:C$1001, MATCH(C736, customers!A$1:A$1001, 0)), "Not Found"))</f>
        <v/>
      </c>
      <c r="H736" s="2" t="str">
        <f>IFERROR(INDEX(customers!G$1:G$1001, MATCH(C736, customers!A$1:A$1001, 0)), "Not Found")</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L736*E736</f>
        <v>13.424999999999997</v>
      </c>
      <c r="N736" t="str">
        <f>IF(I736="Rob","Robusta",IF(I736="Exc","Excelsa",IF(I736="Ara","Arabica",IF(I736="Lib","Laberica",""))))</f>
        <v>Robusta</v>
      </c>
      <c r="O736" t="str">
        <f t="shared" si="11"/>
        <v>Dark</v>
      </c>
      <c r="P736" t="str">
        <f>INDEX(customers!$I$1:$I$1001, MATCH(Orders[[#This Row],[Customer ID]], customers!$A$1:$A$1001, 0))</f>
        <v>No</v>
      </c>
    </row>
    <row r="737" spans="1:16" x14ac:dyDescent="0.25">
      <c r="A737" s="2" t="s">
        <v>4642</v>
      </c>
      <c r="B737" s="3">
        <v>44757</v>
      </c>
      <c r="C737" s="2" t="s">
        <v>4643</v>
      </c>
      <c r="D737" t="s">
        <v>6153</v>
      </c>
      <c r="E737" s="2">
        <v>6</v>
      </c>
      <c r="F737" s="2" t="str">
        <f>IFERROR(INDEX(customers!B$1:B$1001, MATCH(C737, customers!A$1:A$1001, 0)), "Not Found")</f>
        <v>Babb Pollins</v>
      </c>
      <c r="G737" s="2" t="str">
        <f>IF(IFERROR(INDEX(customers!C$1:C$1001, MATCH(C737, customers!A$1:A$1001, 0)), "Not Found")=0,"",IFERROR(INDEX(customers!C$1:C$1001, MATCH(C737, customers!A$1:A$1001, 0)), "Not Found"))</f>
        <v>bpollinskf@shinystat.com</v>
      </c>
      <c r="H737" s="2" t="str">
        <f>IFERROR(INDEX(customers!G$1:G$1001, MATCH(C737, customers!A$1:A$1001, 0)), "Not Found")</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L737*E737</f>
        <v>21.87</v>
      </c>
      <c r="N737" t="str">
        <f>IF(I737="Rob","Robusta",IF(I737="Exc","Excelsa",IF(I737="Ara","Arabica",IF(I737="Lib","Laberica",""))))</f>
        <v>Excelsa</v>
      </c>
      <c r="O737" t="str">
        <f t="shared" si="11"/>
        <v>Dark</v>
      </c>
      <c r="P737" t="str">
        <f>INDEX(customers!$I$1:$I$1001, MATCH(Orders[[#This Row],[Customer ID]], customers!$A$1:$A$1001, 0))</f>
        <v>No</v>
      </c>
    </row>
    <row r="738" spans="1:16" x14ac:dyDescent="0.25">
      <c r="A738" s="2" t="s">
        <v>4647</v>
      </c>
      <c r="B738" s="3">
        <v>43508</v>
      </c>
      <c r="C738" s="2" t="s">
        <v>4648</v>
      </c>
      <c r="D738" t="s">
        <v>6143</v>
      </c>
      <c r="E738" s="2">
        <v>2</v>
      </c>
      <c r="F738" s="2" t="str">
        <f>IFERROR(INDEX(customers!B$1:B$1001, MATCH(C738, customers!A$1:A$1001, 0)), "Not Found")</f>
        <v>Jarret Toye</v>
      </c>
      <c r="G738" s="2" t="str">
        <f>IF(IFERROR(INDEX(customers!C$1:C$1001, MATCH(C738, customers!A$1:A$1001, 0)), "Not Found")=0,"",IFERROR(INDEX(customers!C$1:C$1001, MATCH(C738, customers!A$1:A$1001, 0)), "Not Found"))</f>
        <v>jtoyekg@pinterest.com</v>
      </c>
      <c r="H738" s="2" t="str">
        <f>IFERROR(INDEX(customers!G$1:G$1001, MATCH(C738, customers!A$1:A$1001, 0)), "Not Found")</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L738*E738</f>
        <v>25.9</v>
      </c>
      <c r="N738" t="str">
        <f>IF(I738="Rob","Robusta",IF(I738="Exc","Excelsa",IF(I738="Ara","Arabica",IF(I738="Lib","Laberica",""))))</f>
        <v>Laberica</v>
      </c>
      <c r="O738" t="str">
        <f t="shared" si="11"/>
        <v>Dark</v>
      </c>
      <c r="P738" t="str">
        <f>INDEX(customers!$I$1:$I$1001, MATCH(Orders[[#This Row],[Customer ID]], customers!$A$1:$A$1001, 0))</f>
        <v>Yes</v>
      </c>
    </row>
    <row r="739" spans="1:16" x14ac:dyDescent="0.25">
      <c r="A739" s="2" t="s">
        <v>4653</v>
      </c>
      <c r="B739" s="3">
        <v>44447</v>
      </c>
      <c r="C739" s="2" t="s">
        <v>4654</v>
      </c>
      <c r="D739" t="s">
        <v>6155</v>
      </c>
      <c r="E739" s="2">
        <v>5</v>
      </c>
      <c r="F739" s="2" t="str">
        <f>IFERROR(INDEX(customers!B$1:B$1001, MATCH(C739, customers!A$1:A$1001, 0)), "Not Found")</f>
        <v>Carlie Linskill</v>
      </c>
      <c r="G739" s="2" t="str">
        <f>IF(IFERROR(INDEX(customers!C$1:C$1001, MATCH(C739, customers!A$1:A$1001, 0)), "Not Found")=0,"",IFERROR(INDEX(customers!C$1:C$1001, MATCH(C739, customers!A$1:A$1001, 0)), "Not Found"))</f>
        <v>clinskillkh@sphinn.com</v>
      </c>
      <c r="H739" s="2" t="str">
        <f>IFERROR(INDEX(customers!G$1:G$1001, MATCH(C739, customers!A$1:A$1001, 0)), "Not Found")</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L739*E739</f>
        <v>56.25</v>
      </c>
      <c r="N739" t="str">
        <f>IF(I739="Rob","Robusta",IF(I739="Exc","Excelsa",IF(I739="Ara","Arabica",IF(I739="Lib","Laberica",""))))</f>
        <v>Arabica</v>
      </c>
      <c r="O739" t="str">
        <f t="shared" si="11"/>
        <v>Medium</v>
      </c>
      <c r="P739" t="str">
        <f>INDEX(customers!$I$1:$I$1001, MATCH(Orders[[#This Row],[Customer ID]], customers!$A$1:$A$1001, 0))</f>
        <v>No</v>
      </c>
    </row>
    <row r="740" spans="1:16" x14ac:dyDescent="0.25">
      <c r="A740" s="2" t="s">
        <v>4659</v>
      </c>
      <c r="B740" s="3">
        <v>43812</v>
      </c>
      <c r="C740" s="2" t="s">
        <v>4660</v>
      </c>
      <c r="D740" t="s">
        <v>6178</v>
      </c>
      <c r="E740" s="2">
        <v>3</v>
      </c>
      <c r="F740" s="2" t="str">
        <f>IFERROR(INDEX(customers!B$1:B$1001, MATCH(C740, customers!A$1:A$1001, 0)), "Not Found")</f>
        <v>Natal Vigrass</v>
      </c>
      <c r="G740" s="2" t="str">
        <f>IF(IFERROR(INDEX(customers!C$1:C$1001, MATCH(C740, customers!A$1:A$1001, 0)), "Not Found")=0,"",IFERROR(INDEX(customers!C$1:C$1001, MATCH(C740, customers!A$1:A$1001, 0)), "Not Found"))</f>
        <v>nvigrasski@ezinearticles.com</v>
      </c>
      <c r="H740" s="2" t="str">
        <f>IFERROR(INDEX(customers!G$1:G$1001, MATCH(C740, customers!A$1:A$1001, 0)), "Not Found")</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L740*E740</f>
        <v>10.754999999999999</v>
      </c>
      <c r="N740" t="str">
        <f>IF(I740="Rob","Robusta",IF(I740="Exc","Excelsa",IF(I740="Ara","Arabica",IF(I740="Lib","Laberica",""))))</f>
        <v>Robusta</v>
      </c>
      <c r="O740" t="str">
        <f t="shared" si="11"/>
        <v>Light</v>
      </c>
      <c r="P740" t="str">
        <f>INDEX(customers!$I$1:$I$1001, MATCH(Orders[[#This Row],[Customer ID]], customers!$A$1:$A$1001, 0))</f>
        <v>No</v>
      </c>
    </row>
    <row r="741" spans="1:16" x14ac:dyDescent="0.25">
      <c r="A741" s="2" t="s">
        <v>4665</v>
      </c>
      <c r="B741" s="3">
        <v>44433</v>
      </c>
      <c r="C741" s="2" t="s">
        <v>4434</v>
      </c>
      <c r="D741" t="s">
        <v>6153</v>
      </c>
      <c r="E741" s="2">
        <v>5</v>
      </c>
      <c r="F741" s="2" t="str">
        <f>IFERROR(INDEX(customers!B$1:B$1001, MATCH(C741, customers!A$1:A$1001, 0)), "Not Found")</f>
        <v>Jimmy Dymoke</v>
      </c>
      <c r="G741" s="2" t="str">
        <f>IF(IFERROR(INDEX(customers!C$1:C$1001, MATCH(C741, customers!A$1:A$1001, 0)), "Not Found")=0,"",IFERROR(INDEX(customers!C$1:C$1001, MATCH(C741, customers!A$1:A$1001, 0)), "Not Found"))</f>
        <v>jdymokeje@prnewswire.com</v>
      </c>
      <c r="H741" s="2" t="str">
        <f>IFERROR(INDEX(customers!G$1:G$1001, MATCH(C741, customers!A$1:A$1001, 0)), "Not Found")</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L741*E741</f>
        <v>18.225000000000001</v>
      </c>
      <c r="N741" t="str">
        <f>IF(I741="Rob","Robusta",IF(I741="Exc","Excelsa",IF(I741="Ara","Arabica",IF(I741="Lib","Laberica",""))))</f>
        <v>Excelsa</v>
      </c>
      <c r="O741" t="str">
        <f t="shared" si="11"/>
        <v>Dark</v>
      </c>
      <c r="P741" t="str">
        <f>INDEX(customers!$I$1:$I$1001, MATCH(Orders[[#This Row],[Customer ID]], customers!$A$1:$A$1001, 0))</f>
        <v>No</v>
      </c>
    </row>
    <row r="742" spans="1:16" x14ac:dyDescent="0.25">
      <c r="A742" s="2" t="s">
        <v>4670</v>
      </c>
      <c r="B742" s="3">
        <v>44643</v>
      </c>
      <c r="C742" s="2" t="s">
        <v>4671</v>
      </c>
      <c r="D742" t="s">
        <v>6173</v>
      </c>
      <c r="E742" s="2">
        <v>4</v>
      </c>
      <c r="F742" s="2" t="str">
        <f>IFERROR(INDEX(customers!B$1:B$1001, MATCH(C742, customers!A$1:A$1001, 0)), "Not Found")</f>
        <v>Kandace Cragell</v>
      </c>
      <c r="G742" s="2" t="str">
        <f>IF(IFERROR(INDEX(customers!C$1:C$1001, MATCH(C742, customers!A$1:A$1001, 0)), "Not Found")=0,"",IFERROR(INDEX(customers!C$1:C$1001, MATCH(C742, customers!A$1:A$1001, 0)), "Not Found"))</f>
        <v>kcragellkk@google.com</v>
      </c>
      <c r="H742" s="2" t="str">
        <f>IFERROR(INDEX(customers!G$1:G$1001, MATCH(C742, customers!A$1:A$1001, 0)), "Not Found")</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L742*E742</f>
        <v>28.679999999999996</v>
      </c>
      <c r="N742" t="str">
        <f>IF(I742="Rob","Robusta",IF(I742="Exc","Excelsa",IF(I742="Ara","Arabica",IF(I742="Lib","Laberica",""))))</f>
        <v>Robusta</v>
      </c>
      <c r="O742" t="str">
        <f t="shared" si="11"/>
        <v>Light</v>
      </c>
      <c r="P742" t="str">
        <f>INDEX(customers!$I$1:$I$1001, MATCH(Orders[[#This Row],[Customer ID]], customers!$A$1:$A$1001, 0))</f>
        <v>No</v>
      </c>
    </row>
    <row r="743" spans="1:16" x14ac:dyDescent="0.25">
      <c r="A743" s="2" t="s">
        <v>4676</v>
      </c>
      <c r="B743" s="3">
        <v>43566</v>
      </c>
      <c r="C743" s="2" t="s">
        <v>4677</v>
      </c>
      <c r="D743" t="s">
        <v>6159</v>
      </c>
      <c r="E743" s="2">
        <v>2</v>
      </c>
      <c r="F743" s="2" t="str">
        <f>IFERROR(INDEX(customers!B$1:B$1001, MATCH(C743, customers!A$1:A$1001, 0)), "Not Found")</f>
        <v>Lyon Ibert</v>
      </c>
      <c r="G743" s="2" t="str">
        <f>IF(IFERROR(INDEX(customers!C$1:C$1001, MATCH(C743, customers!A$1:A$1001, 0)), "Not Found")=0,"",IFERROR(INDEX(customers!C$1:C$1001, MATCH(C743, customers!A$1:A$1001, 0)), "Not Found"))</f>
        <v>libertkl@huffingtonpost.com</v>
      </c>
      <c r="H743" s="2" t="str">
        <f>IFERROR(INDEX(customers!G$1:G$1001, MATCH(C743, customers!A$1:A$1001, 0)), "Not Found")</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L743*E743</f>
        <v>8.73</v>
      </c>
      <c r="N743" t="str">
        <f>IF(I743="Rob","Robusta",IF(I743="Exc","Excelsa",IF(I743="Ara","Arabica",IF(I743="Lib","Laberica",""))))</f>
        <v>Laberica</v>
      </c>
      <c r="O743" t="str">
        <f t="shared" si="11"/>
        <v>Medium</v>
      </c>
      <c r="P743" t="str">
        <f>INDEX(customers!$I$1:$I$1001, MATCH(Orders[[#This Row],[Customer ID]], customers!$A$1:$A$1001, 0))</f>
        <v>No</v>
      </c>
    </row>
    <row r="744" spans="1:16" x14ac:dyDescent="0.25">
      <c r="A744" s="2" t="s">
        <v>4682</v>
      </c>
      <c r="B744" s="3">
        <v>44133</v>
      </c>
      <c r="C744" s="2" t="s">
        <v>4683</v>
      </c>
      <c r="D744" t="s">
        <v>6162</v>
      </c>
      <c r="E744" s="2">
        <v>4</v>
      </c>
      <c r="F744" s="2" t="str">
        <f>IFERROR(INDEX(customers!B$1:B$1001, MATCH(C744, customers!A$1:A$1001, 0)), "Not Found")</f>
        <v>Reese Lidgey</v>
      </c>
      <c r="G744" s="2" t="str">
        <f>IF(IFERROR(INDEX(customers!C$1:C$1001, MATCH(C744, customers!A$1:A$1001, 0)), "Not Found")=0,"",IFERROR(INDEX(customers!C$1:C$1001, MATCH(C744, customers!A$1:A$1001, 0)), "Not Found"))</f>
        <v>rlidgeykm@vimeo.com</v>
      </c>
      <c r="H744" s="2" t="str">
        <f>IFERROR(INDEX(customers!G$1:G$1001, MATCH(C744, customers!A$1:A$1001, 0)), "Not Found")</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L744*E744</f>
        <v>58.2</v>
      </c>
      <c r="N744" t="str">
        <f>IF(I744="Rob","Robusta",IF(I744="Exc","Excelsa",IF(I744="Ara","Arabica",IF(I744="Lib","Laberica",""))))</f>
        <v>Laberica</v>
      </c>
      <c r="O744" t="str">
        <f t="shared" si="11"/>
        <v>Medium</v>
      </c>
      <c r="P744" t="str">
        <f>INDEX(customers!$I$1:$I$1001, MATCH(Orders[[#This Row],[Customer ID]], customers!$A$1:$A$1001, 0))</f>
        <v>No</v>
      </c>
    </row>
    <row r="745" spans="1:16" x14ac:dyDescent="0.25">
      <c r="A745" s="2" t="s">
        <v>4688</v>
      </c>
      <c r="B745" s="3">
        <v>44042</v>
      </c>
      <c r="C745" s="2" t="s">
        <v>4689</v>
      </c>
      <c r="D745" t="s">
        <v>6158</v>
      </c>
      <c r="E745" s="2">
        <v>3</v>
      </c>
      <c r="F745" s="2" t="str">
        <f>IFERROR(INDEX(customers!B$1:B$1001, MATCH(C745, customers!A$1:A$1001, 0)), "Not Found")</f>
        <v>Tersina Castagne</v>
      </c>
      <c r="G745" s="2" t="str">
        <f>IF(IFERROR(INDEX(customers!C$1:C$1001, MATCH(C745, customers!A$1:A$1001, 0)), "Not Found")=0,"",IFERROR(INDEX(customers!C$1:C$1001, MATCH(C745, customers!A$1:A$1001, 0)), "Not Found"))</f>
        <v>tcastagnekn@wikia.com</v>
      </c>
      <c r="H745" s="2" t="str">
        <f>IFERROR(INDEX(customers!G$1:G$1001, MATCH(C745, customers!A$1:A$1001, 0)), "Not Found")</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L745*E745</f>
        <v>17.91</v>
      </c>
      <c r="N745" t="str">
        <f>IF(I745="Rob","Robusta",IF(I745="Exc","Excelsa",IF(I745="Ara","Arabica",IF(I745="Lib","Laberica",""))))</f>
        <v>Arabica</v>
      </c>
      <c r="O745" t="str">
        <f t="shared" si="11"/>
        <v>Dark</v>
      </c>
      <c r="P745" t="str">
        <f>INDEX(customers!$I$1:$I$1001, MATCH(Orders[[#This Row],[Customer ID]], customers!$A$1:$A$1001, 0))</f>
        <v>No</v>
      </c>
    </row>
    <row r="746" spans="1:16" x14ac:dyDescent="0.25">
      <c r="A746" s="2" t="s">
        <v>4694</v>
      </c>
      <c r="B746" s="3">
        <v>43539</v>
      </c>
      <c r="C746" s="2" t="s">
        <v>4695</v>
      </c>
      <c r="D746" t="s">
        <v>6174</v>
      </c>
      <c r="E746" s="2">
        <v>6</v>
      </c>
      <c r="F746" s="2" t="str">
        <f>IFERROR(INDEX(customers!B$1:B$1001, MATCH(C746, customers!A$1:A$1001, 0)), "Not Found")</f>
        <v>Samuele Klaaassen</v>
      </c>
      <c r="G746" s="2" t="str">
        <f>IF(IFERROR(INDEX(customers!C$1:C$1001, MATCH(C746, customers!A$1:A$1001, 0)), "Not Found")=0,"",IFERROR(INDEX(customers!C$1:C$1001, MATCH(C746, customers!A$1:A$1001, 0)), "Not Found"))</f>
        <v/>
      </c>
      <c r="H746" s="2" t="str">
        <f>IFERROR(INDEX(customers!G$1:G$1001, MATCH(C746, customers!A$1:A$1001, 0)), "Not Found")</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L746*E746</f>
        <v>17.91</v>
      </c>
      <c r="N746" t="str">
        <f>IF(I746="Rob","Robusta",IF(I746="Exc","Excelsa",IF(I746="Ara","Arabica",IF(I746="Lib","Laberica",""))))</f>
        <v>Robusta</v>
      </c>
      <c r="O746" t="str">
        <f t="shared" si="11"/>
        <v>Medium</v>
      </c>
      <c r="P746" t="str">
        <f>INDEX(customers!$I$1:$I$1001, MATCH(Orders[[#This Row],[Customer ID]], customers!$A$1:$A$1001, 0))</f>
        <v>Yes</v>
      </c>
    </row>
    <row r="747" spans="1:16" x14ac:dyDescent="0.25">
      <c r="A747" s="2" t="s">
        <v>4699</v>
      </c>
      <c r="B747" s="3">
        <v>44557</v>
      </c>
      <c r="C747" s="2" t="s">
        <v>4700</v>
      </c>
      <c r="D747" t="s">
        <v>6144</v>
      </c>
      <c r="E747" s="2">
        <v>2</v>
      </c>
      <c r="F747" s="2" t="str">
        <f>IFERROR(INDEX(customers!B$1:B$1001, MATCH(C747, customers!A$1:A$1001, 0)), "Not Found")</f>
        <v>Jordana Halden</v>
      </c>
      <c r="G747" s="2" t="str">
        <f>IF(IFERROR(INDEX(customers!C$1:C$1001, MATCH(C747, customers!A$1:A$1001, 0)), "Not Found")=0,"",IFERROR(INDEX(customers!C$1:C$1001, MATCH(C747, customers!A$1:A$1001, 0)), "Not Found"))</f>
        <v>jhaldenkp@comcast.net</v>
      </c>
      <c r="H747" s="2" t="str">
        <f>IFERROR(INDEX(customers!G$1:G$1001, MATCH(C747, customers!A$1:A$1001, 0)), "Not Found")</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L747*E747</f>
        <v>14.58</v>
      </c>
      <c r="N747" t="str">
        <f>IF(I747="Rob","Robusta",IF(I747="Exc","Excelsa",IF(I747="Ara","Arabica",IF(I747="Lib","Laberica",""))))</f>
        <v>Excelsa</v>
      </c>
      <c r="O747" t="str">
        <f t="shared" si="11"/>
        <v>Dark</v>
      </c>
      <c r="P747" t="str">
        <f>INDEX(customers!$I$1:$I$1001, MATCH(Orders[[#This Row],[Customer ID]], customers!$A$1:$A$1001, 0))</f>
        <v>No</v>
      </c>
    </row>
    <row r="748" spans="1:16" x14ac:dyDescent="0.25">
      <c r="A748" s="2" t="s">
        <v>4705</v>
      </c>
      <c r="B748" s="3">
        <v>43741</v>
      </c>
      <c r="C748" s="2" t="s">
        <v>4706</v>
      </c>
      <c r="D748" t="s">
        <v>6155</v>
      </c>
      <c r="E748" s="2">
        <v>3</v>
      </c>
      <c r="F748" s="2" t="str">
        <f>IFERROR(INDEX(customers!B$1:B$1001, MATCH(C748, customers!A$1:A$1001, 0)), "Not Found")</f>
        <v>Hussein Olliff</v>
      </c>
      <c r="G748" s="2" t="str">
        <f>IF(IFERROR(INDEX(customers!C$1:C$1001, MATCH(C748, customers!A$1:A$1001, 0)), "Not Found")=0,"",IFERROR(INDEX(customers!C$1:C$1001, MATCH(C748, customers!A$1:A$1001, 0)), "Not Found"))</f>
        <v>holliffkq@sciencedirect.com</v>
      </c>
      <c r="H748" s="2" t="str">
        <f>IFERROR(INDEX(customers!G$1:G$1001, MATCH(C748, customers!A$1:A$1001, 0)), "Not Found")</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L748*E748</f>
        <v>33.75</v>
      </c>
      <c r="N748" t="str">
        <f>IF(I748="Rob","Robusta",IF(I748="Exc","Excelsa",IF(I748="Ara","Arabica",IF(I748="Lib","Laberica",""))))</f>
        <v>Arabica</v>
      </c>
      <c r="O748" t="str">
        <f t="shared" si="11"/>
        <v>Medium</v>
      </c>
      <c r="P748" t="str">
        <f>INDEX(customers!$I$1:$I$1001, MATCH(Orders[[#This Row],[Customer ID]], customers!$A$1:$A$1001, 0))</f>
        <v>No</v>
      </c>
    </row>
    <row r="749" spans="1:16" x14ac:dyDescent="0.25">
      <c r="A749" s="2" t="s">
        <v>4711</v>
      </c>
      <c r="B749" s="3">
        <v>43501</v>
      </c>
      <c r="C749" s="2" t="s">
        <v>4712</v>
      </c>
      <c r="D749" t="s">
        <v>6160</v>
      </c>
      <c r="E749" s="2">
        <v>4</v>
      </c>
      <c r="F749" s="2" t="str">
        <f>IFERROR(INDEX(customers!B$1:B$1001, MATCH(C749, customers!A$1:A$1001, 0)), "Not Found")</f>
        <v>Teddi Quadri</v>
      </c>
      <c r="G749" s="2" t="str">
        <f>IF(IFERROR(INDEX(customers!C$1:C$1001, MATCH(C749, customers!A$1:A$1001, 0)), "Not Found")=0,"",IFERROR(INDEX(customers!C$1:C$1001, MATCH(C749, customers!A$1:A$1001, 0)), "Not Found"))</f>
        <v>tquadrikr@opensource.org</v>
      </c>
      <c r="H749" s="2" t="str">
        <f>IFERROR(INDEX(customers!G$1:G$1001, MATCH(C749, customers!A$1:A$1001, 0)), "Not Found")</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L749*E749</f>
        <v>34.92</v>
      </c>
      <c r="N749" t="str">
        <f>IF(I749="Rob","Robusta",IF(I749="Exc","Excelsa",IF(I749="Ara","Arabica",IF(I749="Lib","Laberica",""))))</f>
        <v>Laberica</v>
      </c>
      <c r="O749" t="str">
        <f t="shared" si="11"/>
        <v>Medium</v>
      </c>
      <c r="P749" t="str">
        <f>INDEX(customers!$I$1:$I$1001, MATCH(Orders[[#This Row],[Customer ID]], customers!$A$1:$A$1001, 0))</f>
        <v>Yes</v>
      </c>
    </row>
    <row r="750" spans="1:16" x14ac:dyDescent="0.25">
      <c r="A750" s="2" t="s">
        <v>4717</v>
      </c>
      <c r="B750" s="3">
        <v>44074</v>
      </c>
      <c r="C750" s="2" t="s">
        <v>4718</v>
      </c>
      <c r="D750" t="s">
        <v>6144</v>
      </c>
      <c r="E750" s="2">
        <v>2</v>
      </c>
      <c r="F750" s="2" t="str">
        <f>IFERROR(INDEX(customers!B$1:B$1001, MATCH(C750, customers!A$1:A$1001, 0)), "Not Found")</f>
        <v>Felita Eshmade</v>
      </c>
      <c r="G750" s="2" t="str">
        <f>IF(IFERROR(INDEX(customers!C$1:C$1001, MATCH(C750, customers!A$1:A$1001, 0)), "Not Found")=0,"",IFERROR(INDEX(customers!C$1:C$1001, MATCH(C750, customers!A$1:A$1001, 0)), "Not Found"))</f>
        <v>feshmadeks@umn.edu</v>
      </c>
      <c r="H750" s="2" t="str">
        <f>IFERROR(INDEX(customers!G$1:G$1001, MATCH(C750, customers!A$1:A$1001, 0)), "Not Found")</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L750*E750</f>
        <v>14.58</v>
      </c>
      <c r="N750" t="str">
        <f>IF(I750="Rob","Robusta",IF(I750="Exc","Excelsa",IF(I750="Ara","Arabica",IF(I750="Lib","Laberica",""))))</f>
        <v>Excelsa</v>
      </c>
      <c r="O750" t="str">
        <f t="shared" si="11"/>
        <v>Dark</v>
      </c>
      <c r="P750" t="str">
        <f>INDEX(customers!$I$1:$I$1001, MATCH(Orders[[#This Row],[Customer ID]], customers!$A$1:$A$1001, 0))</f>
        <v>No</v>
      </c>
    </row>
    <row r="751" spans="1:16" x14ac:dyDescent="0.25">
      <c r="A751" s="2" t="s">
        <v>4723</v>
      </c>
      <c r="B751" s="3">
        <v>44209</v>
      </c>
      <c r="C751" s="2" t="s">
        <v>4724</v>
      </c>
      <c r="D751" t="s">
        <v>6163</v>
      </c>
      <c r="E751" s="2">
        <v>2</v>
      </c>
      <c r="F751" s="2" t="str">
        <f>IFERROR(INDEX(customers!B$1:B$1001, MATCH(C751, customers!A$1:A$1001, 0)), "Not Found")</f>
        <v>Melodie OIlier</v>
      </c>
      <c r="G751" s="2" t="str">
        <f>IF(IFERROR(INDEX(customers!C$1:C$1001, MATCH(C751, customers!A$1:A$1001, 0)), "Not Found")=0,"",IFERROR(INDEX(customers!C$1:C$1001, MATCH(C751, customers!A$1:A$1001, 0)), "Not Found"))</f>
        <v>moilierkt@paginegialle.it</v>
      </c>
      <c r="H751" s="2" t="str">
        <f>IFERROR(INDEX(customers!G$1:G$1001, MATCH(C751, customers!A$1:A$1001, 0)), "Not Found")</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L751*E751</f>
        <v>5.3699999999999992</v>
      </c>
      <c r="N751" t="str">
        <f>IF(I751="Rob","Robusta",IF(I751="Exc","Excelsa",IF(I751="Ara","Arabica",IF(I751="Lib","Laberica",""))))</f>
        <v>Robusta</v>
      </c>
      <c r="O751" t="str">
        <f t="shared" si="11"/>
        <v>Dark</v>
      </c>
      <c r="P751" t="str">
        <f>INDEX(customers!$I$1:$I$1001, MATCH(Orders[[#This Row],[Customer ID]], customers!$A$1:$A$1001, 0))</f>
        <v>Yes</v>
      </c>
    </row>
    <row r="752" spans="1:16" x14ac:dyDescent="0.25">
      <c r="A752" s="2" t="s">
        <v>4730</v>
      </c>
      <c r="B752" s="3">
        <v>44277</v>
      </c>
      <c r="C752" s="2" t="s">
        <v>4731</v>
      </c>
      <c r="D752" t="s">
        <v>6146</v>
      </c>
      <c r="E752" s="2">
        <v>1</v>
      </c>
      <c r="F752" s="2" t="str">
        <f>IFERROR(INDEX(customers!B$1:B$1001, MATCH(C752, customers!A$1:A$1001, 0)), "Not Found")</f>
        <v>Hazel Iacopini</v>
      </c>
      <c r="G752" s="2" t="str">
        <f>IF(IFERROR(INDEX(customers!C$1:C$1001, MATCH(C752, customers!A$1:A$1001, 0)), "Not Found")=0,"",IFERROR(INDEX(customers!C$1:C$1001, MATCH(C752, customers!A$1:A$1001, 0)), "Not Found"))</f>
        <v/>
      </c>
      <c r="H752" s="2" t="str">
        <f>IFERROR(INDEX(customers!G$1:G$1001, MATCH(C752, customers!A$1:A$1001, 0)), "Not Found")</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L752*E752</f>
        <v>5.97</v>
      </c>
      <c r="N752" t="str">
        <f>IF(I752="Rob","Robusta",IF(I752="Exc","Excelsa",IF(I752="Ara","Arabica",IF(I752="Lib","Laberica",""))))</f>
        <v>Robusta</v>
      </c>
      <c r="O752" t="str">
        <f t="shared" si="11"/>
        <v>Medium</v>
      </c>
      <c r="P752" t="str">
        <f>INDEX(customers!$I$1:$I$1001, MATCH(Orders[[#This Row],[Customer ID]], customers!$A$1:$A$1001, 0))</f>
        <v>Yes</v>
      </c>
    </row>
    <row r="753" spans="1:16" x14ac:dyDescent="0.25">
      <c r="A753" s="2" t="s">
        <v>4735</v>
      </c>
      <c r="B753" s="3">
        <v>43847</v>
      </c>
      <c r="C753" s="2" t="s">
        <v>4736</v>
      </c>
      <c r="D753" t="s">
        <v>6161</v>
      </c>
      <c r="E753" s="2">
        <v>2</v>
      </c>
      <c r="F753" s="2" t="str">
        <f>IFERROR(INDEX(customers!B$1:B$1001, MATCH(C753, customers!A$1:A$1001, 0)), "Not Found")</f>
        <v>Vinny Shoebotham</v>
      </c>
      <c r="G753" s="2" t="str">
        <f>IF(IFERROR(INDEX(customers!C$1:C$1001, MATCH(C753, customers!A$1:A$1001, 0)), "Not Found")=0,"",IFERROR(INDEX(customers!C$1:C$1001, MATCH(C753, customers!A$1:A$1001, 0)), "Not Found"))</f>
        <v>vshoebothamkv@redcross.org</v>
      </c>
      <c r="H753" s="2" t="str">
        <f>IFERROR(INDEX(customers!G$1:G$1001, MATCH(C753, customers!A$1:A$1001, 0)), "Not Found")</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L753*E753</f>
        <v>19.02</v>
      </c>
      <c r="N753" t="str">
        <f>IF(I753="Rob","Robusta",IF(I753="Exc","Excelsa",IF(I753="Ara","Arabica",IF(I753="Lib","Laberica",""))))</f>
        <v>Laberica</v>
      </c>
      <c r="O753" t="str">
        <f t="shared" si="11"/>
        <v>Light</v>
      </c>
      <c r="P753" t="str">
        <f>INDEX(customers!$I$1:$I$1001, MATCH(Orders[[#This Row],[Customer ID]], customers!$A$1:$A$1001, 0))</f>
        <v>No</v>
      </c>
    </row>
    <row r="754" spans="1:16" x14ac:dyDescent="0.25">
      <c r="A754" s="2" t="s">
        <v>4741</v>
      </c>
      <c r="B754" s="3">
        <v>43648</v>
      </c>
      <c r="C754" s="2" t="s">
        <v>4742</v>
      </c>
      <c r="D754" t="s">
        <v>6141</v>
      </c>
      <c r="E754" s="2">
        <v>2</v>
      </c>
      <c r="F754" s="2" t="str">
        <f>IFERROR(INDEX(customers!B$1:B$1001, MATCH(C754, customers!A$1:A$1001, 0)), "Not Found")</f>
        <v>Bran Sterke</v>
      </c>
      <c r="G754" s="2" t="str">
        <f>IF(IFERROR(INDEX(customers!C$1:C$1001, MATCH(C754, customers!A$1:A$1001, 0)), "Not Found")=0,"",IFERROR(INDEX(customers!C$1:C$1001, MATCH(C754, customers!A$1:A$1001, 0)), "Not Found"))</f>
        <v>bsterkekw@biblegateway.com</v>
      </c>
      <c r="H754" s="2" t="str">
        <f>IFERROR(INDEX(customers!G$1:G$1001, MATCH(C754, customers!A$1:A$1001, 0)), "Not Found")</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L754*E754</f>
        <v>27.5</v>
      </c>
      <c r="N754" t="str">
        <f>IF(I754="Rob","Robusta",IF(I754="Exc","Excelsa",IF(I754="Ara","Arabica",IF(I754="Lib","Laberica",""))))</f>
        <v>Excelsa</v>
      </c>
      <c r="O754" t="str">
        <f t="shared" si="11"/>
        <v>Medium</v>
      </c>
      <c r="P754" t="str">
        <f>INDEX(customers!$I$1:$I$1001, MATCH(Orders[[#This Row],[Customer ID]], customers!$A$1:$A$1001, 0))</f>
        <v>Yes</v>
      </c>
    </row>
    <row r="755" spans="1:16" x14ac:dyDescent="0.25">
      <c r="A755" s="2" t="s">
        <v>4747</v>
      </c>
      <c r="B755" s="3">
        <v>44704</v>
      </c>
      <c r="C755" s="2" t="s">
        <v>4748</v>
      </c>
      <c r="D755" t="s">
        <v>6158</v>
      </c>
      <c r="E755" s="2">
        <v>5</v>
      </c>
      <c r="F755" s="2" t="str">
        <f>IFERROR(INDEX(customers!B$1:B$1001, MATCH(C755, customers!A$1:A$1001, 0)), "Not Found")</f>
        <v>Simone Capon</v>
      </c>
      <c r="G755" s="2" t="str">
        <f>IF(IFERROR(INDEX(customers!C$1:C$1001, MATCH(C755, customers!A$1:A$1001, 0)), "Not Found")=0,"",IFERROR(INDEX(customers!C$1:C$1001, MATCH(C755, customers!A$1:A$1001, 0)), "Not Found"))</f>
        <v>scaponkx@craigslist.org</v>
      </c>
      <c r="H755" s="2" t="str">
        <f>IFERROR(INDEX(customers!G$1:G$1001, MATCH(C755, customers!A$1:A$1001, 0)), "Not Found")</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L755*E755</f>
        <v>29.849999999999998</v>
      </c>
      <c r="N755" t="str">
        <f>IF(I755="Rob","Robusta",IF(I755="Exc","Excelsa",IF(I755="Ara","Arabica",IF(I755="Lib","Laberica",""))))</f>
        <v>Arabica</v>
      </c>
      <c r="O755" t="str">
        <f t="shared" si="11"/>
        <v>Dark</v>
      </c>
      <c r="P755" t="str">
        <f>INDEX(customers!$I$1:$I$1001, MATCH(Orders[[#This Row],[Customer ID]], customers!$A$1:$A$1001, 0))</f>
        <v>No</v>
      </c>
    </row>
    <row r="756" spans="1:16" x14ac:dyDescent="0.25">
      <c r="A756" s="2" t="s">
        <v>4753</v>
      </c>
      <c r="B756" s="3">
        <v>44726</v>
      </c>
      <c r="C756" s="2" t="s">
        <v>4434</v>
      </c>
      <c r="D756" t="s">
        <v>6154</v>
      </c>
      <c r="E756" s="2">
        <v>6</v>
      </c>
      <c r="F756" s="2" t="str">
        <f>IFERROR(INDEX(customers!B$1:B$1001, MATCH(C756, customers!A$1:A$1001, 0)), "Not Found")</f>
        <v>Jimmy Dymoke</v>
      </c>
      <c r="G756" s="2" t="str">
        <f>IF(IFERROR(INDEX(customers!C$1:C$1001, MATCH(C756, customers!A$1:A$1001, 0)), "Not Found")=0,"",IFERROR(INDEX(customers!C$1:C$1001, MATCH(C756, customers!A$1:A$1001, 0)), "Not Found"))</f>
        <v>jdymokeje@prnewswire.com</v>
      </c>
      <c r="H756" s="2" t="str">
        <f>IFERROR(INDEX(customers!G$1:G$1001, MATCH(C756, customers!A$1:A$1001, 0)), "Not Found")</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L756*E756</f>
        <v>17.91</v>
      </c>
      <c r="N756" t="str">
        <f>IF(I756="Rob","Robusta",IF(I756="Exc","Excelsa",IF(I756="Ara","Arabica",IF(I756="Lib","Laberica",""))))</f>
        <v>Arabica</v>
      </c>
      <c r="O756" t="str">
        <f t="shared" si="11"/>
        <v>Dark</v>
      </c>
      <c r="P756" t="str">
        <f>INDEX(customers!$I$1:$I$1001, MATCH(Orders[[#This Row],[Customer ID]], customers!$A$1:$A$1001, 0))</f>
        <v>No</v>
      </c>
    </row>
    <row r="757" spans="1:16" x14ac:dyDescent="0.25">
      <c r="A757" s="2" t="s">
        <v>4758</v>
      </c>
      <c r="B757" s="3">
        <v>44397</v>
      </c>
      <c r="C757" s="2" t="s">
        <v>4759</v>
      </c>
      <c r="D757" t="s">
        <v>6145</v>
      </c>
      <c r="E757" s="2">
        <v>6</v>
      </c>
      <c r="F757" s="2" t="str">
        <f>IFERROR(INDEX(customers!B$1:B$1001, MATCH(C757, customers!A$1:A$1001, 0)), "Not Found")</f>
        <v>Foster Constance</v>
      </c>
      <c r="G757" s="2" t="str">
        <f>IF(IFERROR(INDEX(customers!C$1:C$1001, MATCH(C757, customers!A$1:A$1001, 0)), "Not Found")=0,"",IFERROR(INDEX(customers!C$1:C$1001, MATCH(C757, customers!A$1:A$1001, 0)), "Not Found"))</f>
        <v>fconstancekz@ifeng.com</v>
      </c>
      <c r="H757" s="2" t="str">
        <f>IFERROR(INDEX(customers!G$1:G$1001, MATCH(C757, customers!A$1:A$1001, 0)), "Not Found")</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L757*E757</f>
        <v>28.53</v>
      </c>
      <c r="N757" t="str">
        <f>IF(I757="Rob","Robusta",IF(I757="Exc","Excelsa",IF(I757="Ara","Arabica",IF(I757="Lib","Laberica",""))))</f>
        <v>Laberica</v>
      </c>
      <c r="O757" t="str">
        <f t="shared" si="11"/>
        <v>Light</v>
      </c>
      <c r="P757" t="str">
        <f>INDEX(customers!$I$1:$I$1001, MATCH(Orders[[#This Row],[Customer ID]], customers!$A$1:$A$1001, 0))</f>
        <v>No</v>
      </c>
    </row>
    <row r="758" spans="1:16" x14ac:dyDescent="0.25">
      <c r="A758" s="2" t="s">
        <v>4764</v>
      </c>
      <c r="B758" s="3">
        <v>44715</v>
      </c>
      <c r="C758" s="2" t="s">
        <v>4765</v>
      </c>
      <c r="D758" t="s">
        <v>6177</v>
      </c>
      <c r="E758" s="2">
        <v>4</v>
      </c>
      <c r="F758" s="2" t="str">
        <f>IFERROR(INDEX(customers!B$1:B$1001, MATCH(C758, customers!A$1:A$1001, 0)), "Not Found")</f>
        <v>Fernando Sulman</v>
      </c>
      <c r="G758" s="2" t="str">
        <f>IF(IFERROR(INDEX(customers!C$1:C$1001, MATCH(C758, customers!A$1:A$1001, 0)), "Not Found")=0,"",IFERROR(INDEX(customers!C$1:C$1001, MATCH(C758, customers!A$1:A$1001, 0)), "Not Found"))</f>
        <v>fsulmanl0@washington.edu</v>
      </c>
      <c r="H758" s="2" t="str">
        <f>IFERROR(INDEX(customers!G$1:G$1001, MATCH(C758, customers!A$1:A$1001, 0)), "Not Found")</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L758*E758</f>
        <v>35.799999999999997</v>
      </c>
      <c r="N758" t="str">
        <f>IF(I758="Rob","Robusta",IF(I758="Exc","Excelsa",IF(I758="Ara","Arabica",IF(I758="Lib","Laberica",""))))</f>
        <v>Robusta</v>
      </c>
      <c r="O758" t="str">
        <f t="shared" si="11"/>
        <v>Dark</v>
      </c>
      <c r="P758" t="str">
        <f>INDEX(customers!$I$1:$I$1001, MATCH(Orders[[#This Row],[Customer ID]], customers!$A$1:$A$1001, 0))</f>
        <v>Yes</v>
      </c>
    </row>
    <row r="759" spans="1:16" x14ac:dyDescent="0.25">
      <c r="A759" s="2" t="s">
        <v>4770</v>
      </c>
      <c r="B759" s="3">
        <v>43977</v>
      </c>
      <c r="C759" s="2" t="s">
        <v>4771</v>
      </c>
      <c r="D759" t="s">
        <v>6158</v>
      </c>
      <c r="E759" s="2">
        <v>3</v>
      </c>
      <c r="F759" s="2" t="str">
        <f>IFERROR(INDEX(customers!B$1:B$1001, MATCH(C759, customers!A$1:A$1001, 0)), "Not Found")</f>
        <v>Dorotea Hollyman</v>
      </c>
      <c r="G759" s="2" t="str">
        <f>IF(IFERROR(INDEX(customers!C$1:C$1001, MATCH(C759, customers!A$1:A$1001, 0)), "Not Found")=0,"",IFERROR(INDEX(customers!C$1:C$1001, MATCH(C759, customers!A$1:A$1001, 0)), "Not Found"))</f>
        <v>dhollymanl1@ibm.com</v>
      </c>
      <c r="H759" s="2" t="str">
        <f>IFERROR(INDEX(customers!G$1:G$1001, MATCH(C759, customers!A$1:A$1001, 0)), "Not Found")</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L759*E759</f>
        <v>17.91</v>
      </c>
      <c r="N759" t="str">
        <f>IF(I759="Rob","Robusta",IF(I759="Exc","Excelsa",IF(I759="Ara","Arabica",IF(I759="Lib","Laberica",""))))</f>
        <v>Arabica</v>
      </c>
      <c r="O759" t="str">
        <f t="shared" si="11"/>
        <v>Dark</v>
      </c>
      <c r="P759" t="str">
        <f>INDEX(customers!$I$1:$I$1001, MATCH(Orders[[#This Row],[Customer ID]], customers!$A$1:$A$1001, 0))</f>
        <v>Yes</v>
      </c>
    </row>
    <row r="760" spans="1:16" x14ac:dyDescent="0.25">
      <c r="A760" s="2" t="s">
        <v>4776</v>
      </c>
      <c r="B760" s="3">
        <v>43672</v>
      </c>
      <c r="C760" s="2" t="s">
        <v>4777</v>
      </c>
      <c r="D760" t="s">
        <v>6177</v>
      </c>
      <c r="E760" s="2">
        <v>1</v>
      </c>
      <c r="F760" s="2" t="str">
        <f>IFERROR(INDEX(customers!B$1:B$1001, MATCH(C760, customers!A$1:A$1001, 0)), "Not Found")</f>
        <v>Lorelei Nardoni</v>
      </c>
      <c r="G760" s="2" t="str">
        <f>IF(IFERROR(INDEX(customers!C$1:C$1001, MATCH(C760, customers!A$1:A$1001, 0)), "Not Found")=0,"",IFERROR(INDEX(customers!C$1:C$1001, MATCH(C760, customers!A$1:A$1001, 0)), "Not Found"))</f>
        <v>lnardonil2@hao123.com</v>
      </c>
      <c r="H760" s="2" t="str">
        <f>IFERROR(INDEX(customers!G$1:G$1001, MATCH(C760, customers!A$1:A$1001, 0)), "Not Found")</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L760*E760</f>
        <v>8.9499999999999993</v>
      </c>
      <c r="N760" t="str">
        <f>IF(I760="Rob","Robusta",IF(I760="Exc","Excelsa",IF(I760="Ara","Arabica",IF(I760="Lib","Laberica",""))))</f>
        <v>Robusta</v>
      </c>
      <c r="O760" t="str">
        <f t="shared" si="11"/>
        <v>Dark</v>
      </c>
      <c r="P760" t="str">
        <f>INDEX(customers!$I$1:$I$1001, MATCH(Orders[[#This Row],[Customer ID]], customers!$A$1:$A$1001, 0))</f>
        <v>No</v>
      </c>
    </row>
    <row r="761" spans="1:16" x14ac:dyDescent="0.25">
      <c r="A761" s="2" t="s">
        <v>4781</v>
      </c>
      <c r="B761" s="3">
        <v>44126</v>
      </c>
      <c r="C761" s="2" t="s">
        <v>4782</v>
      </c>
      <c r="D761" t="s">
        <v>6165</v>
      </c>
      <c r="E761" s="2">
        <v>1</v>
      </c>
      <c r="F761" s="2" t="str">
        <f>IFERROR(INDEX(customers!B$1:B$1001, MATCH(C761, customers!A$1:A$1001, 0)), "Not Found")</f>
        <v>Dallas Yarham</v>
      </c>
      <c r="G761" s="2" t="str">
        <f>IF(IFERROR(INDEX(customers!C$1:C$1001, MATCH(C761, customers!A$1:A$1001, 0)), "Not Found")=0,"",IFERROR(INDEX(customers!C$1:C$1001, MATCH(C761, customers!A$1:A$1001, 0)), "Not Found"))</f>
        <v>dyarhaml3@moonfruit.com</v>
      </c>
      <c r="H761" s="2" t="str">
        <f>IFERROR(INDEX(customers!G$1:G$1001, MATCH(C761, customers!A$1:A$1001, 0)), "Not Found")</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L761*E761</f>
        <v>29.784999999999997</v>
      </c>
      <c r="N761" t="str">
        <f>IF(I761="Rob","Robusta",IF(I761="Exc","Excelsa",IF(I761="Ara","Arabica",IF(I761="Lib","Laberica",""))))</f>
        <v>Laberica</v>
      </c>
      <c r="O761" t="str">
        <f t="shared" si="11"/>
        <v>Dark</v>
      </c>
      <c r="P761" t="str">
        <f>INDEX(customers!$I$1:$I$1001, MATCH(Orders[[#This Row],[Customer ID]], customers!$A$1:$A$1001, 0))</f>
        <v>Yes</v>
      </c>
    </row>
    <row r="762" spans="1:16" x14ac:dyDescent="0.25">
      <c r="A762" s="2" t="s">
        <v>4787</v>
      </c>
      <c r="B762" s="3">
        <v>44189</v>
      </c>
      <c r="C762" s="2" t="s">
        <v>4788</v>
      </c>
      <c r="D762" t="s">
        <v>6176</v>
      </c>
      <c r="E762" s="2">
        <v>5</v>
      </c>
      <c r="F762" s="2" t="str">
        <f>IFERROR(INDEX(customers!B$1:B$1001, MATCH(C762, customers!A$1:A$1001, 0)), "Not Found")</f>
        <v>Arlana Ferrea</v>
      </c>
      <c r="G762" s="2" t="str">
        <f>IF(IFERROR(INDEX(customers!C$1:C$1001, MATCH(C762, customers!A$1:A$1001, 0)), "Not Found")=0,"",IFERROR(INDEX(customers!C$1:C$1001, MATCH(C762, customers!A$1:A$1001, 0)), "Not Found"))</f>
        <v>aferreal4@wikia.com</v>
      </c>
      <c r="H762" s="2" t="str">
        <f>IFERROR(INDEX(customers!G$1:G$1001, MATCH(C762, customers!A$1:A$1001, 0)), "Not Found")</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L762*E762</f>
        <v>44.55</v>
      </c>
      <c r="N762" t="str">
        <f>IF(I762="Rob","Robusta",IF(I762="Exc","Excelsa",IF(I762="Ara","Arabica",IF(I762="Lib","Laberica",""))))</f>
        <v>Excelsa</v>
      </c>
      <c r="O762" t="str">
        <f t="shared" si="11"/>
        <v>Light</v>
      </c>
      <c r="P762" t="str">
        <f>INDEX(customers!$I$1:$I$1001, MATCH(Orders[[#This Row],[Customer ID]], customers!$A$1:$A$1001, 0))</f>
        <v>No</v>
      </c>
    </row>
    <row r="763" spans="1:16" x14ac:dyDescent="0.25">
      <c r="A763" s="2" t="s">
        <v>4792</v>
      </c>
      <c r="B763" s="3">
        <v>43714</v>
      </c>
      <c r="C763" s="2" t="s">
        <v>4793</v>
      </c>
      <c r="D763" t="s">
        <v>6171</v>
      </c>
      <c r="E763" s="2">
        <v>6</v>
      </c>
      <c r="F763" s="2" t="str">
        <f>IFERROR(INDEX(customers!B$1:B$1001, MATCH(C763, customers!A$1:A$1001, 0)), "Not Found")</f>
        <v>Chuck Kendrick</v>
      </c>
      <c r="G763" s="2" t="str">
        <f>IF(IFERROR(INDEX(customers!C$1:C$1001, MATCH(C763, customers!A$1:A$1001, 0)), "Not Found")=0,"",IFERROR(INDEX(customers!C$1:C$1001, MATCH(C763, customers!A$1:A$1001, 0)), "Not Found"))</f>
        <v>ckendrickl5@webnode.com</v>
      </c>
      <c r="H763" s="2" t="str">
        <f>IFERROR(INDEX(customers!G$1:G$1001, MATCH(C763, customers!A$1:A$1001, 0)), "Not Found")</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L763*E763</f>
        <v>89.1</v>
      </c>
      <c r="N763" t="str">
        <f>IF(I763="Rob","Robusta",IF(I763="Exc","Excelsa",IF(I763="Ara","Arabica",IF(I763="Lib","Laberica",""))))</f>
        <v>Excelsa</v>
      </c>
      <c r="O763" t="str">
        <f t="shared" si="11"/>
        <v>Light</v>
      </c>
      <c r="P763" t="str">
        <f>INDEX(customers!$I$1:$I$1001, MATCH(Orders[[#This Row],[Customer ID]], customers!$A$1:$A$1001, 0))</f>
        <v>Yes</v>
      </c>
    </row>
    <row r="764" spans="1:16" x14ac:dyDescent="0.25">
      <c r="A764" s="2" t="s">
        <v>4797</v>
      </c>
      <c r="B764" s="3">
        <v>43563</v>
      </c>
      <c r="C764" s="2" t="s">
        <v>4798</v>
      </c>
      <c r="D764" t="s">
        <v>6160</v>
      </c>
      <c r="E764" s="2">
        <v>5</v>
      </c>
      <c r="F764" s="2" t="str">
        <f>IFERROR(INDEX(customers!B$1:B$1001, MATCH(C764, customers!A$1:A$1001, 0)), "Not Found")</f>
        <v>Sharona Danilchik</v>
      </c>
      <c r="G764" s="2" t="str">
        <f>IF(IFERROR(INDEX(customers!C$1:C$1001, MATCH(C764, customers!A$1:A$1001, 0)), "Not Found")=0,"",IFERROR(INDEX(customers!C$1:C$1001, MATCH(C764, customers!A$1:A$1001, 0)), "Not Found"))</f>
        <v>sdanilchikl6@mit.edu</v>
      </c>
      <c r="H764" s="2" t="str">
        <f>IFERROR(INDEX(customers!G$1:G$1001, MATCH(C764, customers!A$1:A$1001, 0)), "Not Found")</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L764*E764</f>
        <v>43.650000000000006</v>
      </c>
      <c r="N764" t="str">
        <f>IF(I764="Rob","Robusta",IF(I764="Exc","Excelsa",IF(I764="Ara","Arabica",IF(I764="Lib","Laberica",""))))</f>
        <v>Laberica</v>
      </c>
      <c r="O764" t="str">
        <f t="shared" si="11"/>
        <v>Medium</v>
      </c>
      <c r="P764" t="str">
        <f>INDEX(customers!$I$1:$I$1001, MATCH(Orders[[#This Row],[Customer ID]], customers!$A$1:$A$1001, 0))</f>
        <v>No</v>
      </c>
    </row>
    <row r="765" spans="1:16" x14ac:dyDescent="0.25">
      <c r="A765" s="2" t="s">
        <v>4803</v>
      </c>
      <c r="B765" s="3">
        <v>44587</v>
      </c>
      <c r="C765" s="2" t="s">
        <v>4804</v>
      </c>
      <c r="D765" t="s">
        <v>6180</v>
      </c>
      <c r="E765" s="2">
        <v>3</v>
      </c>
      <c r="F765" s="2" t="str">
        <f>IFERROR(INDEX(customers!B$1:B$1001, MATCH(C765, customers!A$1:A$1001, 0)), "Not Found")</f>
        <v>Sarajane Potter</v>
      </c>
      <c r="G765" s="2" t="str">
        <f>IF(IFERROR(INDEX(customers!C$1:C$1001, MATCH(C765, customers!A$1:A$1001, 0)), "Not Found")=0,"",IFERROR(INDEX(customers!C$1:C$1001, MATCH(C765, customers!A$1:A$1001, 0)), "Not Found"))</f>
        <v/>
      </c>
      <c r="H765" s="2" t="str">
        <f>IFERROR(INDEX(customers!G$1:G$1001, MATCH(C765, customers!A$1:A$1001, 0)), "Not Found")</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L765*E765</f>
        <v>23.31</v>
      </c>
      <c r="N765" t="str">
        <f>IF(I765="Rob","Robusta",IF(I765="Exc","Excelsa",IF(I765="Ara","Arabica",IF(I765="Lib","Laberica",""))))</f>
        <v>Arabica</v>
      </c>
      <c r="O765" t="str">
        <f t="shared" si="11"/>
        <v>Light</v>
      </c>
      <c r="P765" t="str">
        <f>INDEX(customers!$I$1:$I$1001, MATCH(Orders[[#This Row],[Customer ID]], customers!$A$1:$A$1001, 0))</f>
        <v>No</v>
      </c>
    </row>
    <row r="766" spans="1:16" x14ac:dyDescent="0.25">
      <c r="A766" s="2" t="s">
        <v>4808</v>
      </c>
      <c r="B766" s="3">
        <v>43797</v>
      </c>
      <c r="C766" s="2" t="s">
        <v>4809</v>
      </c>
      <c r="D766" t="s">
        <v>6182</v>
      </c>
      <c r="E766" s="2">
        <v>6</v>
      </c>
      <c r="F766" s="2" t="str">
        <f>IFERROR(INDEX(customers!B$1:B$1001, MATCH(C766, customers!A$1:A$1001, 0)), "Not Found")</f>
        <v>Bobby Folomkin</v>
      </c>
      <c r="G766" s="2" t="str">
        <f>IF(IFERROR(INDEX(customers!C$1:C$1001, MATCH(C766, customers!A$1:A$1001, 0)), "Not Found")=0,"",IFERROR(INDEX(customers!C$1:C$1001, MATCH(C766, customers!A$1:A$1001, 0)), "Not Found"))</f>
        <v>bfolomkinl8@yolasite.com</v>
      </c>
      <c r="H766" s="2" t="str">
        <f>IFERROR(INDEX(customers!G$1:G$1001, MATCH(C766, customers!A$1:A$1001, 0)), "Not Found")</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L766*E766</f>
        <v>178.70999999999998</v>
      </c>
      <c r="N766" t="str">
        <f>IF(I766="Rob","Robusta",IF(I766="Exc","Excelsa",IF(I766="Ara","Arabica",IF(I766="Lib","Laberica",""))))</f>
        <v>Arabica</v>
      </c>
      <c r="O766" t="str">
        <f t="shared" si="11"/>
        <v>Light</v>
      </c>
      <c r="P766" t="str">
        <f>INDEX(customers!$I$1:$I$1001, MATCH(Orders[[#This Row],[Customer ID]], customers!$A$1:$A$1001, 0))</f>
        <v>Yes</v>
      </c>
    </row>
    <row r="767" spans="1:16" x14ac:dyDescent="0.25">
      <c r="A767" s="2" t="s">
        <v>4814</v>
      </c>
      <c r="B767" s="3">
        <v>43667</v>
      </c>
      <c r="C767" s="2" t="s">
        <v>4815</v>
      </c>
      <c r="D767" t="s">
        <v>6138</v>
      </c>
      <c r="E767" s="2">
        <v>6</v>
      </c>
      <c r="F767" s="2" t="str">
        <f>IFERROR(INDEX(customers!B$1:B$1001, MATCH(C767, customers!A$1:A$1001, 0)), "Not Found")</f>
        <v>Rafferty Pursglove</v>
      </c>
      <c r="G767" s="2" t="str">
        <f>IF(IFERROR(INDEX(customers!C$1:C$1001, MATCH(C767, customers!A$1:A$1001, 0)), "Not Found")=0,"",IFERROR(INDEX(customers!C$1:C$1001, MATCH(C767, customers!A$1:A$1001, 0)), "Not Found"))</f>
        <v>rpursglovel9@biblegateway.com</v>
      </c>
      <c r="H767" s="2" t="str">
        <f>IFERROR(INDEX(customers!G$1:G$1001, MATCH(C767, customers!A$1:A$1001, 0)), "Not Found")</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L767*E767</f>
        <v>59.699999999999996</v>
      </c>
      <c r="N767" t="str">
        <f>IF(I767="Rob","Robusta",IF(I767="Exc","Excelsa",IF(I767="Ara","Arabica",IF(I767="Lib","Laberica",""))))</f>
        <v>Robusta</v>
      </c>
      <c r="O767" t="str">
        <f t="shared" si="11"/>
        <v>Medium</v>
      </c>
      <c r="P767" t="str">
        <f>INDEX(customers!$I$1:$I$1001, MATCH(Orders[[#This Row],[Customer ID]], customers!$A$1:$A$1001, 0))</f>
        <v>Yes</v>
      </c>
    </row>
    <row r="768" spans="1:16" x14ac:dyDescent="0.25">
      <c r="A768" s="2" t="s">
        <v>4814</v>
      </c>
      <c r="B768" s="3">
        <v>43667</v>
      </c>
      <c r="C768" s="2" t="s">
        <v>4815</v>
      </c>
      <c r="D768" t="s">
        <v>6180</v>
      </c>
      <c r="E768" s="2">
        <v>2</v>
      </c>
      <c r="F768" s="2" t="str">
        <f>IFERROR(INDEX(customers!B$1:B$1001, MATCH(C768, customers!A$1:A$1001, 0)), "Not Found")</f>
        <v>Rafferty Pursglove</v>
      </c>
      <c r="G768" s="2" t="str">
        <f>IF(IFERROR(INDEX(customers!C$1:C$1001, MATCH(C768, customers!A$1:A$1001, 0)), "Not Found")=0,"",IFERROR(INDEX(customers!C$1:C$1001, MATCH(C768, customers!A$1:A$1001, 0)), "Not Found"))</f>
        <v>rpursglovel9@biblegateway.com</v>
      </c>
      <c r="H768" s="2" t="str">
        <f>IFERROR(INDEX(customers!G$1:G$1001, MATCH(C768, customers!A$1:A$1001, 0)), "Not Found")</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L768*E768</f>
        <v>15.54</v>
      </c>
      <c r="N768" t="str">
        <f>IF(I768="Rob","Robusta",IF(I768="Exc","Excelsa",IF(I768="Ara","Arabica",IF(I768="Lib","Laberica",""))))</f>
        <v>Arabica</v>
      </c>
      <c r="O768" t="str">
        <f t="shared" si="11"/>
        <v>Light</v>
      </c>
      <c r="P768" t="str">
        <f>INDEX(customers!$I$1:$I$1001, MATCH(Orders[[#This Row],[Customer ID]], customers!$A$1:$A$1001, 0))</f>
        <v>Yes</v>
      </c>
    </row>
    <row r="769" spans="1:16" x14ac:dyDescent="0.25">
      <c r="A769" s="2" t="s">
        <v>4825</v>
      </c>
      <c r="B769" s="3">
        <v>44267</v>
      </c>
      <c r="C769" s="2" t="s">
        <v>4759</v>
      </c>
      <c r="D769" t="s">
        <v>6182</v>
      </c>
      <c r="E769" s="2">
        <v>3</v>
      </c>
      <c r="F769" s="2" t="str">
        <f>IFERROR(INDEX(customers!B$1:B$1001, MATCH(C769, customers!A$1:A$1001, 0)), "Not Found")</f>
        <v>Foster Constance</v>
      </c>
      <c r="G769" s="2" t="str">
        <f>IF(IFERROR(INDEX(customers!C$1:C$1001, MATCH(C769, customers!A$1:A$1001, 0)), "Not Found")=0,"",IFERROR(INDEX(customers!C$1:C$1001, MATCH(C769, customers!A$1:A$1001, 0)), "Not Found"))</f>
        <v>fconstancekz@ifeng.com</v>
      </c>
      <c r="H769" s="2" t="str">
        <f>IFERROR(INDEX(customers!G$1:G$1001, MATCH(C769, customers!A$1:A$1001, 0)), "Not Found")</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L769*E769</f>
        <v>89.35499999999999</v>
      </c>
      <c r="N769" t="str">
        <f>IF(I769="Rob","Robusta",IF(I769="Exc","Excelsa",IF(I769="Ara","Arabica",IF(I769="Lib","Laberica",""))))</f>
        <v>Arabica</v>
      </c>
      <c r="O769" t="str">
        <f t="shared" si="11"/>
        <v>Light</v>
      </c>
      <c r="P769" t="str">
        <f>INDEX(customers!$I$1:$I$1001, MATCH(Orders[[#This Row],[Customer ID]], customers!$A$1:$A$1001, 0))</f>
        <v>No</v>
      </c>
    </row>
    <row r="770" spans="1:16" x14ac:dyDescent="0.25">
      <c r="A770" s="2" t="s">
        <v>4831</v>
      </c>
      <c r="B770" s="3">
        <v>44562</v>
      </c>
      <c r="C770" s="2" t="s">
        <v>4759</v>
      </c>
      <c r="D770" t="s">
        <v>6179</v>
      </c>
      <c r="E770" s="2">
        <v>2</v>
      </c>
      <c r="F770" s="2" t="str">
        <f>IFERROR(INDEX(customers!B$1:B$1001, MATCH(C770, customers!A$1:A$1001, 0)), "Not Found")</f>
        <v>Foster Constance</v>
      </c>
      <c r="G770" s="2" t="str">
        <f>IF(IFERROR(INDEX(customers!C$1:C$1001, MATCH(C770, customers!A$1:A$1001, 0)), "Not Found")=0,"",IFERROR(INDEX(customers!C$1:C$1001, MATCH(C770, customers!A$1:A$1001, 0)), "Not Found"))</f>
        <v>fconstancekz@ifeng.com</v>
      </c>
      <c r="H770" s="2" t="str">
        <f>IFERROR(INDEX(customers!G$1:G$1001, MATCH(C770, customers!A$1:A$1001, 0)), "Not Found")</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L770*E770</f>
        <v>23.9</v>
      </c>
      <c r="N770" t="str">
        <f>IF(I770="Rob","Robusta",IF(I770="Exc","Excelsa",IF(I770="Ara","Arabica",IF(I770="Lib","Laberica",""))))</f>
        <v>Robusta</v>
      </c>
      <c r="O770" t="str">
        <f t="shared" si="11"/>
        <v>Light</v>
      </c>
      <c r="P770" t="str">
        <f>INDEX(customers!$I$1:$I$1001, MATCH(Orders[[#This Row],[Customer ID]], customers!$A$1:$A$1001, 0))</f>
        <v>No</v>
      </c>
    </row>
    <row r="771" spans="1:16" x14ac:dyDescent="0.25">
      <c r="A771" s="2" t="s">
        <v>4836</v>
      </c>
      <c r="B771" s="3">
        <v>43912</v>
      </c>
      <c r="C771" s="2" t="s">
        <v>4837</v>
      </c>
      <c r="D771" t="s">
        <v>6151</v>
      </c>
      <c r="E771" s="2">
        <v>6</v>
      </c>
      <c r="F771" s="2" t="str">
        <f>IFERROR(INDEX(customers!B$1:B$1001, MATCH(C771, customers!A$1:A$1001, 0)), "Not Found")</f>
        <v>Dalia Eburah</v>
      </c>
      <c r="G771" s="2" t="str">
        <f>IF(IFERROR(INDEX(customers!C$1:C$1001, MATCH(C771, customers!A$1:A$1001, 0)), "Not Found")=0,"",IFERROR(INDEX(customers!C$1:C$1001, MATCH(C771, customers!A$1:A$1001, 0)), "Not Found"))</f>
        <v>deburahld@google.co.jp</v>
      </c>
      <c r="H771" s="2" t="str">
        <f>IFERROR(INDEX(customers!G$1:G$1001, MATCH(C771, customers!A$1:A$1001, 0)), "Not Found")</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L771*E771</f>
        <v>137.31</v>
      </c>
      <c r="N771" t="str">
        <f>IF(I771="Rob","Robusta",IF(I771="Exc","Excelsa",IF(I771="Ara","Arabica",IF(I771="Lib","Laberica",""))))</f>
        <v>Robusta</v>
      </c>
      <c r="O771" t="str">
        <f t="shared" ref="O771:O834" si="12">IF(J771="M","Medium",IF(J771="L","Light",IF(J771="D","Dark","")))</f>
        <v>Medium</v>
      </c>
      <c r="P771" t="str">
        <f>INDEX(customers!$I$1:$I$1001, MATCH(Orders[[#This Row],[Customer ID]], customers!$A$1:$A$1001, 0))</f>
        <v>No</v>
      </c>
    </row>
    <row r="772" spans="1:16" x14ac:dyDescent="0.25">
      <c r="A772" s="2" t="s">
        <v>4842</v>
      </c>
      <c r="B772" s="3">
        <v>44092</v>
      </c>
      <c r="C772" s="2" t="s">
        <v>4843</v>
      </c>
      <c r="D772" t="s">
        <v>6147</v>
      </c>
      <c r="E772" s="2">
        <v>1</v>
      </c>
      <c r="F772" s="2" t="str">
        <f>IFERROR(INDEX(customers!B$1:B$1001, MATCH(C772, customers!A$1:A$1001, 0)), "Not Found")</f>
        <v>Martie Brimilcombe</v>
      </c>
      <c r="G772" s="2" t="str">
        <f>IF(IFERROR(INDEX(customers!C$1:C$1001, MATCH(C772, customers!A$1:A$1001, 0)), "Not Found")=0,"",IFERROR(INDEX(customers!C$1:C$1001, MATCH(C772, customers!A$1:A$1001, 0)), "Not Found"))</f>
        <v>mbrimilcombele@cnn.com</v>
      </c>
      <c r="H772" s="2" t="str">
        <f>IFERROR(INDEX(customers!G$1:G$1001, MATCH(C772, customers!A$1:A$1001, 0)), "Not Found")</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L772*E772</f>
        <v>9.9499999999999993</v>
      </c>
      <c r="N772" t="str">
        <f>IF(I772="Rob","Robusta",IF(I772="Exc","Excelsa",IF(I772="Ara","Arabica",IF(I772="Lib","Laberica",""))))</f>
        <v>Arabica</v>
      </c>
      <c r="O772" t="str">
        <f t="shared" si="12"/>
        <v>Dark</v>
      </c>
      <c r="P772" t="str">
        <f>INDEX(customers!$I$1:$I$1001, MATCH(Orders[[#This Row],[Customer ID]], customers!$A$1:$A$1001, 0))</f>
        <v>No</v>
      </c>
    </row>
    <row r="773" spans="1:16" x14ac:dyDescent="0.25">
      <c r="A773" s="2" t="s">
        <v>4847</v>
      </c>
      <c r="B773" s="3">
        <v>43468</v>
      </c>
      <c r="C773" s="2" t="s">
        <v>4848</v>
      </c>
      <c r="D773" t="s">
        <v>6173</v>
      </c>
      <c r="E773" s="2">
        <v>3</v>
      </c>
      <c r="F773" s="2" t="str">
        <f>IFERROR(INDEX(customers!B$1:B$1001, MATCH(C773, customers!A$1:A$1001, 0)), "Not Found")</f>
        <v>Suzanna Bollam</v>
      </c>
      <c r="G773" s="2" t="str">
        <f>IF(IFERROR(INDEX(customers!C$1:C$1001, MATCH(C773, customers!A$1:A$1001, 0)), "Not Found")=0,"",IFERROR(INDEX(customers!C$1:C$1001, MATCH(C773, customers!A$1:A$1001, 0)), "Not Found"))</f>
        <v>sbollamlf@list-manage.com</v>
      </c>
      <c r="H773" s="2" t="str">
        <f>IFERROR(INDEX(customers!G$1:G$1001, MATCH(C773, customers!A$1:A$1001, 0)), "Not Found")</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L773*E773</f>
        <v>21.509999999999998</v>
      </c>
      <c r="N773" t="str">
        <f>IF(I773="Rob","Robusta",IF(I773="Exc","Excelsa",IF(I773="Ara","Arabica",IF(I773="Lib","Laberica",""))))</f>
        <v>Robusta</v>
      </c>
      <c r="O773" t="str">
        <f t="shared" si="12"/>
        <v>Light</v>
      </c>
      <c r="P773" t="str">
        <f>INDEX(customers!$I$1:$I$1001, MATCH(Orders[[#This Row],[Customer ID]], customers!$A$1:$A$1001, 0))</f>
        <v>No</v>
      </c>
    </row>
    <row r="774" spans="1:16" x14ac:dyDescent="0.25">
      <c r="A774" s="2" t="s">
        <v>4853</v>
      </c>
      <c r="B774" s="3">
        <v>44468</v>
      </c>
      <c r="C774" s="2" t="s">
        <v>4854</v>
      </c>
      <c r="D774" t="s">
        <v>6141</v>
      </c>
      <c r="E774" s="2">
        <v>6</v>
      </c>
      <c r="F774" s="2" t="str">
        <f>IFERROR(INDEX(customers!B$1:B$1001, MATCH(C774, customers!A$1:A$1001, 0)), "Not Found")</f>
        <v>Mellisa Mebes</v>
      </c>
      <c r="G774" s="2" t="str">
        <f>IF(IFERROR(INDEX(customers!C$1:C$1001, MATCH(C774, customers!A$1:A$1001, 0)), "Not Found")=0,"",IFERROR(INDEX(customers!C$1:C$1001, MATCH(C774, customers!A$1:A$1001, 0)), "Not Found"))</f>
        <v/>
      </c>
      <c r="H774" s="2" t="str">
        <f>IFERROR(INDEX(customers!G$1:G$1001, MATCH(C774, customers!A$1:A$1001, 0)), "Not Found")</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L774*E774</f>
        <v>82.5</v>
      </c>
      <c r="N774" t="str">
        <f>IF(I774="Rob","Robusta",IF(I774="Exc","Excelsa",IF(I774="Ara","Arabica",IF(I774="Lib","Laberica",""))))</f>
        <v>Excelsa</v>
      </c>
      <c r="O774" t="str">
        <f t="shared" si="12"/>
        <v>Medium</v>
      </c>
      <c r="P774" t="str">
        <f>INDEX(customers!$I$1:$I$1001, MATCH(Orders[[#This Row],[Customer ID]], customers!$A$1:$A$1001, 0))</f>
        <v>No</v>
      </c>
    </row>
    <row r="775" spans="1:16" x14ac:dyDescent="0.25">
      <c r="A775" s="2" t="s">
        <v>4858</v>
      </c>
      <c r="B775" s="3">
        <v>44488</v>
      </c>
      <c r="C775" s="2" t="s">
        <v>4859</v>
      </c>
      <c r="D775" t="s">
        <v>6159</v>
      </c>
      <c r="E775" s="2">
        <v>2</v>
      </c>
      <c r="F775" s="2" t="str">
        <f>IFERROR(INDEX(customers!B$1:B$1001, MATCH(C775, customers!A$1:A$1001, 0)), "Not Found")</f>
        <v>Alva Filipczak</v>
      </c>
      <c r="G775" s="2" t="str">
        <f>IF(IFERROR(INDEX(customers!C$1:C$1001, MATCH(C775, customers!A$1:A$1001, 0)), "Not Found")=0,"",IFERROR(INDEX(customers!C$1:C$1001, MATCH(C775, customers!A$1:A$1001, 0)), "Not Found"))</f>
        <v>afilipczaklh@ning.com</v>
      </c>
      <c r="H775" s="2" t="str">
        <f>IFERROR(INDEX(customers!G$1:G$1001, MATCH(C775, customers!A$1:A$1001, 0)), "Not Found")</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L775*E775</f>
        <v>8.73</v>
      </c>
      <c r="N775" t="str">
        <f>IF(I775="Rob","Robusta",IF(I775="Exc","Excelsa",IF(I775="Ara","Arabica",IF(I775="Lib","Laberica",""))))</f>
        <v>Laberica</v>
      </c>
      <c r="O775" t="str">
        <f t="shared" si="12"/>
        <v>Medium</v>
      </c>
      <c r="P775" t="str">
        <f>INDEX(customers!$I$1:$I$1001, MATCH(Orders[[#This Row],[Customer ID]], customers!$A$1:$A$1001, 0))</f>
        <v>No</v>
      </c>
    </row>
    <row r="776" spans="1:16" x14ac:dyDescent="0.25">
      <c r="A776" s="2" t="s">
        <v>4864</v>
      </c>
      <c r="B776" s="3">
        <v>44756</v>
      </c>
      <c r="C776" s="2" t="s">
        <v>4865</v>
      </c>
      <c r="D776" t="s">
        <v>6138</v>
      </c>
      <c r="E776" s="2">
        <v>2</v>
      </c>
      <c r="F776" s="2" t="str">
        <f>IFERROR(INDEX(customers!B$1:B$1001, MATCH(C776, customers!A$1:A$1001, 0)), "Not Found")</f>
        <v>Dorette Hinemoor</v>
      </c>
      <c r="G776" s="2" t="str">
        <f>IF(IFERROR(INDEX(customers!C$1:C$1001, MATCH(C776, customers!A$1:A$1001, 0)), "Not Found")=0,"",IFERROR(INDEX(customers!C$1:C$1001, MATCH(C776, customers!A$1:A$1001, 0)), "Not Found"))</f>
        <v/>
      </c>
      <c r="H776" s="2" t="str">
        <f>IFERROR(INDEX(customers!G$1:G$1001, MATCH(C776, customers!A$1:A$1001, 0)), "Not Found")</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L776*E776</f>
        <v>19.899999999999999</v>
      </c>
      <c r="N776" t="str">
        <f>IF(I776="Rob","Robusta",IF(I776="Exc","Excelsa",IF(I776="Ara","Arabica",IF(I776="Lib","Laberica",""))))</f>
        <v>Robusta</v>
      </c>
      <c r="O776" t="str">
        <f t="shared" si="12"/>
        <v>Medium</v>
      </c>
      <c r="P776" t="str">
        <f>INDEX(customers!$I$1:$I$1001, MATCH(Orders[[#This Row],[Customer ID]], customers!$A$1:$A$1001, 0))</f>
        <v>Yes</v>
      </c>
    </row>
    <row r="777" spans="1:16" x14ac:dyDescent="0.25">
      <c r="A777" s="2" t="s">
        <v>4869</v>
      </c>
      <c r="B777" s="3">
        <v>44396</v>
      </c>
      <c r="C777" s="2" t="s">
        <v>4870</v>
      </c>
      <c r="D777" t="s">
        <v>6176</v>
      </c>
      <c r="E777" s="2">
        <v>2</v>
      </c>
      <c r="F777" s="2" t="str">
        <f>IFERROR(INDEX(customers!B$1:B$1001, MATCH(C777, customers!A$1:A$1001, 0)), "Not Found")</f>
        <v>Rhetta Elnaugh</v>
      </c>
      <c r="G777" s="2" t="str">
        <f>IF(IFERROR(INDEX(customers!C$1:C$1001, MATCH(C777, customers!A$1:A$1001, 0)), "Not Found")=0,"",IFERROR(INDEX(customers!C$1:C$1001, MATCH(C777, customers!A$1:A$1001, 0)), "Not Found"))</f>
        <v>relnaughlj@comsenz.com</v>
      </c>
      <c r="H777" s="2" t="str">
        <f>IFERROR(INDEX(customers!G$1:G$1001, MATCH(C777, customers!A$1:A$1001, 0)), "Not Found")</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L777*E777</f>
        <v>17.82</v>
      </c>
      <c r="N777" t="str">
        <f>IF(I777="Rob","Robusta",IF(I777="Exc","Excelsa",IF(I777="Ara","Arabica",IF(I777="Lib","Laberica",""))))</f>
        <v>Excelsa</v>
      </c>
      <c r="O777" t="str">
        <f t="shared" si="12"/>
        <v>Light</v>
      </c>
      <c r="P777" t="str">
        <f>INDEX(customers!$I$1:$I$1001, MATCH(Orders[[#This Row],[Customer ID]], customers!$A$1:$A$1001, 0))</f>
        <v>Yes</v>
      </c>
    </row>
    <row r="778" spans="1:16" x14ac:dyDescent="0.25">
      <c r="A778" s="2" t="s">
        <v>4875</v>
      </c>
      <c r="B778" s="3">
        <v>44540</v>
      </c>
      <c r="C778" s="2" t="s">
        <v>4876</v>
      </c>
      <c r="D778" t="s">
        <v>6157</v>
      </c>
      <c r="E778" s="2">
        <v>3</v>
      </c>
      <c r="F778" s="2" t="str">
        <f>IFERROR(INDEX(customers!B$1:B$1001, MATCH(C778, customers!A$1:A$1001, 0)), "Not Found")</f>
        <v>Jule Deehan</v>
      </c>
      <c r="G778" s="2" t="str">
        <f>IF(IFERROR(INDEX(customers!C$1:C$1001, MATCH(C778, customers!A$1:A$1001, 0)), "Not Found")=0,"",IFERROR(INDEX(customers!C$1:C$1001, MATCH(C778, customers!A$1:A$1001, 0)), "Not Found"))</f>
        <v>jdeehanlk@about.me</v>
      </c>
      <c r="H778" s="2" t="str">
        <f>IFERROR(INDEX(customers!G$1:G$1001, MATCH(C778, customers!A$1:A$1001, 0)), "Not Found")</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L778*E778</f>
        <v>20.25</v>
      </c>
      <c r="N778" t="str">
        <f>IF(I778="Rob","Robusta",IF(I778="Exc","Excelsa",IF(I778="Ara","Arabica",IF(I778="Lib","Laberica",""))))</f>
        <v>Arabica</v>
      </c>
      <c r="O778" t="str">
        <f t="shared" si="12"/>
        <v>Medium</v>
      </c>
      <c r="P778" t="str">
        <f>INDEX(customers!$I$1:$I$1001, MATCH(Orders[[#This Row],[Customer ID]], customers!$A$1:$A$1001, 0))</f>
        <v>No</v>
      </c>
    </row>
    <row r="779" spans="1:16" x14ac:dyDescent="0.25">
      <c r="A779" s="2" t="s">
        <v>4881</v>
      </c>
      <c r="B779" s="3">
        <v>43541</v>
      </c>
      <c r="C779" s="2" t="s">
        <v>4882</v>
      </c>
      <c r="D779" t="s">
        <v>6182</v>
      </c>
      <c r="E779" s="2">
        <v>2</v>
      </c>
      <c r="F779" s="2" t="str">
        <f>IFERROR(INDEX(customers!B$1:B$1001, MATCH(C779, customers!A$1:A$1001, 0)), "Not Found")</f>
        <v>Janella Eden</v>
      </c>
      <c r="G779" s="2" t="str">
        <f>IF(IFERROR(INDEX(customers!C$1:C$1001, MATCH(C779, customers!A$1:A$1001, 0)), "Not Found")=0,"",IFERROR(INDEX(customers!C$1:C$1001, MATCH(C779, customers!A$1:A$1001, 0)), "Not Found"))</f>
        <v>jedenll@e-recht24.de</v>
      </c>
      <c r="H779" s="2" t="str">
        <f>IFERROR(INDEX(customers!G$1:G$1001, MATCH(C779, customers!A$1:A$1001, 0)), "Not Found")</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L779*E779</f>
        <v>59.569999999999993</v>
      </c>
      <c r="N779" t="str">
        <f>IF(I779="Rob","Robusta",IF(I779="Exc","Excelsa",IF(I779="Ara","Arabica",IF(I779="Lib","Laberica",""))))</f>
        <v>Arabica</v>
      </c>
      <c r="O779" t="str">
        <f t="shared" si="12"/>
        <v>Light</v>
      </c>
      <c r="P779" t="str">
        <f>INDEX(customers!$I$1:$I$1001, MATCH(Orders[[#This Row],[Customer ID]], customers!$A$1:$A$1001, 0))</f>
        <v>No</v>
      </c>
    </row>
    <row r="780" spans="1:16" x14ac:dyDescent="0.25">
      <c r="A780" s="2" t="s">
        <v>4886</v>
      </c>
      <c r="B780" s="3">
        <v>43889</v>
      </c>
      <c r="C780" s="2" t="s">
        <v>4933</v>
      </c>
      <c r="D780" t="s">
        <v>6161</v>
      </c>
      <c r="E780" s="2">
        <v>2</v>
      </c>
      <c r="F780" s="2" t="str">
        <f>IFERROR(INDEX(customers!B$1:B$1001, MATCH(C780, customers!A$1:A$1001, 0)), "Not Found")</f>
        <v>Cam Jewster</v>
      </c>
      <c r="G780" s="2" t="str">
        <f>IF(IFERROR(INDEX(customers!C$1:C$1001, MATCH(C780, customers!A$1:A$1001, 0)), "Not Found")=0,"",IFERROR(INDEX(customers!C$1:C$1001, MATCH(C780, customers!A$1:A$1001, 0)), "Not Found"))</f>
        <v>cjewsterlu@moonfruit.com</v>
      </c>
      <c r="H780" s="2" t="str">
        <f>IFERROR(INDEX(customers!G$1:G$1001, MATCH(C780, customers!A$1:A$1001, 0)), "Not Found")</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L780*E780</f>
        <v>19.02</v>
      </c>
      <c r="N780" t="str">
        <f>IF(I780="Rob","Robusta",IF(I780="Exc","Excelsa",IF(I780="Ara","Arabica",IF(I780="Lib","Laberica",""))))</f>
        <v>Laberica</v>
      </c>
      <c r="O780" t="str">
        <f t="shared" si="12"/>
        <v>Light</v>
      </c>
      <c r="P780" t="str">
        <f>INDEX(customers!$I$1:$I$1001, MATCH(Orders[[#This Row],[Customer ID]], customers!$A$1:$A$1001, 0))</f>
        <v>Yes</v>
      </c>
    </row>
    <row r="781" spans="1:16" x14ac:dyDescent="0.25">
      <c r="A781" s="2" t="s">
        <v>4892</v>
      </c>
      <c r="B781" s="3">
        <v>43985</v>
      </c>
      <c r="C781" s="2" t="s">
        <v>4893</v>
      </c>
      <c r="D781" t="s">
        <v>6143</v>
      </c>
      <c r="E781" s="2">
        <v>6</v>
      </c>
      <c r="F781" s="2" t="str">
        <f>IFERROR(INDEX(customers!B$1:B$1001, MATCH(C781, customers!A$1:A$1001, 0)), "Not Found")</f>
        <v>Ugo Southerden</v>
      </c>
      <c r="G781" s="2" t="str">
        <f>IF(IFERROR(INDEX(customers!C$1:C$1001, MATCH(C781, customers!A$1:A$1001, 0)), "Not Found")=0,"",IFERROR(INDEX(customers!C$1:C$1001, MATCH(C781, customers!A$1:A$1001, 0)), "Not Found"))</f>
        <v>usoutherdenln@hao123.com</v>
      </c>
      <c r="H781" s="2" t="str">
        <f>IFERROR(INDEX(customers!G$1:G$1001, MATCH(C781, customers!A$1:A$1001, 0)), "Not Found")</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L781*E781</f>
        <v>77.699999999999989</v>
      </c>
      <c r="N781" t="str">
        <f>IF(I781="Rob","Robusta",IF(I781="Exc","Excelsa",IF(I781="Ara","Arabica",IF(I781="Lib","Laberica",""))))</f>
        <v>Laberica</v>
      </c>
      <c r="O781" t="str">
        <f t="shared" si="12"/>
        <v>Dark</v>
      </c>
      <c r="P781" t="str">
        <f>INDEX(customers!$I$1:$I$1001, MATCH(Orders[[#This Row],[Customer ID]], customers!$A$1:$A$1001, 0))</f>
        <v>Yes</v>
      </c>
    </row>
    <row r="782" spans="1:16" x14ac:dyDescent="0.25">
      <c r="A782" s="2" t="s">
        <v>4898</v>
      </c>
      <c r="B782" s="3">
        <v>43883</v>
      </c>
      <c r="C782" s="2" t="s">
        <v>4899</v>
      </c>
      <c r="D782" t="s">
        <v>6141</v>
      </c>
      <c r="E782" s="2">
        <v>3</v>
      </c>
      <c r="F782" s="2" t="str">
        <f>IFERROR(INDEX(customers!B$1:B$1001, MATCH(C782, customers!A$1:A$1001, 0)), "Not Found")</f>
        <v>Verne Dunkerley</v>
      </c>
      <c r="G782" s="2" t="str">
        <f>IF(IFERROR(INDEX(customers!C$1:C$1001, MATCH(C782, customers!A$1:A$1001, 0)), "Not Found")=0,"",IFERROR(INDEX(customers!C$1:C$1001, MATCH(C782, customers!A$1:A$1001, 0)), "Not Found"))</f>
        <v/>
      </c>
      <c r="H782" s="2" t="str">
        <f>IFERROR(INDEX(customers!G$1:G$1001, MATCH(C782, customers!A$1:A$1001, 0)), "Not Found")</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L782*E782</f>
        <v>41.25</v>
      </c>
      <c r="N782" t="str">
        <f>IF(I782="Rob","Robusta",IF(I782="Exc","Excelsa",IF(I782="Ara","Arabica",IF(I782="Lib","Laberica",""))))</f>
        <v>Excelsa</v>
      </c>
      <c r="O782" t="str">
        <f t="shared" si="12"/>
        <v>Medium</v>
      </c>
      <c r="P782" t="str">
        <f>INDEX(customers!$I$1:$I$1001, MATCH(Orders[[#This Row],[Customer ID]], customers!$A$1:$A$1001, 0))</f>
        <v>No</v>
      </c>
    </row>
    <row r="783" spans="1:16" x14ac:dyDescent="0.25">
      <c r="A783" s="2" t="s">
        <v>4903</v>
      </c>
      <c r="B783" s="3">
        <v>43778</v>
      </c>
      <c r="C783" s="2" t="s">
        <v>4904</v>
      </c>
      <c r="D783" t="s">
        <v>6164</v>
      </c>
      <c r="E783" s="2">
        <v>4</v>
      </c>
      <c r="F783" s="2" t="str">
        <f>IFERROR(INDEX(customers!B$1:B$1001, MATCH(C783, customers!A$1:A$1001, 0)), "Not Found")</f>
        <v>Lacee Burtenshaw</v>
      </c>
      <c r="G783" s="2" t="str">
        <f>IF(IFERROR(INDEX(customers!C$1:C$1001, MATCH(C783, customers!A$1:A$1001, 0)), "Not Found")=0,"",IFERROR(INDEX(customers!C$1:C$1001, MATCH(C783, customers!A$1:A$1001, 0)), "Not Found"))</f>
        <v>lburtenshawlp@shinystat.com</v>
      </c>
      <c r="H783" s="2" t="str">
        <f>IFERROR(INDEX(customers!G$1:G$1001, MATCH(C783, customers!A$1:A$1001, 0)), "Not Found")</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L783*E783</f>
        <v>145.82</v>
      </c>
      <c r="N783" t="str">
        <f>IF(I783="Rob","Robusta",IF(I783="Exc","Excelsa",IF(I783="Ara","Arabica",IF(I783="Lib","Laberica",""))))</f>
        <v>Laberica</v>
      </c>
      <c r="O783" t="str">
        <f t="shared" si="12"/>
        <v>Light</v>
      </c>
      <c r="P783" t="str">
        <f>INDEX(customers!$I$1:$I$1001, MATCH(Orders[[#This Row],[Customer ID]], customers!$A$1:$A$1001, 0))</f>
        <v>No</v>
      </c>
    </row>
    <row r="784" spans="1:16" x14ac:dyDescent="0.25">
      <c r="A784" s="2" t="s">
        <v>4909</v>
      </c>
      <c r="B784" s="3">
        <v>43897</v>
      </c>
      <c r="C784" s="2" t="s">
        <v>4910</v>
      </c>
      <c r="D784" t="s">
        <v>6184</v>
      </c>
      <c r="E784" s="2">
        <v>6</v>
      </c>
      <c r="F784" s="2" t="str">
        <f>IFERROR(INDEX(customers!B$1:B$1001, MATCH(C784, customers!A$1:A$1001, 0)), "Not Found")</f>
        <v>Adorne Gregoratti</v>
      </c>
      <c r="G784" s="2" t="str">
        <f>IF(IFERROR(INDEX(customers!C$1:C$1001, MATCH(C784, customers!A$1:A$1001, 0)), "Not Found")=0,"",IFERROR(INDEX(customers!C$1:C$1001, MATCH(C784, customers!A$1:A$1001, 0)), "Not Found"))</f>
        <v>agregorattilq@vistaprint.com</v>
      </c>
      <c r="H784" s="2" t="str">
        <f>IFERROR(INDEX(customers!G$1:G$1001, MATCH(C784, customers!A$1:A$1001, 0)), "Not Found")</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L784*E784</f>
        <v>26.73</v>
      </c>
      <c r="N784" t="str">
        <f>IF(I784="Rob","Robusta",IF(I784="Exc","Excelsa",IF(I784="Ara","Arabica",IF(I784="Lib","Laberica",""))))</f>
        <v>Excelsa</v>
      </c>
      <c r="O784" t="str">
        <f t="shared" si="12"/>
        <v>Light</v>
      </c>
      <c r="P784" t="str">
        <f>INDEX(customers!$I$1:$I$1001, MATCH(Orders[[#This Row],[Customer ID]], customers!$A$1:$A$1001, 0))</f>
        <v>No</v>
      </c>
    </row>
    <row r="785" spans="1:16" x14ac:dyDescent="0.25">
      <c r="A785" s="2" t="s">
        <v>4915</v>
      </c>
      <c r="B785" s="3">
        <v>44312</v>
      </c>
      <c r="C785" s="2" t="s">
        <v>4916</v>
      </c>
      <c r="D785" t="s">
        <v>6160</v>
      </c>
      <c r="E785" s="2">
        <v>5</v>
      </c>
      <c r="F785" s="2" t="str">
        <f>IFERROR(INDEX(customers!B$1:B$1001, MATCH(C785, customers!A$1:A$1001, 0)), "Not Found")</f>
        <v>Chris Croster</v>
      </c>
      <c r="G785" s="2" t="str">
        <f>IF(IFERROR(INDEX(customers!C$1:C$1001, MATCH(C785, customers!A$1:A$1001, 0)), "Not Found")=0,"",IFERROR(INDEX(customers!C$1:C$1001, MATCH(C785, customers!A$1:A$1001, 0)), "Not Found"))</f>
        <v>ccrosterlr@gov.uk</v>
      </c>
      <c r="H785" s="2" t="str">
        <f>IFERROR(INDEX(customers!G$1:G$1001, MATCH(C785, customers!A$1:A$1001, 0)), "Not Found")</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L785*E785</f>
        <v>43.650000000000006</v>
      </c>
      <c r="N785" t="str">
        <f>IF(I785="Rob","Robusta",IF(I785="Exc","Excelsa",IF(I785="Ara","Arabica",IF(I785="Lib","Laberica",""))))</f>
        <v>Laberica</v>
      </c>
      <c r="O785" t="str">
        <f t="shared" si="12"/>
        <v>Medium</v>
      </c>
      <c r="P785" t="str">
        <f>INDEX(customers!$I$1:$I$1001, MATCH(Orders[[#This Row],[Customer ID]], customers!$A$1:$A$1001, 0))</f>
        <v>Yes</v>
      </c>
    </row>
    <row r="786" spans="1:16" x14ac:dyDescent="0.25">
      <c r="A786" s="2" t="s">
        <v>4921</v>
      </c>
      <c r="B786" s="3">
        <v>44511</v>
      </c>
      <c r="C786" s="2" t="s">
        <v>4922</v>
      </c>
      <c r="D786" t="s">
        <v>6170</v>
      </c>
      <c r="E786" s="2">
        <v>2</v>
      </c>
      <c r="F786" s="2" t="str">
        <f>IFERROR(INDEX(customers!B$1:B$1001, MATCH(C786, customers!A$1:A$1001, 0)), "Not Found")</f>
        <v>Graeme Whitehead</v>
      </c>
      <c r="G786" s="2" t="str">
        <f>IF(IFERROR(INDEX(customers!C$1:C$1001, MATCH(C786, customers!A$1:A$1001, 0)), "Not Found")=0,"",IFERROR(INDEX(customers!C$1:C$1001, MATCH(C786, customers!A$1:A$1001, 0)), "Not Found"))</f>
        <v>gwhiteheadls@hp.com</v>
      </c>
      <c r="H786" s="2" t="str">
        <f>IFERROR(INDEX(customers!G$1:G$1001, MATCH(C786, customers!A$1:A$1001, 0)), "Not Found")</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L786*E786</f>
        <v>31.7</v>
      </c>
      <c r="N786" t="str">
        <f>IF(I786="Rob","Robusta",IF(I786="Exc","Excelsa",IF(I786="Ara","Arabica",IF(I786="Lib","Laberica",""))))</f>
        <v>Laberica</v>
      </c>
      <c r="O786" t="str">
        <f t="shared" si="12"/>
        <v>Light</v>
      </c>
      <c r="P786" t="str">
        <f>INDEX(customers!$I$1:$I$1001, MATCH(Orders[[#This Row],[Customer ID]], customers!$A$1:$A$1001, 0))</f>
        <v>No</v>
      </c>
    </row>
    <row r="787" spans="1:16" x14ac:dyDescent="0.25">
      <c r="A787" s="2" t="s">
        <v>4926</v>
      </c>
      <c r="B787" s="3">
        <v>44362</v>
      </c>
      <c r="C787" s="2" t="s">
        <v>4927</v>
      </c>
      <c r="D787" t="s">
        <v>6168</v>
      </c>
      <c r="E787" s="2">
        <v>1</v>
      </c>
      <c r="F787" s="2" t="str">
        <f>IFERROR(INDEX(customers!B$1:B$1001, MATCH(C787, customers!A$1:A$1001, 0)), "Not Found")</f>
        <v>Haslett Jodrelle</v>
      </c>
      <c r="G787" s="2" t="str">
        <f>IF(IFERROR(INDEX(customers!C$1:C$1001, MATCH(C787, customers!A$1:A$1001, 0)), "Not Found")=0,"",IFERROR(INDEX(customers!C$1:C$1001, MATCH(C787, customers!A$1:A$1001, 0)), "Not Found"))</f>
        <v>hjodrellelt@samsung.com</v>
      </c>
      <c r="H787" s="2" t="str">
        <f>IFERROR(INDEX(customers!G$1:G$1001, MATCH(C787, customers!A$1:A$1001, 0)), "Not Found")</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L787*E787</f>
        <v>22.884999999999998</v>
      </c>
      <c r="N787" t="str">
        <f>IF(I787="Rob","Robusta",IF(I787="Exc","Excelsa",IF(I787="Ara","Arabica",IF(I787="Lib","Laberica",""))))</f>
        <v>Arabica</v>
      </c>
      <c r="O787" t="str">
        <f t="shared" si="12"/>
        <v>Dark</v>
      </c>
      <c r="P787" t="str">
        <f>INDEX(customers!$I$1:$I$1001, MATCH(Orders[[#This Row],[Customer ID]], customers!$A$1:$A$1001, 0))</f>
        <v>No</v>
      </c>
    </row>
    <row r="788" spans="1:16" x14ac:dyDescent="0.25">
      <c r="A788" s="2" t="s">
        <v>4932</v>
      </c>
      <c r="B788" s="3">
        <v>43888</v>
      </c>
      <c r="C788" s="2" t="s">
        <v>4933</v>
      </c>
      <c r="D788" t="s">
        <v>6185</v>
      </c>
      <c r="E788" s="2">
        <v>1</v>
      </c>
      <c r="F788" s="2" t="str">
        <f>IFERROR(INDEX(customers!B$1:B$1001, MATCH(C788, customers!A$1:A$1001, 0)), "Not Found")</f>
        <v>Cam Jewster</v>
      </c>
      <c r="G788" s="2" t="str">
        <f>IF(IFERROR(INDEX(customers!C$1:C$1001, MATCH(C788, customers!A$1:A$1001, 0)), "Not Found")=0,"",IFERROR(INDEX(customers!C$1:C$1001, MATCH(C788, customers!A$1:A$1001, 0)), "Not Found"))</f>
        <v>cjewsterlu@moonfruit.com</v>
      </c>
      <c r="H788" s="2" t="str">
        <f>IFERROR(INDEX(customers!G$1:G$1001, MATCH(C788, customers!A$1:A$1001, 0)), "Not Found")</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L788*E788</f>
        <v>27.945</v>
      </c>
      <c r="N788" t="str">
        <f>IF(I788="Rob","Robusta",IF(I788="Exc","Excelsa",IF(I788="Ara","Arabica",IF(I788="Lib","Laberica",""))))</f>
        <v>Excelsa</v>
      </c>
      <c r="O788" t="str">
        <f t="shared" si="12"/>
        <v>Dark</v>
      </c>
      <c r="P788" t="str">
        <f>INDEX(customers!$I$1:$I$1001, MATCH(Orders[[#This Row],[Customer ID]], customers!$A$1:$A$1001, 0))</f>
        <v>Yes</v>
      </c>
    </row>
    <row r="789" spans="1:16" x14ac:dyDescent="0.25">
      <c r="A789" s="2" t="s">
        <v>4938</v>
      </c>
      <c r="B789" s="3">
        <v>44305</v>
      </c>
      <c r="C789" s="2" t="s">
        <v>4939</v>
      </c>
      <c r="D789" t="s">
        <v>6141</v>
      </c>
      <c r="E789" s="2">
        <v>6</v>
      </c>
      <c r="F789" s="2" t="str">
        <f>IFERROR(INDEX(customers!B$1:B$1001, MATCH(C789, customers!A$1:A$1001, 0)), "Not Found")</f>
        <v>Beryl Osborn</v>
      </c>
      <c r="G789" s="2" t="str">
        <f>IF(IFERROR(INDEX(customers!C$1:C$1001, MATCH(C789, customers!A$1:A$1001, 0)), "Not Found")=0,"",IFERROR(INDEX(customers!C$1:C$1001, MATCH(C789, customers!A$1:A$1001, 0)), "Not Found"))</f>
        <v/>
      </c>
      <c r="H789" s="2" t="str">
        <f>IFERROR(INDEX(customers!G$1:G$1001, MATCH(C789, customers!A$1:A$1001, 0)), "Not Found")</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L789*E789</f>
        <v>82.5</v>
      </c>
      <c r="N789" t="str">
        <f>IF(I789="Rob","Robusta",IF(I789="Exc","Excelsa",IF(I789="Ara","Arabica",IF(I789="Lib","Laberica",""))))</f>
        <v>Excelsa</v>
      </c>
      <c r="O789" t="str">
        <f t="shared" si="12"/>
        <v>Medium</v>
      </c>
      <c r="P789" t="str">
        <f>INDEX(customers!$I$1:$I$1001, MATCH(Orders[[#This Row],[Customer ID]], customers!$A$1:$A$1001, 0))</f>
        <v>Yes</v>
      </c>
    </row>
    <row r="790" spans="1:16" x14ac:dyDescent="0.25">
      <c r="A790" s="2" t="s">
        <v>4943</v>
      </c>
      <c r="B790" s="3">
        <v>44771</v>
      </c>
      <c r="C790" s="2" t="s">
        <v>4944</v>
      </c>
      <c r="D790" t="s">
        <v>6151</v>
      </c>
      <c r="E790" s="2">
        <v>2</v>
      </c>
      <c r="F790" s="2" t="str">
        <f>IFERROR(INDEX(customers!B$1:B$1001, MATCH(C790, customers!A$1:A$1001, 0)), "Not Found")</f>
        <v>Kaela Nottram</v>
      </c>
      <c r="G790" s="2" t="str">
        <f>IF(IFERROR(INDEX(customers!C$1:C$1001, MATCH(C790, customers!A$1:A$1001, 0)), "Not Found")=0,"",IFERROR(INDEX(customers!C$1:C$1001, MATCH(C790, customers!A$1:A$1001, 0)), "Not Found"))</f>
        <v>knottramlw@odnoklassniki.ru</v>
      </c>
      <c r="H790" s="2" t="str">
        <f>IFERROR(INDEX(customers!G$1:G$1001, MATCH(C790, customers!A$1:A$1001, 0)), "Not Found")</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L790*E790</f>
        <v>45.769999999999996</v>
      </c>
      <c r="N790" t="str">
        <f>IF(I790="Rob","Robusta",IF(I790="Exc","Excelsa",IF(I790="Ara","Arabica",IF(I790="Lib","Laberica",""))))</f>
        <v>Robusta</v>
      </c>
      <c r="O790" t="str">
        <f t="shared" si="12"/>
        <v>Medium</v>
      </c>
      <c r="P790" t="str">
        <f>INDEX(customers!$I$1:$I$1001, MATCH(Orders[[#This Row],[Customer ID]], customers!$A$1:$A$1001, 0))</f>
        <v>Yes</v>
      </c>
    </row>
    <row r="791" spans="1:16" x14ac:dyDescent="0.25">
      <c r="A791" s="2" t="s">
        <v>4949</v>
      </c>
      <c r="B791" s="3">
        <v>43485</v>
      </c>
      <c r="C791" s="2" t="s">
        <v>4950</v>
      </c>
      <c r="D791" t="s">
        <v>6140</v>
      </c>
      <c r="E791" s="2">
        <v>6</v>
      </c>
      <c r="F791" s="2" t="str">
        <f>IFERROR(INDEX(customers!B$1:B$1001, MATCH(C791, customers!A$1:A$1001, 0)), "Not Found")</f>
        <v>Nobe Buney</v>
      </c>
      <c r="G791" s="2" t="str">
        <f>IF(IFERROR(INDEX(customers!C$1:C$1001, MATCH(C791, customers!A$1:A$1001, 0)), "Not Found")=0,"",IFERROR(INDEX(customers!C$1:C$1001, MATCH(C791, customers!A$1:A$1001, 0)), "Not Found"))</f>
        <v>nbuneylx@jugem.jp</v>
      </c>
      <c r="H791" s="2" t="str">
        <f>IFERROR(INDEX(customers!G$1:G$1001, MATCH(C791, customers!A$1:A$1001, 0)), "Not Found")</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L791*E791</f>
        <v>77.699999999999989</v>
      </c>
      <c r="N791" t="str">
        <f>IF(I791="Rob","Robusta",IF(I791="Exc","Excelsa",IF(I791="Ara","Arabica",IF(I791="Lib","Laberica",""))))</f>
        <v>Arabica</v>
      </c>
      <c r="O791" t="str">
        <f t="shared" si="12"/>
        <v>Light</v>
      </c>
      <c r="P791" t="str">
        <f>INDEX(customers!$I$1:$I$1001, MATCH(Orders[[#This Row],[Customer ID]], customers!$A$1:$A$1001, 0))</f>
        <v>No</v>
      </c>
    </row>
    <row r="792" spans="1:16" x14ac:dyDescent="0.25">
      <c r="A792" s="2" t="s">
        <v>4955</v>
      </c>
      <c r="B792" s="3">
        <v>44613</v>
      </c>
      <c r="C792" s="2" t="s">
        <v>4956</v>
      </c>
      <c r="D792" t="s">
        <v>6180</v>
      </c>
      <c r="E792" s="2">
        <v>3</v>
      </c>
      <c r="F792" s="2" t="str">
        <f>IFERROR(INDEX(customers!B$1:B$1001, MATCH(C792, customers!A$1:A$1001, 0)), "Not Found")</f>
        <v>Silvan McShea</v>
      </c>
      <c r="G792" s="2" t="str">
        <f>IF(IFERROR(INDEX(customers!C$1:C$1001, MATCH(C792, customers!A$1:A$1001, 0)), "Not Found")=0,"",IFERROR(INDEX(customers!C$1:C$1001, MATCH(C792, customers!A$1:A$1001, 0)), "Not Found"))</f>
        <v>smcshealy@photobucket.com</v>
      </c>
      <c r="H792" s="2" t="str">
        <f>IFERROR(INDEX(customers!G$1:G$1001, MATCH(C792, customers!A$1:A$1001, 0)), "Not Found")</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L792*E792</f>
        <v>23.31</v>
      </c>
      <c r="N792" t="str">
        <f>IF(I792="Rob","Robusta",IF(I792="Exc","Excelsa",IF(I792="Ara","Arabica",IF(I792="Lib","Laberica",""))))</f>
        <v>Arabica</v>
      </c>
      <c r="O792" t="str">
        <f t="shared" si="12"/>
        <v>Light</v>
      </c>
      <c r="P792" t="str">
        <f>INDEX(customers!$I$1:$I$1001, MATCH(Orders[[#This Row],[Customer ID]], customers!$A$1:$A$1001, 0))</f>
        <v>No</v>
      </c>
    </row>
    <row r="793" spans="1:16" x14ac:dyDescent="0.25">
      <c r="A793" s="2" t="s">
        <v>4961</v>
      </c>
      <c r="B793" s="3">
        <v>43954</v>
      </c>
      <c r="C793" s="2" t="s">
        <v>4962</v>
      </c>
      <c r="D793" t="s">
        <v>6145</v>
      </c>
      <c r="E793" s="2">
        <v>5</v>
      </c>
      <c r="F793" s="2" t="str">
        <f>IFERROR(INDEX(customers!B$1:B$1001, MATCH(C793, customers!A$1:A$1001, 0)), "Not Found")</f>
        <v>Karylin Huddart</v>
      </c>
      <c r="G793" s="2" t="str">
        <f>IF(IFERROR(INDEX(customers!C$1:C$1001, MATCH(C793, customers!A$1:A$1001, 0)), "Not Found")=0,"",IFERROR(INDEX(customers!C$1:C$1001, MATCH(C793, customers!A$1:A$1001, 0)), "Not Found"))</f>
        <v>khuddartlz@about.com</v>
      </c>
      <c r="H793" s="2" t="str">
        <f>IFERROR(INDEX(customers!G$1:G$1001, MATCH(C793, customers!A$1:A$1001, 0)), "Not Found")</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L793*E793</f>
        <v>23.774999999999999</v>
      </c>
      <c r="N793" t="str">
        <f>IF(I793="Rob","Robusta",IF(I793="Exc","Excelsa",IF(I793="Ara","Arabica",IF(I793="Lib","Laberica",""))))</f>
        <v>Laberica</v>
      </c>
      <c r="O793" t="str">
        <f t="shared" si="12"/>
        <v>Light</v>
      </c>
      <c r="P793" t="str">
        <f>INDEX(customers!$I$1:$I$1001, MATCH(Orders[[#This Row],[Customer ID]], customers!$A$1:$A$1001, 0))</f>
        <v>Yes</v>
      </c>
    </row>
    <row r="794" spans="1:16" x14ac:dyDescent="0.25">
      <c r="A794" s="2" t="s">
        <v>4967</v>
      </c>
      <c r="B794" s="3">
        <v>43545</v>
      </c>
      <c r="C794" s="2" t="s">
        <v>4968</v>
      </c>
      <c r="D794" t="s">
        <v>6160</v>
      </c>
      <c r="E794" s="2">
        <v>6</v>
      </c>
      <c r="F794" s="2" t="str">
        <f>IFERROR(INDEX(customers!B$1:B$1001, MATCH(C794, customers!A$1:A$1001, 0)), "Not Found")</f>
        <v>Jereme Gippes</v>
      </c>
      <c r="G794" s="2" t="str">
        <f>IF(IFERROR(INDEX(customers!C$1:C$1001, MATCH(C794, customers!A$1:A$1001, 0)), "Not Found")=0,"",IFERROR(INDEX(customers!C$1:C$1001, MATCH(C794, customers!A$1:A$1001, 0)), "Not Found"))</f>
        <v>jgippesm0@cloudflare.com</v>
      </c>
      <c r="H794" s="2" t="str">
        <f>IFERROR(INDEX(customers!G$1:G$1001, MATCH(C794, customers!A$1:A$1001, 0)), "Not Found")</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L794*E794</f>
        <v>52.38</v>
      </c>
      <c r="N794" t="str">
        <f>IF(I794="Rob","Robusta",IF(I794="Exc","Excelsa",IF(I794="Ara","Arabica",IF(I794="Lib","Laberica",""))))</f>
        <v>Laberica</v>
      </c>
      <c r="O794" t="str">
        <f t="shared" si="12"/>
        <v>Medium</v>
      </c>
      <c r="P794" t="str">
        <f>INDEX(customers!$I$1:$I$1001, MATCH(Orders[[#This Row],[Customer ID]], customers!$A$1:$A$1001, 0))</f>
        <v>Yes</v>
      </c>
    </row>
    <row r="795" spans="1:16" x14ac:dyDescent="0.25">
      <c r="A795" s="2" t="s">
        <v>4973</v>
      </c>
      <c r="B795" s="3">
        <v>43629</v>
      </c>
      <c r="C795" s="2" t="s">
        <v>4974</v>
      </c>
      <c r="D795" t="s">
        <v>6178</v>
      </c>
      <c r="E795" s="2">
        <v>5</v>
      </c>
      <c r="F795" s="2" t="str">
        <f>IFERROR(INDEX(customers!B$1:B$1001, MATCH(C795, customers!A$1:A$1001, 0)), "Not Found")</f>
        <v>Lukas Whittlesee</v>
      </c>
      <c r="G795" s="2" t="str">
        <f>IF(IFERROR(INDEX(customers!C$1:C$1001, MATCH(C795, customers!A$1:A$1001, 0)), "Not Found")=0,"",IFERROR(INDEX(customers!C$1:C$1001, MATCH(C795, customers!A$1:A$1001, 0)), "Not Found"))</f>
        <v>lwhittleseem1@e-recht24.de</v>
      </c>
      <c r="H795" s="2" t="str">
        <f>IFERROR(INDEX(customers!G$1:G$1001, MATCH(C795, customers!A$1:A$1001, 0)), "Not Found")</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L795*E795</f>
        <v>17.924999999999997</v>
      </c>
      <c r="N795" t="str">
        <f>IF(I795="Rob","Robusta",IF(I795="Exc","Excelsa",IF(I795="Ara","Arabica",IF(I795="Lib","Laberica",""))))</f>
        <v>Robusta</v>
      </c>
      <c r="O795" t="str">
        <f t="shared" si="12"/>
        <v>Light</v>
      </c>
      <c r="P795" t="str">
        <f>INDEX(customers!$I$1:$I$1001, MATCH(Orders[[#This Row],[Customer ID]], customers!$A$1:$A$1001, 0))</f>
        <v>No</v>
      </c>
    </row>
    <row r="796" spans="1:16" x14ac:dyDescent="0.25">
      <c r="A796" s="2" t="s">
        <v>4979</v>
      </c>
      <c r="B796" s="3">
        <v>43987</v>
      </c>
      <c r="C796" s="2" t="s">
        <v>4980</v>
      </c>
      <c r="D796" t="s">
        <v>6182</v>
      </c>
      <c r="E796" s="2">
        <v>5</v>
      </c>
      <c r="F796" s="2" t="str">
        <f>IFERROR(INDEX(customers!B$1:B$1001, MATCH(C796, customers!A$1:A$1001, 0)), "Not Found")</f>
        <v>Gregorius Trengrove</v>
      </c>
      <c r="G796" s="2" t="str">
        <f>IF(IFERROR(INDEX(customers!C$1:C$1001, MATCH(C796, customers!A$1:A$1001, 0)), "Not Found")=0,"",IFERROR(INDEX(customers!C$1:C$1001, MATCH(C796, customers!A$1:A$1001, 0)), "Not Found"))</f>
        <v>gtrengrovem2@elpais.com</v>
      </c>
      <c r="H796" s="2" t="str">
        <f>IFERROR(INDEX(customers!G$1:G$1001, MATCH(C796, customers!A$1:A$1001, 0)), "Not Found")</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L796*E796</f>
        <v>148.92499999999998</v>
      </c>
      <c r="N796" t="str">
        <f>IF(I796="Rob","Robusta",IF(I796="Exc","Excelsa",IF(I796="Ara","Arabica",IF(I796="Lib","Laberica",""))))</f>
        <v>Arabica</v>
      </c>
      <c r="O796" t="str">
        <f t="shared" si="12"/>
        <v>Light</v>
      </c>
      <c r="P796" t="str">
        <f>INDEX(customers!$I$1:$I$1001, MATCH(Orders[[#This Row],[Customer ID]], customers!$A$1:$A$1001, 0))</f>
        <v>No</v>
      </c>
    </row>
    <row r="797" spans="1:16" x14ac:dyDescent="0.25">
      <c r="A797" s="2" t="s">
        <v>4985</v>
      </c>
      <c r="B797" s="3">
        <v>43540</v>
      </c>
      <c r="C797" s="2" t="s">
        <v>4986</v>
      </c>
      <c r="D797" t="s">
        <v>6173</v>
      </c>
      <c r="E797" s="2">
        <v>4</v>
      </c>
      <c r="F797" s="2" t="str">
        <f>IFERROR(INDEX(customers!B$1:B$1001, MATCH(C797, customers!A$1:A$1001, 0)), "Not Found")</f>
        <v>Wright Caldero</v>
      </c>
      <c r="G797" s="2" t="str">
        <f>IF(IFERROR(INDEX(customers!C$1:C$1001, MATCH(C797, customers!A$1:A$1001, 0)), "Not Found")=0,"",IFERROR(INDEX(customers!C$1:C$1001, MATCH(C797, customers!A$1:A$1001, 0)), "Not Found"))</f>
        <v>wcalderom3@stumbleupon.com</v>
      </c>
      <c r="H797" s="2" t="str">
        <f>IFERROR(INDEX(customers!G$1:G$1001, MATCH(C797, customers!A$1:A$1001, 0)), "Not Found")</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L797*E797</f>
        <v>28.679999999999996</v>
      </c>
      <c r="N797" t="str">
        <f>IF(I797="Rob","Robusta",IF(I797="Exc","Excelsa",IF(I797="Ara","Arabica",IF(I797="Lib","Laberica",""))))</f>
        <v>Robusta</v>
      </c>
      <c r="O797" t="str">
        <f t="shared" si="12"/>
        <v>Light</v>
      </c>
      <c r="P797" t="str">
        <f>INDEX(customers!$I$1:$I$1001, MATCH(Orders[[#This Row],[Customer ID]], customers!$A$1:$A$1001, 0))</f>
        <v>No</v>
      </c>
    </row>
    <row r="798" spans="1:16" x14ac:dyDescent="0.25">
      <c r="A798" s="2" t="s">
        <v>4991</v>
      </c>
      <c r="B798" s="3">
        <v>44533</v>
      </c>
      <c r="C798" s="2" t="s">
        <v>4992</v>
      </c>
      <c r="D798" t="s">
        <v>6161</v>
      </c>
      <c r="E798" s="2">
        <v>1</v>
      </c>
      <c r="F798" s="2" t="str">
        <f>IFERROR(INDEX(customers!B$1:B$1001, MATCH(C798, customers!A$1:A$1001, 0)), "Not Found")</f>
        <v>Merell Zanazzi</v>
      </c>
      <c r="G798" s="2" t="str">
        <f>IF(IFERROR(INDEX(customers!C$1:C$1001, MATCH(C798, customers!A$1:A$1001, 0)), "Not Found")=0,"",IFERROR(INDEX(customers!C$1:C$1001, MATCH(C798, customers!A$1:A$1001, 0)), "Not Found"))</f>
        <v/>
      </c>
      <c r="H798" s="2" t="str">
        <f>IFERROR(INDEX(customers!G$1:G$1001, MATCH(C798, customers!A$1:A$1001, 0)), "Not Found")</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L798*E798</f>
        <v>9.51</v>
      </c>
      <c r="N798" t="str">
        <f>IF(I798="Rob","Robusta",IF(I798="Exc","Excelsa",IF(I798="Ara","Arabica",IF(I798="Lib","Laberica",""))))</f>
        <v>Laberica</v>
      </c>
      <c r="O798" t="str">
        <f t="shared" si="12"/>
        <v>Light</v>
      </c>
      <c r="P798" t="str">
        <f>INDEX(customers!$I$1:$I$1001, MATCH(Orders[[#This Row],[Customer ID]], customers!$A$1:$A$1001, 0))</f>
        <v>No</v>
      </c>
    </row>
    <row r="799" spans="1:16" x14ac:dyDescent="0.25">
      <c r="A799" s="2" t="s">
        <v>4996</v>
      </c>
      <c r="B799" s="3">
        <v>44751</v>
      </c>
      <c r="C799" s="2" t="s">
        <v>4997</v>
      </c>
      <c r="D799" t="s">
        <v>6180</v>
      </c>
      <c r="E799" s="2">
        <v>4</v>
      </c>
      <c r="F799" s="2" t="str">
        <f>IFERROR(INDEX(customers!B$1:B$1001, MATCH(C799, customers!A$1:A$1001, 0)), "Not Found")</f>
        <v>Jed Kennicott</v>
      </c>
      <c r="G799" s="2" t="str">
        <f>IF(IFERROR(INDEX(customers!C$1:C$1001, MATCH(C799, customers!A$1:A$1001, 0)), "Not Found")=0,"",IFERROR(INDEX(customers!C$1:C$1001, MATCH(C799, customers!A$1:A$1001, 0)), "Not Found"))</f>
        <v>jkennicottm5@yahoo.co.jp</v>
      </c>
      <c r="H799" s="2" t="str">
        <f>IFERROR(INDEX(customers!G$1:G$1001, MATCH(C799, customers!A$1:A$1001, 0)), "Not Found")</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L799*E799</f>
        <v>31.08</v>
      </c>
      <c r="N799" t="str">
        <f>IF(I799="Rob","Robusta",IF(I799="Exc","Excelsa",IF(I799="Ara","Arabica",IF(I799="Lib","Laberica",""))))</f>
        <v>Arabica</v>
      </c>
      <c r="O799" t="str">
        <f t="shared" si="12"/>
        <v>Light</v>
      </c>
      <c r="P799" t="str">
        <f>INDEX(customers!$I$1:$I$1001, MATCH(Orders[[#This Row],[Customer ID]], customers!$A$1:$A$1001, 0))</f>
        <v>No</v>
      </c>
    </row>
    <row r="800" spans="1:16" x14ac:dyDescent="0.25">
      <c r="A800" s="2" t="s">
        <v>5002</v>
      </c>
      <c r="B800" s="3">
        <v>43950</v>
      </c>
      <c r="C800" s="2" t="s">
        <v>5003</v>
      </c>
      <c r="D800" t="s">
        <v>6163</v>
      </c>
      <c r="E800" s="2">
        <v>3</v>
      </c>
      <c r="F800" s="2" t="str">
        <f>IFERROR(INDEX(customers!B$1:B$1001, MATCH(C800, customers!A$1:A$1001, 0)), "Not Found")</f>
        <v>Guenevere Ruggen</v>
      </c>
      <c r="G800" s="2" t="str">
        <f>IF(IFERROR(INDEX(customers!C$1:C$1001, MATCH(C800, customers!A$1:A$1001, 0)), "Not Found")=0,"",IFERROR(INDEX(customers!C$1:C$1001, MATCH(C800, customers!A$1:A$1001, 0)), "Not Found"))</f>
        <v>gruggenm6@nymag.com</v>
      </c>
      <c r="H800" s="2" t="str">
        <f>IFERROR(INDEX(customers!G$1:G$1001, MATCH(C800, customers!A$1:A$1001, 0)), "Not Found")</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L800*E800</f>
        <v>8.0549999999999997</v>
      </c>
      <c r="N800" t="str">
        <f>IF(I800="Rob","Robusta",IF(I800="Exc","Excelsa",IF(I800="Ara","Arabica",IF(I800="Lib","Laberica",""))))</f>
        <v>Robusta</v>
      </c>
      <c r="O800" t="str">
        <f t="shared" si="12"/>
        <v>Dark</v>
      </c>
      <c r="P800" t="str">
        <f>INDEX(customers!$I$1:$I$1001, MATCH(Orders[[#This Row],[Customer ID]], customers!$A$1:$A$1001, 0))</f>
        <v>Yes</v>
      </c>
    </row>
    <row r="801" spans="1:16" x14ac:dyDescent="0.25">
      <c r="A801" s="2" t="s">
        <v>5008</v>
      </c>
      <c r="B801" s="3">
        <v>44588</v>
      </c>
      <c r="C801" s="2" t="s">
        <v>5009</v>
      </c>
      <c r="D801" t="s">
        <v>6183</v>
      </c>
      <c r="E801" s="2">
        <v>3</v>
      </c>
      <c r="F801" s="2" t="str">
        <f>IFERROR(INDEX(customers!B$1:B$1001, MATCH(C801, customers!A$1:A$1001, 0)), "Not Found")</f>
        <v>Gonzales Cicculi</v>
      </c>
      <c r="G801" s="2" t="str">
        <f>IF(IFERROR(INDEX(customers!C$1:C$1001, MATCH(C801, customers!A$1:A$1001, 0)), "Not Found")=0,"",IFERROR(INDEX(customers!C$1:C$1001, MATCH(C801, customers!A$1:A$1001, 0)), "Not Found"))</f>
        <v/>
      </c>
      <c r="H801" s="2" t="str">
        <f>IFERROR(INDEX(customers!G$1:G$1001, MATCH(C801, customers!A$1:A$1001, 0)), "Not Found")</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L801*E801</f>
        <v>36.450000000000003</v>
      </c>
      <c r="N801" t="str">
        <f>IF(I801="Rob","Robusta",IF(I801="Exc","Excelsa",IF(I801="Ara","Arabica",IF(I801="Lib","Laberica",""))))</f>
        <v>Excelsa</v>
      </c>
      <c r="O801" t="str">
        <f t="shared" si="12"/>
        <v>Dark</v>
      </c>
      <c r="P801" t="str">
        <f>INDEX(customers!$I$1:$I$1001, MATCH(Orders[[#This Row],[Customer ID]], customers!$A$1:$A$1001, 0))</f>
        <v>Yes</v>
      </c>
    </row>
    <row r="802" spans="1:16" x14ac:dyDescent="0.25">
      <c r="A802" s="2" t="s">
        <v>5012</v>
      </c>
      <c r="B802" s="3">
        <v>44240</v>
      </c>
      <c r="C802" s="2" t="s">
        <v>5013</v>
      </c>
      <c r="D802" t="s">
        <v>6163</v>
      </c>
      <c r="E802" s="2">
        <v>6</v>
      </c>
      <c r="F802" s="2" t="str">
        <f>IFERROR(INDEX(customers!B$1:B$1001, MATCH(C802, customers!A$1:A$1001, 0)), "Not Found")</f>
        <v>Man Fright</v>
      </c>
      <c r="G802" s="2" t="str">
        <f>IF(IFERROR(INDEX(customers!C$1:C$1001, MATCH(C802, customers!A$1:A$1001, 0)), "Not Found")=0,"",IFERROR(INDEX(customers!C$1:C$1001, MATCH(C802, customers!A$1:A$1001, 0)), "Not Found"))</f>
        <v>mfrightm8@harvard.edu</v>
      </c>
      <c r="H802" s="2" t="str">
        <f>IFERROR(INDEX(customers!G$1:G$1001, MATCH(C802, customers!A$1:A$1001, 0)), "Not Found")</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L802*E802</f>
        <v>16.11</v>
      </c>
      <c r="N802" t="str">
        <f>IF(I802="Rob","Robusta",IF(I802="Exc","Excelsa",IF(I802="Ara","Arabica",IF(I802="Lib","Laberica",""))))</f>
        <v>Robusta</v>
      </c>
      <c r="O802" t="str">
        <f t="shared" si="12"/>
        <v>Dark</v>
      </c>
      <c r="P802" t="str">
        <f>INDEX(customers!$I$1:$I$1001, MATCH(Orders[[#This Row],[Customer ID]], customers!$A$1:$A$1001, 0))</f>
        <v>No</v>
      </c>
    </row>
    <row r="803" spans="1:16" x14ac:dyDescent="0.25">
      <c r="A803" s="2" t="s">
        <v>5018</v>
      </c>
      <c r="B803" s="3">
        <v>44025</v>
      </c>
      <c r="C803" s="2" t="s">
        <v>5019</v>
      </c>
      <c r="D803" t="s">
        <v>6149</v>
      </c>
      <c r="E803" s="2">
        <v>2</v>
      </c>
      <c r="F803" s="2" t="str">
        <f>IFERROR(INDEX(customers!B$1:B$1001, MATCH(C803, customers!A$1:A$1001, 0)), "Not Found")</f>
        <v>Boyce Tarte</v>
      </c>
      <c r="G803" s="2" t="str">
        <f>IF(IFERROR(INDEX(customers!C$1:C$1001, MATCH(C803, customers!A$1:A$1001, 0)), "Not Found")=0,"",IFERROR(INDEX(customers!C$1:C$1001, MATCH(C803, customers!A$1:A$1001, 0)), "Not Found"))</f>
        <v>btartem9@aol.com</v>
      </c>
      <c r="H803" s="2" t="str">
        <f>IFERROR(INDEX(customers!G$1:G$1001, MATCH(C803, customers!A$1:A$1001, 0)), "Not Found")</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L803*E803</f>
        <v>41.169999999999995</v>
      </c>
      <c r="N803" t="str">
        <f>IF(I803="Rob","Robusta",IF(I803="Exc","Excelsa",IF(I803="Ara","Arabica",IF(I803="Lib","Laberica",""))))</f>
        <v>Robusta</v>
      </c>
      <c r="O803" t="str">
        <f t="shared" si="12"/>
        <v>Dark</v>
      </c>
      <c r="P803" t="str">
        <f>INDEX(customers!$I$1:$I$1001, MATCH(Orders[[#This Row],[Customer ID]], customers!$A$1:$A$1001, 0))</f>
        <v>Yes</v>
      </c>
    </row>
    <row r="804" spans="1:16" x14ac:dyDescent="0.25">
      <c r="A804" s="2" t="s">
        <v>5024</v>
      </c>
      <c r="B804" s="3">
        <v>43902</v>
      </c>
      <c r="C804" s="2" t="s">
        <v>5025</v>
      </c>
      <c r="D804" t="s">
        <v>6163</v>
      </c>
      <c r="E804" s="2">
        <v>4</v>
      </c>
      <c r="F804" s="2" t="str">
        <f>IFERROR(INDEX(customers!B$1:B$1001, MATCH(C804, customers!A$1:A$1001, 0)), "Not Found")</f>
        <v>Caddric Krzysztofiak</v>
      </c>
      <c r="G804" s="2" t="str">
        <f>IF(IFERROR(INDEX(customers!C$1:C$1001, MATCH(C804, customers!A$1:A$1001, 0)), "Not Found")=0,"",IFERROR(INDEX(customers!C$1:C$1001, MATCH(C804, customers!A$1:A$1001, 0)), "Not Found"))</f>
        <v>ckrzysztofiakma@skyrock.com</v>
      </c>
      <c r="H804" s="2" t="str">
        <f>IFERROR(INDEX(customers!G$1:G$1001, MATCH(C804, customers!A$1:A$1001, 0)), "Not Found")</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L804*E804</f>
        <v>10.739999999999998</v>
      </c>
      <c r="N804" t="str">
        <f>IF(I804="Rob","Robusta",IF(I804="Exc","Excelsa",IF(I804="Ara","Arabica",IF(I804="Lib","Laberica",""))))</f>
        <v>Robusta</v>
      </c>
      <c r="O804" t="str">
        <f t="shared" si="12"/>
        <v>Dark</v>
      </c>
      <c r="P804" t="str">
        <f>INDEX(customers!$I$1:$I$1001, MATCH(Orders[[#This Row],[Customer ID]], customers!$A$1:$A$1001, 0))</f>
        <v>No</v>
      </c>
    </row>
    <row r="805" spans="1:16" x14ac:dyDescent="0.25">
      <c r="A805" s="2" t="s">
        <v>5030</v>
      </c>
      <c r="B805" s="3">
        <v>43955</v>
      </c>
      <c r="C805" s="2" t="s">
        <v>5031</v>
      </c>
      <c r="D805" t="s">
        <v>6166</v>
      </c>
      <c r="E805" s="2">
        <v>4</v>
      </c>
      <c r="F805" s="2" t="str">
        <f>IFERROR(INDEX(customers!B$1:B$1001, MATCH(C805, customers!A$1:A$1001, 0)), "Not Found")</f>
        <v>Darn Penquet</v>
      </c>
      <c r="G805" s="2" t="str">
        <f>IF(IFERROR(INDEX(customers!C$1:C$1001, MATCH(C805, customers!A$1:A$1001, 0)), "Not Found")=0,"",IFERROR(INDEX(customers!C$1:C$1001, MATCH(C805, customers!A$1:A$1001, 0)), "Not Found"))</f>
        <v>dpenquetmb@diigo.com</v>
      </c>
      <c r="H805" s="2" t="str">
        <f>IFERROR(INDEX(customers!G$1:G$1001, MATCH(C805, customers!A$1:A$1001, 0)), "Not Found")</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L805*E805</f>
        <v>126.49999999999999</v>
      </c>
      <c r="N805" t="str">
        <f>IF(I805="Rob","Robusta",IF(I805="Exc","Excelsa",IF(I805="Ara","Arabica",IF(I805="Lib","Laberica",""))))</f>
        <v>Excelsa</v>
      </c>
      <c r="O805" t="str">
        <f t="shared" si="12"/>
        <v>Medium</v>
      </c>
      <c r="P805" t="str">
        <f>INDEX(customers!$I$1:$I$1001, MATCH(Orders[[#This Row],[Customer ID]], customers!$A$1:$A$1001, 0))</f>
        <v>No</v>
      </c>
    </row>
    <row r="806" spans="1:16" x14ac:dyDescent="0.25">
      <c r="A806" s="2" t="s">
        <v>5035</v>
      </c>
      <c r="B806" s="3">
        <v>44289</v>
      </c>
      <c r="C806" s="2" t="s">
        <v>5036</v>
      </c>
      <c r="D806" t="s">
        <v>6179</v>
      </c>
      <c r="E806" s="2">
        <v>2</v>
      </c>
      <c r="F806" s="2" t="str">
        <f>IFERROR(INDEX(customers!B$1:B$1001, MATCH(C806, customers!A$1:A$1001, 0)), "Not Found")</f>
        <v>Jammie Cloke</v>
      </c>
      <c r="G806" s="2" t="str">
        <f>IF(IFERROR(INDEX(customers!C$1:C$1001, MATCH(C806, customers!A$1:A$1001, 0)), "Not Found")=0,"",IFERROR(INDEX(customers!C$1:C$1001, MATCH(C806, customers!A$1:A$1001, 0)), "Not Found"))</f>
        <v/>
      </c>
      <c r="H806" s="2" t="str">
        <f>IFERROR(INDEX(customers!G$1:G$1001, MATCH(C806, customers!A$1:A$1001, 0)), "Not Found")</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L806*E806</f>
        <v>23.9</v>
      </c>
      <c r="N806" t="str">
        <f>IF(I806="Rob","Robusta",IF(I806="Exc","Excelsa",IF(I806="Ara","Arabica",IF(I806="Lib","Laberica",""))))</f>
        <v>Robusta</v>
      </c>
      <c r="O806" t="str">
        <f t="shared" si="12"/>
        <v>Light</v>
      </c>
      <c r="P806" t="str">
        <f>INDEX(customers!$I$1:$I$1001, MATCH(Orders[[#This Row],[Customer ID]], customers!$A$1:$A$1001, 0))</f>
        <v>No</v>
      </c>
    </row>
    <row r="807" spans="1:16" x14ac:dyDescent="0.25">
      <c r="A807" s="2" t="s">
        <v>5040</v>
      </c>
      <c r="B807" s="3">
        <v>44713</v>
      </c>
      <c r="C807" s="2" t="s">
        <v>5041</v>
      </c>
      <c r="D807" t="s">
        <v>6146</v>
      </c>
      <c r="E807" s="2">
        <v>1</v>
      </c>
      <c r="F807" s="2" t="str">
        <f>IFERROR(INDEX(customers!B$1:B$1001, MATCH(C807, customers!A$1:A$1001, 0)), "Not Found")</f>
        <v>Chester Clowton</v>
      </c>
      <c r="G807" s="2" t="str">
        <f>IF(IFERROR(INDEX(customers!C$1:C$1001, MATCH(C807, customers!A$1:A$1001, 0)), "Not Found")=0,"",IFERROR(INDEX(customers!C$1:C$1001, MATCH(C807, customers!A$1:A$1001, 0)), "Not Found"))</f>
        <v/>
      </c>
      <c r="H807" s="2" t="str">
        <f>IFERROR(INDEX(customers!G$1:G$1001, MATCH(C807, customers!A$1:A$1001, 0)), "Not Found")</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L807*E807</f>
        <v>5.97</v>
      </c>
      <c r="N807" t="str">
        <f>IF(I807="Rob","Robusta",IF(I807="Exc","Excelsa",IF(I807="Ara","Arabica",IF(I807="Lib","Laberica",""))))</f>
        <v>Robusta</v>
      </c>
      <c r="O807" t="str">
        <f t="shared" si="12"/>
        <v>Medium</v>
      </c>
      <c r="P807" t="str">
        <f>INDEX(customers!$I$1:$I$1001, MATCH(Orders[[#This Row],[Customer ID]], customers!$A$1:$A$1001, 0))</f>
        <v>No</v>
      </c>
    </row>
    <row r="808" spans="1:16" x14ac:dyDescent="0.25">
      <c r="A808" s="2" t="s">
        <v>5046</v>
      </c>
      <c r="B808" s="3">
        <v>44241</v>
      </c>
      <c r="C808" s="2" t="s">
        <v>5047</v>
      </c>
      <c r="D808" t="s">
        <v>6150</v>
      </c>
      <c r="E808" s="2">
        <v>2</v>
      </c>
      <c r="F808" s="2" t="str">
        <f>IFERROR(INDEX(customers!B$1:B$1001, MATCH(C808, customers!A$1:A$1001, 0)), "Not Found")</f>
        <v>Kathleen Diable</v>
      </c>
      <c r="G808" s="2" t="str">
        <f>IF(IFERROR(INDEX(customers!C$1:C$1001, MATCH(C808, customers!A$1:A$1001, 0)), "Not Found")=0,"",IFERROR(INDEX(customers!C$1:C$1001, MATCH(C808, customers!A$1:A$1001, 0)), "Not Found"))</f>
        <v/>
      </c>
      <c r="H808" s="2" t="str">
        <f>IFERROR(INDEX(customers!G$1:G$1001, MATCH(C808, customers!A$1:A$1001, 0)), "Not Found")</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L808*E808</f>
        <v>7.77</v>
      </c>
      <c r="N808" t="str">
        <f>IF(I808="Rob","Robusta",IF(I808="Exc","Excelsa",IF(I808="Ara","Arabica",IF(I808="Lib","Laberica",""))))</f>
        <v>Laberica</v>
      </c>
      <c r="O808" t="str">
        <f t="shared" si="12"/>
        <v>Dark</v>
      </c>
      <c r="P808" t="str">
        <f>INDEX(customers!$I$1:$I$1001, MATCH(Orders[[#This Row],[Customer ID]], customers!$A$1:$A$1001, 0))</f>
        <v>Yes</v>
      </c>
    </row>
    <row r="809" spans="1:16" x14ac:dyDescent="0.25">
      <c r="A809" s="2" t="s">
        <v>5050</v>
      </c>
      <c r="B809" s="3">
        <v>44543</v>
      </c>
      <c r="C809" s="2" t="s">
        <v>5051</v>
      </c>
      <c r="D809" t="s">
        <v>6169</v>
      </c>
      <c r="E809" s="2">
        <v>3</v>
      </c>
      <c r="F809" s="2" t="str">
        <f>IFERROR(INDEX(customers!B$1:B$1001, MATCH(C809, customers!A$1:A$1001, 0)), "Not Found")</f>
        <v>Koren Ferretti</v>
      </c>
      <c r="G809" s="2" t="str">
        <f>IF(IFERROR(INDEX(customers!C$1:C$1001, MATCH(C809, customers!A$1:A$1001, 0)), "Not Found")=0,"",IFERROR(INDEX(customers!C$1:C$1001, MATCH(C809, customers!A$1:A$1001, 0)), "Not Found"))</f>
        <v>kferrettimf@huffingtonpost.com</v>
      </c>
      <c r="H809" s="2" t="str">
        <f>IFERROR(INDEX(customers!G$1:G$1001, MATCH(C809, customers!A$1:A$1001, 0)), "Not Found")</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L809*E809</f>
        <v>23.31</v>
      </c>
      <c r="N809" t="str">
        <f>IF(I809="Rob","Robusta",IF(I809="Exc","Excelsa",IF(I809="Ara","Arabica",IF(I809="Lib","Laberica",""))))</f>
        <v>Laberica</v>
      </c>
      <c r="O809" t="str">
        <f t="shared" si="12"/>
        <v>Dark</v>
      </c>
      <c r="P809" t="str">
        <f>INDEX(customers!$I$1:$I$1001, MATCH(Orders[[#This Row],[Customer ID]], customers!$A$1:$A$1001, 0))</f>
        <v>No</v>
      </c>
    </row>
    <row r="810" spans="1:16" x14ac:dyDescent="0.25">
      <c r="A810" s="2" t="s">
        <v>5056</v>
      </c>
      <c r="B810" s="3">
        <v>43868</v>
      </c>
      <c r="C810" s="2" t="s">
        <v>5113</v>
      </c>
      <c r="D810" t="s">
        <v>6142</v>
      </c>
      <c r="E810" s="2">
        <v>5</v>
      </c>
      <c r="F810" s="2" t="str">
        <f>IFERROR(INDEX(customers!B$1:B$1001, MATCH(C810, customers!A$1:A$1001, 0)), "Not Found")</f>
        <v>Allis Wilmore</v>
      </c>
      <c r="G810" s="2" t="str">
        <f>IF(IFERROR(INDEX(customers!C$1:C$1001, MATCH(C810, customers!A$1:A$1001, 0)), "Not Found")=0,"",IFERROR(INDEX(customers!C$1:C$1001, MATCH(C810, customers!A$1:A$1001, 0)), "Not Found"))</f>
        <v/>
      </c>
      <c r="H810" s="2" t="str">
        <f>IFERROR(INDEX(customers!G$1:G$1001, MATCH(C810, customers!A$1:A$1001, 0)), "Not Found")</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L810*E810</f>
        <v>137.42499999999998</v>
      </c>
      <c r="N810" t="str">
        <f>IF(I810="Rob","Robusta",IF(I810="Exc","Excelsa",IF(I810="Ara","Arabica",IF(I810="Lib","Laberica",""))))</f>
        <v>Robusta</v>
      </c>
      <c r="O810" t="str">
        <f t="shared" si="12"/>
        <v>Light</v>
      </c>
      <c r="P810" t="str">
        <f>INDEX(customers!$I$1:$I$1001, MATCH(Orders[[#This Row],[Customer ID]], customers!$A$1:$A$1001, 0))</f>
        <v>No</v>
      </c>
    </row>
    <row r="811" spans="1:16" x14ac:dyDescent="0.25">
      <c r="A811" s="2" t="s">
        <v>5062</v>
      </c>
      <c r="B811" s="3">
        <v>44235</v>
      </c>
      <c r="C811" s="2" t="s">
        <v>5063</v>
      </c>
      <c r="D811" t="s">
        <v>6163</v>
      </c>
      <c r="E811" s="2">
        <v>3</v>
      </c>
      <c r="F811" s="2" t="str">
        <f>IFERROR(INDEX(customers!B$1:B$1001, MATCH(C811, customers!A$1:A$1001, 0)), "Not Found")</f>
        <v>Chaddie Bennie</v>
      </c>
      <c r="G811" s="2" t="str">
        <f>IF(IFERROR(INDEX(customers!C$1:C$1001, MATCH(C811, customers!A$1:A$1001, 0)), "Not Found")=0,"",IFERROR(INDEX(customers!C$1:C$1001, MATCH(C811, customers!A$1:A$1001, 0)), "Not Found"))</f>
        <v/>
      </c>
      <c r="H811" s="2" t="str">
        <f>IFERROR(INDEX(customers!G$1:G$1001, MATCH(C811, customers!A$1:A$1001, 0)), "Not Found")</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L811*E811</f>
        <v>8.0549999999999997</v>
      </c>
      <c r="N811" t="str">
        <f>IF(I811="Rob","Robusta",IF(I811="Exc","Excelsa",IF(I811="Ara","Arabica",IF(I811="Lib","Laberica",""))))</f>
        <v>Robusta</v>
      </c>
      <c r="O811" t="str">
        <f t="shared" si="12"/>
        <v>Dark</v>
      </c>
      <c r="P811" t="str">
        <f>INDEX(customers!$I$1:$I$1001, MATCH(Orders[[#This Row],[Customer ID]], customers!$A$1:$A$1001, 0))</f>
        <v>Yes</v>
      </c>
    </row>
    <row r="812" spans="1:16" x14ac:dyDescent="0.25">
      <c r="A812" s="2" t="s">
        <v>5067</v>
      </c>
      <c r="B812" s="3">
        <v>44054</v>
      </c>
      <c r="C812" s="2" t="s">
        <v>5068</v>
      </c>
      <c r="D812" t="s">
        <v>6161</v>
      </c>
      <c r="E812" s="2">
        <v>3</v>
      </c>
      <c r="F812" s="2" t="str">
        <f>IFERROR(INDEX(customers!B$1:B$1001, MATCH(C812, customers!A$1:A$1001, 0)), "Not Found")</f>
        <v>Alberta Balsdone</v>
      </c>
      <c r="G812" s="2" t="str">
        <f>IF(IFERROR(INDEX(customers!C$1:C$1001, MATCH(C812, customers!A$1:A$1001, 0)), "Not Found")=0,"",IFERROR(INDEX(customers!C$1:C$1001, MATCH(C812, customers!A$1:A$1001, 0)), "Not Found"))</f>
        <v>abalsdonemi@toplist.cz</v>
      </c>
      <c r="H812" s="2" t="str">
        <f>IFERROR(INDEX(customers!G$1:G$1001, MATCH(C812, customers!A$1:A$1001, 0)), "Not Found")</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L812*E812</f>
        <v>28.53</v>
      </c>
      <c r="N812" t="str">
        <f>IF(I812="Rob","Robusta",IF(I812="Exc","Excelsa",IF(I812="Ara","Arabica",IF(I812="Lib","Laberica",""))))</f>
        <v>Laberica</v>
      </c>
      <c r="O812" t="str">
        <f t="shared" si="12"/>
        <v>Light</v>
      </c>
      <c r="P812" t="str">
        <f>INDEX(customers!$I$1:$I$1001, MATCH(Orders[[#This Row],[Customer ID]], customers!$A$1:$A$1001, 0))</f>
        <v>No</v>
      </c>
    </row>
    <row r="813" spans="1:16" x14ac:dyDescent="0.25">
      <c r="A813" s="2" t="s">
        <v>5073</v>
      </c>
      <c r="B813" s="3">
        <v>44114</v>
      </c>
      <c r="C813" s="2" t="s">
        <v>5074</v>
      </c>
      <c r="D813" t="s">
        <v>6155</v>
      </c>
      <c r="E813" s="2">
        <v>6</v>
      </c>
      <c r="F813" s="2" t="str">
        <f>IFERROR(INDEX(customers!B$1:B$1001, MATCH(C813, customers!A$1:A$1001, 0)), "Not Found")</f>
        <v>Brice Romera</v>
      </c>
      <c r="G813" s="2" t="str">
        <f>IF(IFERROR(INDEX(customers!C$1:C$1001, MATCH(C813, customers!A$1:A$1001, 0)), "Not Found")=0,"",IFERROR(INDEX(customers!C$1:C$1001, MATCH(C813, customers!A$1:A$1001, 0)), "Not Found"))</f>
        <v>bromeramj@list-manage.com</v>
      </c>
      <c r="H813" s="2" t="str">
        <f>IFERROR(INDEX(customers!G$1:G$1001, MATCH(C813, customers!A$1:A$1001, 0)), "Not Found")</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L813*E813</f>
        <v>67.5</v>
      </c>
      <c r="N813" t="str">
        <f>IF(I813="Rob","Robusta",IF(I813="Exc","Excelsa",IF(I813="Ara","Arabica",IF(I813="Lib","Laberica",""))))</f>
        <v>Arabica</v>
      </c>
      <c r="O813" t="str">
        <f t="shared" si="12"/>
        <v>Medium</v>
      </c>
      <c r="P813" t="str">
        <f>INDEX(customers!$I$1:$I$1001, MATCH(Orders[[#This Row],[Customer ID]], customers!$A$1:$A$1001, 0))</f>
        <v>Yes</v>
      </c>
    </row>
    <row r="814" spans="1:16" x14ac:dyDescent="0.25">
      <c r="A814" s="2" t="s">
        <v>5073</v>
      </c>
      <c r="B814" s="3">
        <v>44114</v>
      </c>
      <c r="C814" s="2" t="s">
        <v>5074</v>
      </c>
      <c r="D814" t="s">
        <v>6165</v>
      </c>
      <c r="E814" s="2">
        <v>6</v>
      </c>
      <c r="F814" s="2" t="str">
        <f>IFERROR(INDEX(customers!B$1:B$1001, MATCH(C814, customers!A$1:A$1001, 0)), "Not Found")</f>
        <v>Brice Romera</v>
      </c>
      <c r="G814" s="2" t="str">
        <f>IF(IFERROR(INDEX(customers!C$1:C$1001, MATCH(C814, customers!A$1:A$1001, 0)), "Not Found")=0,"",IFERROR(INDEX(customers!C$1:C$1001, MATCH(C814, customers!A$1:A$1001, 0)), "Not Found"))</f>
        <v>bromeramj@list-manage.com</v>
      </c>
      <c r="H814" s="2" t="str">
        <f>IFERROR(INDEX(customers!G$1:G$1001, MATCH(C814, customers!A$1:A$1001, 0)), "Not Found")</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L814*E814</f>
        <v>178.70999999999998</v>
      </c>
      <c r="N814" t="str">
        <f>IF(I814="Rob","Robusta",IF(I814="Exc","Excelsa",IF(I814="Ara","Arabica",IF(I814="Lib","Laberica",""))))</f>
        <v>Laberica</v>
      </c>
      <c r="O814" t="str">
        <f t="shared" si="12"/>
        <v>Dark</v>
      </c>
      <c r="P814" t="str">
        <f>INDEX(customers!$I$1:$I$1001, MATCH(Orders[[#This Row],[Customer ID]], customers!$A$1:$A$1001, 0))</f>
        <v>Yes</v>
      </c>
    </row>
    <row r="815" spans="1:16" x14ac:dyDescent="0.25">
      <c r="A815" s="2" t="s">
        <v>5084</v>
      </c>
      <c r="B815" s="3">
        <v>44173</v>
      </c>
      <c r="C815" s="2" t="s">
        <v>5085</v>
      </c>
      <c r="D815" t="s">
        <v>6166</v>
      </c>
      <c r="E815" s="2">
        <v>1</v>
      </c>
      <c r="F815" s="2" t="str">
        <f>IFERROR(INDEX(customers!B$1:B$1001, MATCH(C815, customers!A$1:A$1001, 0)), "Not Found")</f>
        <v>Conchita Bryde</v>
      </c>
      <c r="G815" s="2" t="str">
        <f>IF(IFERROR(INDEX(customers!C$1:C$1001, MATCH(C815, customers!A$1:A$1001, 0)), "Not Found")=0,"",IFERROR(INDEX(customers!C$1:C$1001, MATCH(C815, customers!A$1:A$1001, 0)), "Not Found"))</f>
        <v>cbrydeml@tuttocitta.it</v>
      </c>
      <c r="H815" s="2" t="str">
        <f>IFERROR(INDEX(customers!G$1:G$1001, MATCH(C815, customers!A$1:A$1001, 0)), "Not Found")</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L815*E815</f>
        <v>31.624999999999996</v>
      </c>
      <c r="N815" t="str">
        <f>IF(I815="Rob","Robusta",IF(I815="Exc","Excelsa",IF(I815="Ara","Arabica",IF(I815="Lib","Laberica",""))))</f>
        <v>Excelsa</v>
      </c>
      <c r="O815" t="str">
        <f t="shared" si="12"/>
        <v>Medium</v>
      </c>
      <c r="P815" t="str">
        <f>INDEX(customers!$I$1:$I$1001, MATCH(Orders[[#This Row],[Customer ID]], customers!$A$1:$A$1001, 0))</f>
        <v>Yes</v>
      </c>
    </row>
    <row r="816" spans="1:16" x14ac:dyDescent="0.25">
      <c r="A816" s="2" t="s">
        <v>5090</v>
      </c>
      <c r="B816" s="3">
        <v>43573</v>
      </c>
      <c r="C816" s="2" t="s">
        <v>5091</v>
      </c>
      <c r="D816" t="s">
        <v>6184</v>
      </c>
      <c r="E816" s="2">
        <v>2</v>
      </c>
      <c r="F816" s="2" t="str">
        <f>IFERROR(INDEX(customers!B$1:B$1001, MATCH(C816, customers!A$1:A$1001, 0)), "Not Found")</f>
        <v>Silvanus Enefer</v>
      </c>
      <c r="G816" s="2" t="str">
        <f>IF(IFERROR(INDEX(customers!C$1:C$1001, MATCH(C816, customers!A$1:A$1001, 0)), "Not Found")=0,"",IFERROR(INDEX(customers!C$1:C$1001, MATCH(C816, customers!A$1:A$1001, 0)), "Not Found"))</f>
        <v>senefermm@blog.com</v>
      </c>
      <c r="H816" s="2" t="str">
        <f>IFERROR(INDEX(customers!G$1:G$1001, MATCH(C816, customers!A$1:A$1001, 0)), "Not Found")</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L816*E816</f>
        <v>8.91</v>
      </c>
      <c r="N816" t="str">
        <f>IF(I816="Rob","Robusta",IF(I816="Exc","Excelsa",IF(I816="Ara","Arabica",IF(I816="Lib","Laberica",""))))</f>
        <v>Excelsa</v>
      </c>
      <c r="O816" t="str">
        <f t="shared" si="12"/>
        <v>Light</v>
      </c>
      <c r="P816" t="str">
        <f>INDEX(customers!$I$1:$I$1001, MATCH(Orders[[#This Row],[Customer ID]], customers!$A$1:$A$1001, 0))</f>
        <v>No</v>
      </c>
    </row>
    <row r="817" spans="1:16" x14ac:dyDescent="0.25">
      <c r="A817" s="2" t="s">
        <v>5096</v>
      </c>
      <c r="B817" s="3">
        <v>44200</v>
      </c>
      <c r="C817" s="2" t="s">
        <v>5097</v>
      </c>
      <c r="D817" t="s">
        <v>6146</v>
      </c>
      <c r="E817" s="2">
        <v>6</v>
      </c>
      <c r="F817" s="2" t="str">
        <f>IFERROR(INDEX(customers!B$1:B$1001, MATCH(C817, customers!A$1:A$1001, 0)), "Not Found")</f>
        <v>Lenci Haggerstone</v>
      </c>
      <c r="G817" s="2" t="str">
        <f>IF(IFERROR(INDEX(customers!C$1:C$1001, MATCH(C817, customers!A$1:A$1001, 0)), "Not Found")=0,"",IFERROR(INDEX(customers!C$1:C$1001, MATCH(C817, customers!A$1:A$1001, 0)), "Not Found"))</f>
        <v>lhaggerstonemn@independent.co.uk</v>
      </c>
      <c r="H817" s="2" t="str">
        <f>IFERROR(INDEX(customers!G$1:G$1001, MATCH(C817, customers!A$1:A$1001, 0)), "Not Found")</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L817*E817</f>
        <v>35.82</v>
      </c>
      <c r="N817" t="str">
        <f>IF(I817="Rob","Robusta",IF(I817="Exc","Excelsa",IF(I817="Ara","Arabica",IF(I817="Lib","Laberica",""))))</f>
        <v>Robusta</v>
      </c>
      <c r="O817" t="str">
        <f t="shared" si="12"/>
        <v>Medium</v>
      </c>
      <c r="P817" t="str">
        <f>INDEX(customers!$I$1:$I$1001, MATCH(Orders[[#This Row],[Customer ID]], customers!$A$1:$A$1001, 0))</f>
        <v>No</v>
      </c>
    </row>
    <row r="818" spans="1:16" x14ac:dyDescent="0.25">
      <c r="A818" s="2" t="s">
        <v>5102</v>
      </c>
      <c r="B818" s="3">
        <v>43534</v>
      </c>
      <c r="C818" s="2" t="s">
        <v>5103</v>
      </c>
      <c r="D818" t="s">
        <v>6161</v>
      </c>
      <c r="E818" s="2">
        <v>4</v>
      </c>
      <c r="F818" s="2" t="str">
        <f>IFERROR(INDEX(customers!B$1:B$1001, MATCH(C818, customers!A$1:A$1001, 0)), "Not Found")</f>
        <v>Marvin Gundry</v>
      </c>
      <c r="G818" s="2" t="str">
        <f>IF(IFERROR(INDEX(customers!C$1:C$1001, MATCH(C818, customers!A$1:A$1001, 0)), "Not Found")=0,"",IFERROR(INDEX(customers!C$1:C$1001, MATCH(C818, customers!A$1:A$1001, 0)), "Not Found"))</f>
        <v>mgundrymo@omniture.com</v>
      </c>
      <c r="H818" s="2" t="str">
        <f>IFERROR(INDEX(customers!G$1:G$1001, MATCH(C818, customers!A$1:A$1001, 0)), "Not Found")</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L818*E818</f>
        <v>38.04</v>
      </c>
      <c r="N818" t="str">
        <f>IF(I818="Rob","Robusta",IF(I818="Exc","Excelsa",IF(I818="Ara","Arabica",IF(I818="Lib","Laberica",""))))</f>
        <v>Laberica</v>
      </c>
      <c r="O818" t="str">
        <f t="shared" si="12"/>
        <v>Light</v>
      </c>
      <c r="P818" t="str">
        <f>INDEX(customers!$I$1:$I$1001, MATCH(Orders[[#This Row],[Customer ID]], customers!$A$1:$A$1001, 0))</f>
        <v>No</v>
      </c>
    </row>
    <row r="819" spans="1:16" x14ac:dyDescent="0.25">
      <c r="A819" s="2" t="s">
        <v>5107</v>
      </c>
      <c r="B819" s="3">
        <v>43798</v>
      </c>
      <c r="C819" s="2" t="s">
        <v>5108</v>
      </c>
      <c r="D819" t="s">
        <v>6169</v>
      </c>
      <c r="E819" s="2">
        <v>2</v>
      </c>
      <c r="F819" s="2" t="str">
        <f>IFERROR(INDEX(customers!B$1:B$1001, MATCH(C819, customers!A$1:A$1001, 0)), "Not Found")</f>
        <v>Bayard Wellan</v>
      </c>
      <c r="G819" s="2" t="str">
        <f>IF(IFERROR(INDEX(customers!C$1:C$1001, MATCH(C819, customers!A$1:A$1001, 0)), "Not Found")=0,"",IFERROR(INDEX(customers!C$1:C$1001, MATCH(C819, customers!A$1:A$1001, 0)), "Not Found"))</f>
        <v>bwellanmp@cafepress.com</v>
      </c>
      <c r="H819" s="2" t="str">
        <f>IFERROR(INDEX(customers!G$1:G$1001, MATCH(C819, customers!A$1:A$1001, 0)), "Not Found")</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L819*E819</f>
        <v>15.54</v>
      </c>
      <c r="N819" t="str">
        <f>IF(I819="Rob","Robusta",IF(I819="Exc","Excelsa",IF(I819="Ara","Arabica",IF(I819="Lib","Laberica",""))))</f>
        <v>Laberica</v>
      </c>
      <c r="O819" t="str">
        <f t="shared" si="12"/>
        <v>Dark</v>
      </c>
      <c r="P819" t="str">
        <f>INDEX(customers!$I$1:$I$1001, MATCH(Orders[[#This Row],[Customer ID]], customers!$A$1:$A$1001, 0))</f>
        <v>No</v>
      </c>
    </row>
    <row r="820" spans="1:16" x14ac:dyDescent="0.25">
      <c r="A820" s="2" t="s">
        <v>5112</v>
      </c>
      <c r="B820" s="3">
        <v>44761</v>
      </c>
      <c r="C820" s="2" t="s">
        <v>5113</v>
      </c>
      <c r="D820" t="s">
        <v>6170</v>
      </c>
      <c r="E820" s="2">
        <v>5</v>
      </c>
      <c r="F820" s="2" t="str">
        <f>IFERROR(INDEX(customers!B$1:B$1001, MATCH(C820, customers!A$1:A$1001, 0)), "Not Found")</f>
        <v>Allis Wilmore</v>
      </c>
      <c r="G820" s="2" t="str">
        <f>IF(IFERROR(INDEX(customers!C$1:C$1001, MATCH(C820, customers!A$1:A$1001, 0)), "Not Found")=0,"",IFERROR(INDEX(customers!C$1:C$1001, MATCH(C820, customers!A$1:A$1001, 0)), "Not Found"))</f>
        <v/>
      </c>
      <c r="H820" s="2" t="str">
        <f>IFERROR(INDEX(customers!G$1:G$1001, MATCH(C820, customers!A$1:A$1001, 0)), "Not Found")</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L820*E820</f>
        <v>79.25</v>
      </c>
      <c r="N820" t="str">
        <f>IF(I820="Rob","Robusta",IF(I820="Exc","Excelsa",IF(I820="Ara","Arabica",IF(I820="Lib","Laberica",""))))</f>
        <v>Laberica</v>
      </c>
      <c r="O820" t="str">
        <f t="shared" si="12"/>
        <v>Light</v>
      </c>
      <c r="P820" t="str">
        <f>INDEX(customers!$I$1:$I$1001, MATCH(Orders[[#This Row],[Customer ID]], customers!$A$1:$A$1001, 0))</f>
        <v>No</v>
      </c>
    </row>
    <row r="821" spans="1:16" x14ac:dyDescent="0.25">
      <c r="A821" s="2" t="s">
        <v>5117</v>
      </c>
      <c r="B821" s="3">
        <v>44008</v>
      </c>
      <c r="C821" s="2" t="s">
        <v>5118</v>
      </c>
      <c r="D821" t="s">
        <v>6145</v>
      </c>
      <c r="E821" s="2">
        <v>1</v>
      </c>
      <c r="F821" s="2" t="str">
        <f>IFERROR(INDEX(customers!B$1:B$1001, MATCH(C821, customers!A$1:A$1001, 0)), "Not Found")</f>
        <v>Caddric Atcheson</v>
      </c>
      <c r="G821" s="2" t="str">
        <f>IF(IFERROR(INDEX(customers!C$1:C$1001, MATCH(C821, customers!A$1:A$1001, 0)), "Not Found")=0,"",IFERROR(INDEX(customers!C$1:C$1001, MATCH(C821, customers!A$1:A$1001, 0)), "Not Found"))</f>
        <v>catchesonmr@xinhuanet.com</v>
      </c>
      <c r="H821" s="2" t="str">
        <f>IFERROR(INDEX(customers!G$1:G$1001, MATCH(C821, customers!A$1:A$1001, 0)), "Not Found")</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L821*E821</f>
        <v>4.7549999999999999</v>
      </c>
      <c r="N821" t="str">
        <f>IF(I821="Rob","Robusta",IF(I821="Exc","Excelsa",IF(I821="Ara","Arabica",IF(I821="Lib","Laberica",""))))</f>
        <v>Laberica</v>
      </c>
      <c r="O821" t="str">
        <f t="shared" si="12"/>
        <v>Light</v>
      </c>
      <c r="P821" t="str">
        <f>INDEX(customers!$I$1:$I$1001, MATCH(Orders[[#This Row],[Customer ID]], customers!$A$1:$A$1001, 0))</f>
        <v>Yes</v>
      </c>
    </row>
    <row r="822" spans="1:16" x14ac:dyDescent="0.25">
      <c r="A822" s="2" t="s">
        <v>5123</v>
      </c>
      <c r="B822" s="3">
        <v>43510</v>
      </c>
      <c r="C822" s="2" t="s">
        <v>5124</v>
      </c>
      <c r="D822" t="s">
        <v>6141</v>
      </c>
      <c r="E822" s="2">
        <v>4</v>
      </c>
      <c r="F822" s="2" t="str">
        <f>IFERROR(INDEX(customers!B$1:B$1001, MATCH(C822, customers!A$1:A$1001, 0)), "Not Found")</f>
        <v>Eustace Stenton</v>
      </c>
      <c r="G822" s="2" t="str">
        <f>IF(IFERROR(INDEX(customers!C$1:C$1001, MATCH(C822, customers!A$1:A$1001, 0)), "Not Found")=0,"",IFERROR(INDEX(customers!C$1:C$1001, MATCH(C822, customers!A$1:A$1001, 0)), "Not Found"))</f>
        <v>estentonms@google.it</v>
      </c>
      <c r="H822" s="2" t="str">
        <f>IFERROR(INDEX(customers!G$1:G$1001, MATCH(C822, customers!A$1:A$1001, 0)), "Not Found")</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L822*E822</f>
        <v>55</v>
      </c>
      <c r="N822" t="str">
        <f>IF(I822="Rob","Robusta",IF(I822="Exc","Excelsa",IF(I822="Ara","Arabica",IF(I822="Lib","Laberica",""))))</f>
        <v>Excelsa</v>
      </c>
      <c r="O822" t="str">
        <f t="shared" si="12"/>
        <v>Medium</v>
      </c>
      <c r="P822" t="str">
        <f>INDEX(customers!$I$1:$I$1001, MATCH(Orders[[#This Row],[Customer ID]], customers!$A$1:$A$1001, 0))</f>
        <v>Yes</v>
      </c>
    </row>
    <row r="823" spans="1:16" x14ac:dyDescent="0.25">
      <c r="A823" s="2" t="s">
        <v>5129</v>
      </c>
      <c r="B823" s="3">
        <v>44144</v>
      </c>
      <c r="C823" s="2" t="s">
        <v>5130</v>
      </c>
      <c r="D823" t="s">
        <v>6172</v>
      </c>
      <c r="E823" s="2">
        <v>5</v>
      </c>
      <c r="F823" s="2" t="str">
        <f>IFERROR(INDEX(customers!B$1:B$1001, MATCH(C823, customers!A$1:A$1001, 0)), "Not Found")</f>
        <v>Ericka Tripp</v>
      </c>
      <c r="G823" s="2" t="str">
        <f>IF(IFERROR(INDEX(customers!C$1:C$1001, MATCH(C823, customers!A$1:A$1001, 0)), "Not Found")=0,"",IFERROR(INDEX(customers!C$1:C$1001, MATCH(C823, customers!A$1:A$1001, 0)), "Not Found"))</f>
        <v>etrippmt@wp.com</v>
      </c>
      <c r="H823" s="2" t="str">
        <f>IFERROR(INDEX(customers!G$1:G$1001, MATCH(C823, customers!A$1:A$1001, 0)), "Not Found")</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L823*E823</f>
        <v>26.849999999999994</v>
      </c>
      <c r="N823" t="str">
        <f>IF(I823="Rob","Robusta",IF(I823="Exc","Excelsa",IF(I823="Ara","Arabica",IF(I823="Lib","Laberica",""))))</f>
        <v>Robusta</v>
      </c>
      <c r="O823" t="str">
        <f t="shared" si="12"/>
        <v>Dark</v>
      </c>
      <c r="P823" t="str">
        <f>INDEX(customers!$I$1:$I$1001, MATCH(Orders[[#This Row],[Customer ID]], customers!$A$1:$A$1001, 0))</f>
        <v>No</v>
      </c>
    </row>
    <row r="824" spans="1:16" x14ac:dyDescent="0.25">
      <c r="A824" s="2" t="s">
        <v>5135</v>
      </c>
      <c r="B824" s="3">
        <v>43585</v>
      </c>
      <c r="C824" s="2" t="s">
        <v>5136</v>
      </c>
      <c r="D824" t="s">
        <v>6148</v>
      </c>
      <c r="E824" s="2">
        <v>4</v>
      </c>
      <c r="F824" s="2" t="str">
        <f>IFERROR(INDEX(customers!B$1:B$1001, MATCH(C824, customers!A$1:A$1001, 0)), "Not Found")</f>
        <v>Lyndsey MacManus</v>
      </c>
      <c r="G824" s="2" t="str">
        <f>IF(IFERROR(INDEX(customers!C$1:C$1001, MATCH(C824, customers!A$1:A$1001, 0)), "Not Found")=0,"",IFERROR(INDEX(customers!C$1:C$1001, MATCH(C824, customers!A$1:A$1001, 0)), "Not Found"))</f>
        <v>lmacmanusmu@imdb.com</v>
      </c>
      <c r="H824" s="2" t="str">
        <f>IFERROR(INDEX(customers!G$1:G$1001, MATCH(C824, customers!A$1:A$1001, 0)), "Not Found")</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L824*E824</f>
        <v>136.61999999999998</v>
      </c>
      <c r="N824" t="str">
        <f>IF(I824="Rob","Robusta",IF(I824="Exc","Excelsa",IF(I824="Ara","Arabica",IF(I824="Lib","Laberica",""))))</f>
        <v>Excelsa</v>
      </c>
      <c r="O824" t="str">
        <f t="shared" si="12"/>
        <v>Light</v>
      </c>
      <c r="P824" t="str">
        <f>INDEX(customers!$I$1:$I$1001, MATCH(Orders[[#This Row],[Customer ID]], customers!$A$1:$A$1001, 0))</f>
        <v>No</v>
      </c>
    </row>
    <row r="825" spans="1:16" x14ac:dyDescent="0.25">
      <c r="A825" s="2" t="s">
        <v>5141</v>
      </c>
      <c r="B825" s="3">
        <v>44134</v>
      </c>
      <c r="C825" s="2" t="s">
        <v>5142</v>
      </c>
      <c r="D825" t="s">
        <v>6170</v>
      </c>
      <c r="E825" s="2">
        <v>3</v>
      </c>
      <c r="F825" s="2" t="str">
        <f>IFERROR(INDEX(customers!B$1:B$1001, MATCH(C825, customers!A$1:A$1001, 0)), "Not Found")</f>
        <v>Tess Benediktovich</v>
      </c>
      <c r="G825" s="2" t="str">
        <f>IF(IFERROR(INDEX(customers!C$1:C$1001, MATCH(C825, customers!A$1:A$1001, 0)), "Not Found")=0,"",IFERROR(INDEX(customers!C$1:C$1001, MATCH(C825, customers!A$1:A$1001, 0)), "Not Found"))</f>
        <v>tbenediktovichmv@ebay.com</v>
      </c>
      <c r="H825" s="2" t="str">
        <f>IFERROR(INDEX(customers!G$1:G$1001, MATCH(C825, customers!A$1:A$1001, 0)), "Not Found")</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L825*E825</f>
        <v>47.55</v>
      </c>
      <c r="N825" t="str">
        <f>IF(I825="Rob","Robusta",IF(I825="Exc","Excelsa",IF(I825="Ara","Arabica",IF(I825="Lib","Laberica",""))))</f>
        <v>Laberica</v>
      </c>
      <c r="O825" t="str">
        <f t="shared" si="12"/>
        <v>Light</v>
      </c>
      <c r="P825" t="str">
        <f>INDEX(customers!$I$1:$I$1001, MATCH(Orders[[#This Row],[Customer ID]], customers!$A$1:$A$1001, 0))</f>
        <v>Yes</v>
      </c>
    </row>
    <row r="826" spans="1:16" x14ac:dyDescent="0.25">
      <c r="A826" s="2" t="s">
        <v>5147</v>
      </c>
      <c r="B826" s="3">
        <v>43781</v>
      </c>
      <c r="C826" s="2" t="s">
        <v>5148</v>
      </c>
      <c r="D826" t="s">
        <v>6152</v>
      </c>
      <c r="E826" s="2">
        <v>5</v>
      </c>
      <c r="F826" s="2" t="str">
        <f>IFERROR(INDEX(customers!B$1:B$1001, MATCH(C826, customers!A$1:A$1001, 0)), "Not Found")</f>
        <v>Correy Bourner</v>
      </c>
      <c r="G826" s="2" t="str">
        <f>IF(IFERROR(INDEX(customers!C$1:C$1001, MATCH(C826, customers!A$1:A$1001, 0)), "Not Found")=0,"",IFERROR(INDEX(customers!C$1:C$1001, MATCH(C826, customers!A$1:A$1001, 0)), "Not Found"))</f>
        <v>cbournermw@chronoengine.com</v>
      </c>
      <c r="H826" s="2" t="str">
        <f>IFERROR(INDEX(customers!G$1:G$1001, MATCH(C826, customers!A$1:A$1001, 0)), "Not Found")</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L826*E826</f>
        <v>16.875</v>
      </c>
      <c r="N826" t="str">
        <f>IF(I826="Rob","Robusta",IF(I826="Exc","Excelsa",IF(I826="Ara","Arabica",IF(I826="Lib","Laberica",""))))</f>
        <v>Arabica</v>
      </c>
      <c r="O826" t="str">
        <f t="shared" si="12"/>
        <v>Medium</v>
      </c>
      <c r="P826" t="str">
        <f>INDEX(customers!$I$1:$I$1001, MATCH(Orders[[#This Row],[Customer ID]], customers!$A$1:$A$1001, 0))</f>
        <v>Yes</v>
      </c>
    </row>
    <row r="827" spans="1:16" x14ac:dyDescent="0.25">
      <c r="A827" s="2" t="s">
        <v>5152</v>
      </c>
      <c r="B827" s="3">
        <v>44603</v>
      </c>
      <c r="C827" s="2" t="s">
        <v>5188</v>
      </c>
      <c r="D827" t="s">
        <v>6147</v>
      </c>
      <c r="E827" s="2">
        <v>3</v>
      </c>
      <c r="F827" s="2" t="str">
        <f>IFERROR(INDEX(customers!B$1:B$1001, MATCH(C827, customers!A$1:A$1001, 0)), "Not Found")</f>
        <v>Odelia Skerme</v>
      </c>
      <c r="G827" s="2" t="str">
        <f>IF(IFERROR(INDEX(customers!C$1:C$1001, MATCH(C827, customers!A$1:A$1001, 0)), "Not Found")=0,"",IFERROR(INDEX(customers!C$1:C$1001, MATCH(C827, customers!A$1:A$1001, 0)), "Not Found"))</f>
        <v>oskermen3@hatena.ne.jp</v>
      </c>
      <c r="H827" s="2" t="str">
        <f>IFERROR(INDEX(customers!G$1:G$1001, MATCH(C827, customers!A$1:A$1001, 0)), "Not Found")</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L827*E827</f>
        <v>29.849999999999998</v>
      </c>
      <c r="N827" t="str">
        <f>IF(I827="Rob","Robusta",IF(I827="Exc","Excelsa",IF(I827="Ara","Arabica",IF(I827="Lib","Laberica",""))))</f>
        <v>Arabica</v>
      </c>
      <c r="O827" t="str">
        <f t="shared" si="12"/>
        <v>Dark</v>
      </c>
      <c r="P827" t="str">
        <f>INDEX(customers!$I$1:$I$1001, MATCH(Orders[[#This Row],[Customer ID]], customers!$A$1:$A$1001, 0))</f>
        <v>Yes</v>
      </c>
    </row>
    <row r="828" spans="1:16" x14ac:dyDescent="0.25">
      <c r="A828" s="2" t="s">
        <v>5158</v>
      </c>
      <c r="B828" s="3">
        <v>44283</v>
      </c>
      <c r="C828" s="2" t="s">
        <v>5159</v>
      </c>
      <c r="D828" t="s">
        <v>6139</v>
      </c>
      <c r="E828" s="2">
        <v>5</v>
      </c>
      <c r="F828" s="2" t="str">
        <f>IFERROR(INDEX(customers!B$1:B$1001, MATCH(C828, customers!A$1:A$1001, 0)), "Not Found")</f>
        <v>Kandy Heddan</v>
      </c>
      <c r="G828" s="2" t="str">
        <f>IF(IFERROR(INDEX(customers!C$1:C$1001, MATCH(C828, customers!A$1:A$1001, 0)), "Not Found")=0,"",IFERROR(INDEX(customers!C$1:C$1001, MATCH(C828, customers!A$1:A$1001, 0)), "Not Found"))</f>
        <v>kheddanmy@icq.com</v>
      </c>
      <c r="H828" s="2" t="str">
        <f>IFERROR(INDEX(customers!G$1:G$1001, MATCH(C828, customers!A$1:A$1001, 0)), "Not Found")</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L828*E828</f>
        <v>41.25</v>
      </c>
      <c r="N828" t="str">
        <f>IF(I828="Rob","Robusta",IF(I828="Exc","Excelsa",IF(I828="Ara","Arabica",IF(I828="Lib","Laberica",""))))</f>
        <v>Excelsa</v>
      </c>
      <c r="O828" t="str">
        <f t="shared" si="12"/>
        <v>Medium</v>
      </c>
      <c r="P828" t="str">
        <f>INDEX(customers!$I$1:$I$1001, MATCH(Orders[[#This Row],[Customer ID]], customers!$A$1:$A$1001, 0))</f>
        <v>Yes</v>
      </c>
    </row>
    <row r="829" spans="1:16" x14ac:dyDescent="0.25">
      <c r="A829" s="2" t="s">
        <v>5164</v>
      </c>
      <c r="B829" s="3">
        <v>44540</v>
      </c>
      <c r="C829" s="2" t="s">
        <v>5165</v>
      </c>
      <c r="D829" t="s">
        <v>6156</v>
      </c>
      <c r="E829" s="2">
        <v>5</v>
      </c>
      <c r="F829" s="2" t="str">
        <f>IFERROR(INDEX(customers!B$1:B$1001, MATCH(C829, customers!A$1:A$1001, 0)), "Not Found")</f>
        <v>Ibby Charters</v>
      </c>
      <c r="G829" s="2" t="str">
        <f>IF(IFERROR(INDEX(customers!C$1:C$1001, MATCH(C829, customers!A$1:A$1001, 0)), "Not Found")=0,"",IFERROR(INDEX(customers!C$1:C$1001, MATCH(C829, customers!A$1:A$1001, 0)), "Not Found"))</f>
        <v>ichartersmz@abc.net.au</v>
      </c>
      <c r="H829" s="2" t="str">
        <f>IFERROR(INDEX(customers!G$1:G$1001, MATCH(C829, customers!A$1:A$1001, 0)), "Not Found")</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L829*E829</f>
        <v>20.625</v>
      </c>
      <c r="N829" t="str">
        <f>IF(I829="Rob","Robusta",IF(I829="Exc","Excelsa",IF(I829="Ara","Arabica",IF(I829="Lib","Laberica",""))))</f>
        <v>Excelsa</v>
      </c>
      <c r="O829" t="str">
        <f t="shared" si="12"/>
        <v>Medium</v>
      </c>
      <c r="P829" t="str">
        <f>INDEX(customers!$I$1:$I$1001, MATCH(Orders[[#This Row],[Customer ID]], customers!$A$1:$A$1001, 0))</f>
        <v>No</v>
      </c>
    </row>
    <row r="830" spans="1:16" x14ac:dyDescent="0.25">
      <c r="A830" s="2" t="s">
        <v>5170</v>
      </c>
      <c r="B830" s="3">
        <v>44505</v>
      </c>
      <c r="C830" s="2" t="s">
        <v>5171</v>
      </c>
      <c r="D830" t="s">
        <v>6168</v>
      </c>
      <c r="E830" s="2">
        <v>6</v>
      </c>
      <c r="F830" s="2" t="str">
        <f>IFERROR(INDEX(customers!B$1:B$1001, MATCH(C830, customers!A$1:A$1001, 0)), "Not Found")</f>
        <v>Adora Roubert</v>
      </c>
      <c r="G830" s="2" t="str">
        <f>IF(IFERROR(INDEX(customers!C$1:C$1001, MATCH(C830, customers!A$1:A$1001, 0)), "Not Found")=0,"",IFERROR(INDEX(customers!C$1:C$1001, MATCH(C830, customers!A$1:A$1001, 0)), "Not Found"))</f>
        <v>aroubertn0@tmall.com</v>
      </c>
      <c r="H830" s="2" t="str">
        <f>IFERROR(INDEX(customers!G$1:G$1001, MATCH(C830, customers!A$1:A$1001, 0)), "Not Found")</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L830*E830</f>
        <v>137.31</v>
      </c>
      <c r="N830" t="str">
        <f>IF(I830="Rob","Robusta",IF(I830="Exc","Excelsa",IF(I830="Ara","Arabica",IF(I830="Lib","Laberica",""))))</f>
        <v>Arabica</v>
      </c>
      <c r="O830" t="str">
        <f t="shared" si="12"/>
        <v>Dark</v>
      </c>
      <c r="P830" t="str">
        <f>INDEX(customers!$I$1:$I$1001, MATCH(Orders[[#This Row],[Customer ID]], customers!$A$1:$A$1001, 0))</f>
        <v>Yes</v>
      </c>
    </row>
    <row r="831" spans="1:16" x14ac:dyDescent="0.25">
      <c r="A831" s="2" t="s">
        <v>5176</v>
      </c>
      <c r="B831" s="3">
        <v>43890</v>
      </c>
      <c r="C831" s="2" t="s">
        <v>5177</v>
      </c>
      <c r="D831" t="s">
        <v>6154</v>
      </c>
      <c r="E831" s="2">
        <v>1</v>
      </c>
      <c r="F831" s="2" t="str">
        <f>IFERROR(INDEX(customers!B$1:B$1001, MATCH(C831, customers!A$1:A$1001, 0)), "Not Found")</f>
        <v>Hillel Mairs</v>
      </c>
      <c r="G831" s="2" t="str">
        <f>IF(IFERROR(INDEX(customers!C$1:C$1001, MATCH(C831, customers!A$1:A$1001, 0)), "Not Found")=0,"",IFERROR(INDEX(customers!C$1:C$1001, MATCH(C831, customers!A$1:A$1001, 0)), "Not Found"))</f>
        <v>hmairsn1@so-net.ne.jp</v>
      </c>
      <c r="H831" s="2" t="str">
        <f>IFERROR(INDEX(customers!G$1:G$1001, MATCH(C831, customers!A$1:A$1001, 0)), "Not Found")</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L831*E831</f>
        <v>2.9849999999999999</v>
      </c>
      <c r="N831" t="str">
        <f>IF(I831="Rob","Robusta",IF(I831="Exc","Excelsa",IF(I831="Ara","Arabica",IF(I831="Lib","Laberica",""))))</f>
        <v>Arabica</v>
      </c>
      <c r="O831" t="str">
        <f t="shared" si="12"/>
        <v>Dark</v>
      </c>
      <c r="P831" t="str">
        <f>INDEX(customers!$I$1:$I$1001, MATCH(Orders[[#This Row],[Customer ID]], customers!$A$1:$A$1001, 0))</f>
        <v>No</v>
      </c>
    </row>
    <row r="832" spans="1:16" x14ac:dyDescent="0.25">
      <c r="A832" s="2" t="s">
        <v>5182</v>
      </c>
      <c r="B832" s="3">
        <v>44414</v>
      </c>
      <c r="C832" s="2" t="s">
        <v>5183</v>
      </c>
      <c r="D832" t="s">
        <v>6141</v>
      </c>
      <c r="E832" s="2">
        <v>2</v>
      </c>
      <c r="F832" s="2" t="str">
        <f>IFERROR(INDEX(customers!B$1:B$1001, MATCH(C832, customers!A$1:A$1001, 0)), "Not Found")</f>
        <v>Helaina Rainforth</v>
      </c>
      <c r="G832" s="2" t="str">
        <f>IF(IFERROR(INDEX(customers!C$1:C$1001, MATCH(C832, customers!A$1:A$1001, 0)), "Not Found")=0,"",IFERROR(INDEX(customers!C$1:C$1001, MATCH(C832, customers!A$1:A$1001, 0)), "Not Found"))</f>
        <v>hrainforthn2@blog.com</v>
      </c>
      <c r="H832" s="2" t="str">
        <f>IFERROR(INDEX(customers!G$1:G$1001, MATCH(C832, customers!A$1:A$1001, 0)), "Not Found")</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L832*E832</f>
        <v>27.5</v>
      </c>
      <c r="N832" t="str">
        <f>IF(I832="Rob","Robusta",IF(I832="Exc","Excelsa",IF(I832="Ara","Arabica",IF(I832="Lib","Laberica",""))))</f>
        <v>Excelsa</v>
      </c>
      <c r="O832" t="str">
        <f t="shared" si="12"/>
        <v>Medium</v>
      </c>
      <c r="P832" t="str">
        <f>INDEX(customers!$I$1:$I$1001, MATCH(Orders[[#This Row],[Customer ID]], customers!$A$1:$A$1001, 0))</f>
        <v>No</v>
      </c>
    </row>
    <row r="833" spans="1:16" x14ac:dyDescent="0.25">
      <c r="A833" s="2" t="s">
        <v>5182</v>
      </c>
      <c r="B833" s="3">
        <v>44414</v>
      </c>
      <c r="C833" s="2" t="s">
        <v>5183</v>
      </c>
      <c r="D833" t="s">
        <v>6154</v>
      </c>
      <c r="E833" s="2">
        <v>2</v>
      </c>
      <c r="F833" s="2" t="str">
        <f>IFERROR(INDEX(customers!B$1:B$1001, MATCH(C833, customers!A$1:A$1001, 0)), "Not Found")</f>
        <v>Helaina Rainforth</v>
      </c>
      <c r="G833" s="2" t="str">
        <f>IF(IFERROR(INDEX(customers!C$1:C$1001, MATCH(C833, customers!A$1:A$1001, 0)), "Not Found")=0,"",IFERROR(INDEX(customers!C$1:C$1001, MATCH(C833, customers!A$1:A$1001, 0)), "Not Found"))</f>
        <v>hrainforthn2@blog.com</v>
      </c>
      <c r="H833" s="2" t="str">
        <f>IFERROR(INDEX(customers!G$1:G$1001, MATCH(C833, customers!A$1:A$1001, 0)), "Not Found")</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L833*E833</f>
        <v>5.97</v>
      </c>
      <c r="N833" t="str">
        <f>IF(I833="Rob","Robusta",IF(I833="Exc","Excelsa",IF(I833="Ara","Arabica",IF(I833="Lib","Laberica",""))))</f>
        <v>Arabica</v>
      </c>
      <c r="O833" t="str">
        <f t="shared" si="12"/>
        <v>Dark</v>
      </c>
      <c r="P833" t="str">
        <f>INDEX(customers!$I$1:$I$1001, MATCH(Orders[[#This Row],[Customer ID]], customers!$A$1:$A$1001, 0))</f>
        <v>No</v>
      </c>
    </row>
    <row r="834" spans="1:16" x14ac:dyDescent="0.25">
      <c r="A834" s="2" t="s">
        <v>5193</v>
      </c>
      <c r="B834" s="3">
        <v>44274</v>
      </c>
      <c r="C834" s="2" t="s">
        <v>5194</v>
      </c>
      <c r="D834" t="s">
        <v>6138</v>
      </c>
      <c r="E834" s="2">
        <v>6</v>
      </c>
      <c r="F834" s="2" t="str">
        <f>IFERROR(INDEX(customers!B$1:B$1001, MATCH(C834, customers!A$1:A$1001, 0)), "Not Found")</f>
        <v>Isac Jesper</v>
      </c>
      <c r="G834" s="2" t="str">
        <f>IF(IFERROR(INDEX(customers!C$1:C$1001, MATCH(C834, customers!A$1:A$1001, 0)), "Not Found")=0,"",IFERROR(INDEX(customers!C$1:C$1001, MATCH(C834, customers!A$1:A$1001, 0)), "Not Found"))</f>
        <v>ijespern4@theglobeandmail.com</v>
      </c>
      <c r="H834" s="2" t="str">
        <f>IFERROR(INDEX(customers!G$1:G$1001, MATCH(C834, customers!A$1:A$1001, 0)), "Not Found")</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L834*E834</f>
        <v>59.699999999999996</v>
      </c>
      <c r="N834" t="str">
        <f>IF(I834="Rob","Robusta",IF(I834="Exc","Excelsa",IF(I834="Ara","Arabica",IF(I834="Lib","Laberica",""))))</f>
        <v>Robusta</v>
      </c>
      <c r="O834" t="str">
        <f t="shared" si="12"/>
        <v>Medium</v>
      </c>
      <c r="P834" t="str">
        <f>INDEX(customers!$I$1:$I$1001, MATCH(Orders[[#This Row],[Customer ID]], customers!$A$1:$A$1001, 0))</f>
        <v>No</v>
      </c>
    </row>
    <row r="835" spans="1:16" x14ac:dyDescent="0.25">
      <c r="A835" s="2" t="s">
        <v>5199</v>
      </c>
      <c r="B835" s="3">
        <v>44302</v>
      </c>
      <c r="C835" s="2" t="s">
        <v>5200</v>
      </c>
      <c r="D835" t="s">
        <v>6149</v>
      </c>
      <c r="E835" s="2">
        <v>4</v>
      </c>
      <c r="F835" s="2" t="str">
        <f>IFERROR(INDEX(customers!B$1:B$1001, MATCH(C835, customers!A$1:A$1001, 0)), "Not Found")</f>
        <v>Lenette Dwerryhouse</v>
      </c>
      <c r="G835" s="2" t="str">
        <f>IF(IFERROR(INDEX(customers!C$1:C$1001, MATCH(C835, customers!A$1:A$1001, 0)), "Not Found")=0,"",IFERROR(INDEX(customers!C$1:C$1001, MATCH(C835, customers!A$1:A$1001, 0)), "Not Found"))</f>
        <v>ldwerryhousen5@gravatar.com</v>
      </c>
      <c r="H835" s="2" t="str">
        <f>IFERROR(INDEX(customers!G$1:G$1001, MATCH(C835, customers!A$1:A$1001, 0)), "Not Found")</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L835*E835</f>
        <v>82.339999999999989</v>
      </c>
      <c r="N835" t="str">
        <f>IF(I835="Rob","Robusta",IF(I835="Exc","Excelsa",IF(I835="Ara","Arabica",IF(I835="Lib","Laberica",""))))</f>
        <v>Robusta</v>
      </c>
      <c r="O835" t="str">
        <f t="shared" ref="O835:O898" si="13">IF(J835="M","Medium",IF(J835="L","Light",IF(J835="D","Dark","")))</f>
        <v>Dark</v>
      </c>
      <c r="P835" t="str">
        <f>INDEX(customers!$I$1:$I$1001, MATCH(Orders[[#This Row],[Customer ID]], customers!$A$1:$A$1001, 0))</f>
        <v>Yes</v>
      </c>
    </row>
    <row r="836" spans="1:16" x14ac:dyDescent="0.25">
      <c r="A836" s="2" t="s">
        <v>5205</v>
      </c>
      <c r="B836" s="3">
        <v>44141</v>
      </c>
      <c r="C836" s="2" t="s">
        <v>5206</v>
      </c>
      <c r="D836" t="s">
        <v>6168</v>
      </c>
      <c r="E836" s="2">
        <v>1</v>
      </c>
      <c r="F836" s="2" t="str">
        <f>IFERROR(INDEX(customers!B$1:B$1001, MATCH(C836, customers!A$1:A$1001, 0)), "Not Found")</f>
        <v>Nadeen Broomer</v>
      </c>
      <c r="G836" s="2" t="str">
        <f>IF(IFERROR(INDEX(customers!C$1:C$1001, MATCH(C836, customers!A$1:A$1001, 0)), "Not Found")=0,"",IFERROR(INDEX(customers!C$1:C$1001, MATCH(C836, customers!A$1:A$1001, 0)), "Not Found"))</f>
        <v>nbroomern6@examiner.com</v>
      </c>
      <c r="H836" s="2" t="str">
        <f>IFERROR(INDEX(customers!G$1:G$1001, MATCH(C836, customers!A$1:A$1001, 0)), "Not Found")</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L836*E836</f>
        <v>22.884999999999998</v>
      </c>
      <c r="N836" t="str">
        <f>IF(I836="Rob","Robusta",IF(I836="Exc","Excelsa",IF(I836="Ara","Arabica",IF(I836="Lib","Laberica",""))))</f>
        <v>Arabica</v>
      </c>
      <c r="O836" t="str">
        <f t="shared" si="13"/>
        <v>Dark</v>
      </c>
      <c r="P836" t="str">
        <f>INDEX(customers!$I$1:$I$1001, MATCH(Orders[[#This Row],[Customer ID]], customers!$A$1:$A$1001, 0))</f>
        <v>No</v>
      </c>
    </row>
    <row r="837" spans="1:16" x14ac:dyDescent="0.25">
      <c r="A837" s="2" t="s">
        <v>5211</v>
      </c>
      <c r="B837" s="3">
        <v>44270</v>
      </c>
      <c r="C837" s="2" t="s">
        <v>5212</v>
      </c>
      <c r="D837" t="s">
        <v>6176</v>
      </c>
      <c r="E837" s="2">
        <v>1</v>
      </c>
      <c r="F837" s="2" t="str">
        <f>IFERROR(INDEX(customers!B$1:B$1001, MATCH(C837, customers!A$1:A$1001, 0)), "Not Found")</f>
        <v>Konstantine Thoumasson</v>
      </c>
      <c r="G837" s="2" t="str">
        <f>IF(IFERROR(INDEX(customers!C$1:C$1001, MATCH(C837, customers!A$1:A$1001, 0)), "Not Found")=0,"",IFERROR(INDEX(customers!C$1:C$1001, MATCH(C837, customers!A$1:A$1001, 0)), "Not Found"))</f>
        <v>kthoumassonn7@bloglovin.com</v>
      </c>
      <c r="H837" s="2" t="str">
        <f>IFERROR(INDEX(customers!G$1:G$1001, MATCH(C837, customers!A$1:A$1001, 0)), "Not Found")</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L837*E837</f>
        <v>8.91</v>
      </c>
      <c r="N837" t="str">
        <f>IF(I837="Rob","Robusta",IF(I837="Exc","Excelsa",IF(I837="Ara","Arabica",IF(I837="Lib","Laberica",""))))</f>
        <v>Excelsa</v>
      </c>
      <c r="O837" t="str">
        <f t="shared" si="13"/>
        <v>Light</v>
      </c>
      <c r="P837" t="str">
        <f>INDEX(customers!$I$1:$I$1001, MATCH(Orders[[#This Row],[Customer ID]], customers!$A$1:$A$1001, 0))</f>
        <v>Yes</v>
      </c>
    </row>
    <row r="838" spans="1:16" x14ac:dyDescent="0.25">
      <c r="A838" s="2" t="s">
        <v>5216</v>
      </c>
      <c r="B838" s="3">
        <v>44486</v>
      </c>
      <c r="C838" s="2" t="s">
        <v>5217</v>
      </c>
      <c r="D838" t="s">
        <v>6154</v>
      </c>
      <c r="E838" s="2">
        <v>4</v>
      </c>
      <c r="F838" s="2" t="str">
        <f>IFERROR(INDEX(customers!B$1:B$1001, MATCH(C838, customers!A$1:A$1001, 0)), "Not Found")</f>
        <v>Frans Habbergham</v>
      </c>
      <c r="G838" s="2" t="str">
        <f>IF(IFERROR(INDEX(customers!C$1:C$1001, MATCH(C838, customers!A$1:A$1001, 0)), "Not Found")=0,"",IFERROR(INDEX(customers!C$1:C$1001, MATCH(C838, customers!A$1:A$1001, 0)), "Not Found"))</f>
        <v>fhabberghamn8@discovery.com</v>
      </c>
      <c r="H838" s="2" t="str">
        <f>IFERROR(INDEX(customers!G$1:G$1001, MATCH(C838, customers!A$1:A$1001, 0)), "Not Found")</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L838*E838</f>
        <v>11.94</v>
      </c>
      <c r="N838" t="str">
        <f>IF(I838="Rob","Robusta",IF(I838="Exc","Excelsa",IF(I838="Ara","Arabica",IF(I838="Lib","Laberica",""))))</f>
        <v>Arabica</v>
      </c>
      <c r="O838" t="str">
        <f t="shared" si="13"/>
        <v>Dark</v>
      </c>
      <c r="P838" t="str">
        <f>INDEX(customers!$I$1:$I$1001, MATCH(Orders[[#This Row],[Customer ID]], customers!$A$1:$A$1001, 0))</f>
        <v>No</v>
      </c>
    </row>
    <row r="839" spans="1:16" x14ac:dyDescent="0.25">
      <c r="A839" s="2" t="s">
        <v>5222</v>
      </c>
      <c r="B839" s="3">
        <v>43715</v>
      </c>
      <c r="C839" s="2" t="s">
        <v>5113</v>
      </c>
      <c r="D839" t="s">
        <v>6181</v>
      </c>
      <c r="E839" s="2">
        <v>3</v>
      </c>
      <c r="F839" s="2" t="str">
        <f>IFERROR(INDEX(customers!B$1:B$1001, MATCH(C839, customers!A$1:A$1001, 0)), "Not Found")</f>
        <v>Allis Wilmore</v>
      </c>
      <c r="G839" s="2" t="str">
        <f>IF(IFERROR(INDEX(customers!C$1:C$1001, MATCH(C839, customers!A$1:A$1001, 0)), "Not Found")=0,"",IFERROR(INDEX(customers!C$1:C$1001, MATCH(C839, customers!A$1:A$1001, 0)), "Not Found"))</f>
        <v/>
      </c>
      <c r="H839" s="2" t="str">
        <f>IFERROR(INDEX(customers!G$1:G$1001, MATCH(C839, customers!A$1:A$1001, 0)), "Not Found")</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L839*E839</f>
        <v>100.39499999999998</v>
      </c>
      <c r="N839" t="str">
        <f>IF(I839="Rob","Robusta",IF(I839="Exc","Excelsa",IF(I839="Ara","Arabica",IF(I839="Lib","Laberica",""))))</f>
        <v>Laberica</v>
      </c>
      <c r="O839" t="str">
        <f t="shared" si="13"/>
        <v>Medium</v>
      </c>
      <c r="P839" t="str">
        <f>INDEX(customers!$I$1:$I$1001, MATCH(Orders[[#This Row],[Customer ID]], customers!$A$1:$A$1001, 0))</f>
        <v>No</v>
      </c>
    </row>
    <row r="840" spans="1:16" x14ac:dyDescent="0.25">
      <c r="A840" s="2" t="s">
        <v>5228</v>
      </c>
      <c r="B840" s="3">
        <v>44755</v>
      </c>
      <c r="C840" s="2" t="s">
        <v>5229</v>
      </c>
      <c r="D840" t="s">
        <v>6168</v>
      </c>
      <c r="E840" s="2">
        <v>5</v>
      </c>
      <c r="F840" s="2" t="str">
        <f>IFERROR(INDEX(customers!B$1:B$1001, MATCH(C840, customers!A$1:A$1001, 0)), "Not Found")</f>
        <v>Romain Avrashin</v>
      </c>
      <c r="G840" s="2" t="str">
        <f>IF(IFERROR(INDEX(customers!C$1:C$1001, MATCH(C840, customers!A$1:A$1001, 0)), "Not Found")=0,"",IFERROR(INDEX(customers!C$1:C$1001, MATCH(C840, customers!A$1:A$1001, 0)), "Not Found"))</f>
        <v>ravrashinna@tamu.edu</v>
      </c>
      <c r="H840" s="2" t="str">
        <f>IFERROR(INDEX(customers!G$1:G$1001, MATCH(C840, customers!A$1:A$1001, 0)), "Not Found")</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L840*E840</f>
        <v>114.42499999999998</v>
      </c>
      <c r="N840" t="str">
        <f>IF(I840="Rob","Robusta",IF(I840="Exc","Excelsa",IF(I840="Ara","Arabica",IF(I840="Lib","Laberica",""))))</f>
        <v>Arabica</v>
      </c>
      <c r="O840" t="str">
        <f t="shared" si="13"/>
        <v>Dark</v>
      </c>
      <c r="P840" t="str">
        <f>INDEX(customers!$I$1:$I$1001, MATCH(Orders[[#This Row],[Customer ID]], customers!$A$1:$A$1001, 0))</f>
        <v>No</v>
      </c>
    </row>
    <row r="841" spans="1:16" x14ac:dyDescent="0.25">
      <c r="A841" s="2" t="s">
        <v>5234</v>
      </c>
      <c r="B841" s="3">
        <v>44521</v>
      </c>
      <c r="C841" s="2" t="s">
        <v>5235</v>
      </c>
      <c r="D841" t="s">
        <v>6139</v>
      </c>
      <c r="E841" s="2">
        <v>5</v>
      </c>
      <c r="F841" s="2" t="str">
        <f>IFERROR(INDEX(customers!B$1:B$1001, MATCH(C841, customers!A$1:A$1001, 0)), "Not Found")</f>
        <v>Miran Doidge</v>
      </c>
      <c r="G841" s="2" t="str">
        <f>IF(IFERROR(INDEX(customers!C$1:C$1001, MATCH(C841, customers!A$1:A$1001, 0)), "Not Found")=0,"",IFERROR(INDEX(customers!C$1:C$1001, MATCH(C841, customers!A$1:A$1001, 0)), "Not Found"))</f>
        <v>mdoidgenb@etsy.com</v>
      </c>
      <c r="H841" s="2" t="str">
        <f>IFERROR(INDEX(customers!G$1:G$1001, MATCH(C841, customers!A$1:A$1001, 0)), "Not Found")</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L841*E841</f>
        <v>41.25</v>
      </c>
      <c r="N841" t="str">
        <f>IF(I841="Rob","Robusta",IF(I841="Exc","Excelsa",IF(I841="Ara","Arabica",IF(I841="Lib","Laberica",""))))</f>
        <v>Excelsa</v>
      </c>
      <c r="O841" t="str">
        <f t="shared" si="13"/>
        <v>Medium</v>
      </c>
      <c r="P841" t="str">
        <f>INDEX(customers!$I$1:$I$1001, MATCH(Orders[[#This Row],[Customer ID]], customers!$A$1:$A$1001, 0))</f>
        <v>No</v>
      </c>
    </row>
    <row r="842" spans="1:16" x14ac:dyDescent="0.25">
      <c r="A842" s="2" t="s">
        <v>5240</v>
      </c>
      <c r="B842" s="3">
        <v>44574</v>
      </c>
      <c r="C842" s="2" t="s">
        <v>5241</v>
      </c>
      <c r="D842" t="s">
        <v>6173</v>
      </c>
      <c r="E842" s="2">
        <v>4</v>
      </c>
      <c r="F842" s="2" t="str">
        <f>IFERROR(INDEX(customers!B$1:B$1001, MATCH(C842, customers!A$1:A$1001, 0)), "Not Found")</f>
        <v>Janeva Edinboro</v>
      </c>
      <c r="G842" s="2" t="str">
        <f>IF(IFERROR(INDEX(customers!C$1:C$1001, MATCH(C842, customers!A$1:A$1001, 0)), "Not Found")=0,"",IFERROR(INDEX(customers!C$1:C$1001, MATCH(C842, customers!A$1:A$1001, 0)), "Not Found"))</f>
        <v>jedinboronc@reverbnation.com</v>
      </c>
      <c r="H842" s="2" t="str">
        <f>IFERROR(INDEX(customers!G$1:G$1001, MATCH(C842, customers!A$1:A$1001, 0)), "Not Found")</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L842*E842</f>
        <v>28.679999999999996</v>
      </c>
      <c r="N842" t="str">
        <f>IF(I842="Rob","Robusta",IF(I842="Exc","Excelsa",IF(I842="Ara","Arabica",IF(I842="Lib","Laberica",""))))</f>
        <v>Robusta</v>
      </c>
      <c r="O842" t="str">
        <f t="shared" si="13"/>
        <v>Light</v>
      </c>
      <c r="P842" t="str">
        <f>INDEX(customers!$I$1:$I$1001, MATCH(Orders[[#This Row],[Customer ID]], customers!$A$1:$A$1001, 0))</f>
        <v>Yes</v>
      </c>
    </row>
    <row r="843" spans="1:16" x14ac:dyDescent="0.25">
      <c r="A843" s="2" t="s">
        <v>5246</v>
      </c>
      <c r="B843" s="3">
        <v>44755</v>
      </c>
      <c r="C843" s="2" t="s">
        <v>5247</v>
      </c>
      <c r="D843" t="s">
        <v>6159</v>
      </c>
      <c r="E843" s="2">
        <v>1</v>
      </c>
      <c r="F843" s="2" t="str">
        <f>IFERROR(INDEX(customers!B$1:B$1001, MATCH(C843, customers!A$1:A$1001, 0)), "Not Found")</f>
        <v>Trumaine Tewelson</v>
      </c>
      <c r="G843" s="2" t="str">
        <f>IF(IFERROR(INDEX(customers!C$1:C$1001, MATCH(C843, customers!A$1:A$1001, 0)), "Not Found")=0,"",IFERROR(INDEX(customers!C$1:C$1001, MATCH(C843, customers!A$1:A$1001, 0)), "Not Found"))</f>
        <v>ttewelsonnd@cdbaby.com</v>
      </c>
      <c r="H843" s="2" t="str">
        <f>IFERROR(INDEX(customers!G$1:G$1001, MATCH(C843, customers!A$1:A$1001, 0)), "Not Found")</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L843*E843</f>
        <v>4.3650000000000002</v>
      </c>
      <c r="N843" t="str">
        <f>IF(I843="Rob","Robusta",IF(I843="Exc","Excelsa",IF(I843="Ara","Arabica",IF(I843="Lib","Laberica",""))))</f>
        <v>Laberica</v>
      </c>
      <c r="O843" t="str">
        <f t="shared" si="13"/>
        <v>Medium</v>
      </c>
      <c r="P843" t="str">
        <f>INDEX(customers!$I$1:$I$1001, MATCH(Orders[[#This Row],[Customer ID]], customers!$A$1:$A$1001, 0))</f>
        <v>No</v>
      </c>
    </row>
    <row r="844" spans="1:16" x14ac:dyDescent="0.25">
      <c r="A844" s="2" t="s">
        <v>5251</v>
      </c>
      <c r="B844" s="3">
        <v>44502</v>
      </c>
      <c r="C844" s="2" t="s">
        <v>5188</v>
      </c>
      <c r="D844" t="s">
        <v>6156</v>
      </c>
      <c r="E844" s="2">
        <v>2</v>
      </c>
      <c r="F844" s="2" t="str">
        <f>IFERROR(INDEX(customers!B$1:B$1001, MATCH(C844, customers!A$1:A$1001, 0)), "Not Found")</f>
        <v>Odelia Skerme</v>
      </c>
      <c r="G844" s="2" t="str">
        <f>IF(IFERROR(INDEX(customers!C$1:C$1001, MATCH(C844, customers!A$1:A$1001, 0)), "Not Found")=0,"",IFERROR(INDEX(customers!C$1:C$1001, MATCH(C844, customers!A$1:A$1001, 0)), "Not Found"))</f>
        <v>oskermen3@hatena.ne.jp</v>
      </c>
      <c r="H844" s="2" t="str">
        <f>IFERROR(INDEX(customers!G$1:G$1001, MATCH(C844, customers!A$1:A$1001, 0)), "Not Found")</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L844*E844</f>
        <v>8.25</v>
      </c>
      <c r="N844" t="str">
        <f>IF(I844="Rob","Robusta",IF(I844="Exc","Excelsa",IF(I844="Ara","Arabica",IF(I844="Lib","Laberica",""))))</f>
        <v>Excelsa</v>
      </c>
      <c r="O844" t="str">
        <f t="shared" si="13"/>
        <v>Medium</v>
      </c>
      <c r="P844" t="str">
        <f>INDEX(customers!$I$1:$I$1001, MATCH(Orders[[#This Row],[Customer ID]], customers!$A$1:$A$1001, 0))</f>
        <v>Yes</v>
      </c>
    </row>
    <row r="845" spans="1:16" x14ac:dyDescent="0.25">
      <c r="A845" s="2" t="s">
        <v>5256</v>
      </c>
      <c r="B845" s="3">
        <v>44387</v>
      </c>
      <c r="C845" s="2" t="s">
        <v>5257</v>
      </c>
      <c r="D845" t="s">
        <v>6156</v>
      </c>
      <c r="E845" s="2">
        <v>2</v>
      </c>
      <c r="F845" s="2" t="str">
        <f>IFERROR(INDEX(customers!B$1:B$1001, MATCH(C845, customers!A$1:A$1001, 0)), "Not Found")</f>
        <v>De Drewitt</v>
      </c>
      <c r="G845" s="2" t="str">
        <f>IF(IFERROR(INDEX(customers!C$1:C$1001, MATCH(C845, customers!A$1:A$1001, 0)), "Not Found")=0,"",IFERROR(INDEX(customers!C$1:C$1001, MATCH(C845, customers!A$1:A$1001, 0)), "Not Found"))</f>
        <v>ddrewittnf@mapquest.com</v>
      </c>
      <c r="H845" s="2" t="str">
        <f>IFERROR(INDEX(customers!G$1:G$1001, MATCH(C845, customers!A$1:A$1001, 0)), "Not Found")</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L845*E845</f>
        <v>8.25</v>
      </c>
      <c r="N845" t="str">
        <f>IF(I845="Rob","Robusta",IF(I845="Exc","Excelsa",IF(I845="Ara","Arabica",IF(I845="Lib","Laberica",""))))</f>
        <v>Excelsa</v>
      </c>
      <c r="O845" t="str">
        <f t="shared" si="13"/>
        <v>Medium</v>
      </c>
      <c r="P845" t="str">
        <f>INDEX(customers!$I$1:$I$1001, MATCH(Orders[[#This Row],[Customer ID]], customers!$A$1:$A$1001, 0))</f>
        <v>Yes</v>
      </c>
    </row>
    <row r="846" spans="1:16" x14ac:dyDescent="0.25">
      <c r="A846" s="2" t="s">
        <v>5262</v>
      </c>
      <c r="B846" s="3">
        <v>44476</v>
      </c>
      <c r="C846" s="2" t="s">
        <v>5263</v>
      </c>
      <c r="D846" t="s">
        <v>6158</v>
      </c>
      <c r="E846" s="2">
        <v>6</v>
      </c>
      <c r="F846" s="2" t="str">
        <f>IFERROR(INDEX(customers!B$1:B$1001, MATCH(C846, customers!A$1:A$1001, 0)), "Not Found")</f>
        <v>Adelheid Gladhill</v>
      </c>
      <c r="G846" s="2" t="str">
        <f>IF(IFERROR(INDEX(customers!C$1:C$1001, MATCH(C846, customers!A$1:A$1001, 0)), "Not Found")=0,"",IFERROR(INDEX(customers!C$1:C$1001, MATCH(C846, customers!A$1:A$1001, 0)), "Not Found"))</f>
        <v>agladhillng@stanford.edu</v>
      </c>
      <c r="H846" s="2" t="str">
        <f>IFERROR(INDEX(customers!G$1:G$1001, MATCH(C846, customers!A$1:A$1001, 0)), "Not Found")</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L846*E846</f>
        <v>35.82</v>
      </c>
      <c r="N846" t="str">
        <f>IF(I846="Rob","Robusta",IF(I846="Exc","Excelsa",IF(I846="Ara","Arabica",IF(I846="Lib","Laberica",""))))</f>
        <v>Arabica</v>
      </c>
      <c r="O846" t="str">
        <f t="shared" si="13"/>
        <v>Dark</v>
      </c>
      <c r="P846" t="str">
        <f>INDEX(customers!$I$1:$I$1001, MATCH(Orders[[#This Row],[Customer ID]], customers!$A$1:$A$1001, 0))</f>
        <v>Yes</v>
      </c>
    </row>
    <row r="847" spans="1:16" x14ac:dyDescent="0.25">
      <c r="A847" s="2" t="s">
        <v>5268</v>
      </c>
      <c r="B847" s="3">
        <v>43889</v>
      </c>
      <c r="C847" s="2" t="s">
        <v>5269</v>
      </c>
      <c r="D847" t="s">
        <v>6185</v>
      </c>
      <c r="E847" s="2">
        <v>6</v>
      </c>
      <c r="F847" s="2" t="str">
        <f>IFERROR(INDEX(customers!B$1:B$1001, MATCH(C847, customers!A$1:A$1001, 0)), "Not Found")</f>
        <v>Murielle Lorinez</v>
      </c>
      <c r="G847" s="2" t="str">
        <f>IF(IFERROR(INDEX(customers!C$1:C$1001, MATCH(C847, customers!A$1:A$1001, 0)), "Not Found")=0,"",IFERROR(INDEX(customers!C$1:C$1001, MATCH(C847, customers!A$1:A$1001, 0)), "Not Found"))</f>
        <v>mlorineznh@whitehouse.gov</v>
      </c>
      <c r="H847" s="2" t="str">
        <f>IFERROR(INDEX(customers!G$1:G$1001, MATCH(C847, customers!A$1:A$1001, 0)), "Not Found")</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L847*E847</f>
        <v>167.67000000000002</v>
      </c>
      <c r="N847" t="str">
        <f>IF(I847="Rob","Robusta",IF(I847="Exc","Excelsa",IF(I847="Ara","Arabica",IF(I847="Lib","Laberica",""))))</f>
        <v>Excelsa</v>
      </c>
      <c r="O847" t="str">
        <f t="shared" si="13"/>
        <v>Dark</v>
      </c>
      <c r="P847" t="str">
        <f>INDEX(customers!$I$1:$I$1001, MATCH(Orders[[#This Row],[Customer ID]], customers!$A$1:$A$1001, 0))</f>
        <v>No</v>
      </c>
    </row>
    <row r="848" spans="1:16" x14ac:dyDescent="0.25">
      <c r="A848" s="2" t="s">
        <v>5273</v>
      </c>
      <c r="B848" s="3">
        <v>44747</v>
      </c>
      <c r="C848" s="2" t="s">
        <v>5274</v>
      </c>
      <c r="D848" t="s">
        <v>6175</v>
      </c>
      <c r="E848" s="2">
        <v>2</v>
      </c>
      <c r="F848" s="2" t="str">
        <f>IFERROR(INDEX(customers!B$1:B$1001, MATCH(C848, customers!A$1:A$1001, 0)), "Not Found")</f>
        <v>Edin Mathe</v>
      </c>
      <c r="G848" s="2" t="str">
        <f>IF(IFERROR(INDEX(customers!C$1:C$1001, MATCH(C848, customers!A$1:A$1001, 0)), "Not Found")=0,"",IFERROR(INDEX(customers!C$1:C$1001, MATCH(C848, customers!A$1:A$1001, 0)), "Not Found"))</f>
        <v/>
      </c>
      <c r="H848" s="2" t="str">
        <f>IFERROR(INDEX(customers!G$1:G$1001, MATCH(C848, customers!A$1:A$1001, 0)), "Not Found")</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L848*E848</f>
        <v>51.749999999999993</v>
      </c>
      <c r="N848" t="str">
        <f>IF(I848="Rob","Robusta",IF(I848="Exc","Excelsa",IF(I848="Ara","Arabica",IF(I848="Lib","Laberica",""))))</f>
        <v>Arabica</v>
      </c>
      <c r="O848" t="str">
        <f t="shared" si="13"/>
        <v>Medium</v>
      </c>
      <c r="P848" t="str">
        <f>INDEX(customers!$I$1:$I$1001, MATCH(Orders[[#This Row],[Customer ID]], customers!$A$1:$A$1001, 0))</f>
        <v>Yes</v>
      </c>
    </row>
    <row r="849" spans="1:16" x14ac:dyDescent="0.25">
      <c r="A849" s="2" t="s">
        <v>5278</v>
      </c>
      <c r="B849" s="3">
        <v>44460</v>
      </c>
      <c r="C849" s="2" t="s">
        <v>5279</v>
      </c>
      <c r="D849" t="s">
        <v>6154</v>
      </c>
      <c r="E849" s="2">
        <v>3</v>
      </c>
      <c r="F849" s="2" t="str">
        <f>IFERROR(INDEX(customers!B$1:B$1001, MATCH(C849, customers!A$1:A$1001, 0)), "Not Found")</f>
        <v>Mordy Van Der Vlies</v>
      </c>
      <c r="G849" s="2" t="str">
        <f>IF(IFERROR(INDEX(customers!C$1:C$1001, MATCH(C849, customers!A$1:A$1001, 0)), "Not Found")=0,"",IFERROR(INDEX(customers!C$1:C$1001, MATCH(C849, customers!A$1:A$1001, 0)), "Not Found"))</f>
        <v>mvannj@wikipedia.org</v>
      </c>
      <c r="H849" s="2" t="str">
        <f>IFERROR(INDEX(customers!G$1:G$1001, MATCH(C849, customers!A$1:A$1001, 0)), "Not Found")</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L849*E849</f>
        <v>8.9550000000000001</v>
      </c>
      <c r="N849" t="str">
        <f>IF(I849="Rob","Robusta",IF(I849="Exc","Excelsa",IF(I849="Ara","Arabica",IF(I849="Lib","Laberica",""))))</f>
        <v>Arabica</v>
      </c>
      <c r="O849" t="str">
        <f t="shared" si="13"/>
        <v>Dark</v>
      </c>
      <c r="P849" t="str">
        <f>INDEX(customers!$I$1:$I$1001, MATCH(Orders[[#This Row],[Customer ID]], customers!$A$1:$A$1001, 0))</f>
        <v>Yes</v>
      </c>
    </row>
    <row r="850" spans="1:16" x14ac:dyDescent="0.25">
      <c r="A850" s="2" t="s">
        <v>5283</v>
      </c>
      <c r="B850" s="3">
        <v>43468</v>
      </c>
      <c r="C850" s="2" t="s">
        <v>5284</v>
      </c>
      <c r="D850" t="s">
        <v>6176</v>
      </c>
      <c r="E850" s="2">
        <v>6</v>
      </c>
      <c r="F850" s="2" t="str">
        <f>IFERROR(INDEX(customers!B$1:B$1001, MATCH(C850, customers!A$1:A$1001, 0)), "Not Found")</f>
        <v>Spencer Wastell</v>
      </c>
      <c r="G850" s="2" t="str">
        <f>IF(IFERROR(INDEX(customers!C$1:C$1001, MATCH(C850, customers!A$1:A$1001, 0)), "Not Found")=0,"",IFERROR(INDEX(customers!C$1:C$1001, MATCH(C850, customers!A$1:A$1001, 0)), "Not Found"))</f>
        <v/>
      </c>
      <c r="H850" s="2" t="str">
        <f>IFERROR(INDEX(customers!G$1:G$1001, MATCH(C850, customers!A$1:A$1001, 0)), "Not Found")</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L850*E850</f>
        <v>53.46</v>
      </c>
      <c r="N850" t="str">
        <f>IF(I850="Rob","Robusta",IF(I850="Exc","Excelsa",IF(I850="Ara","Arabica",IF(I850="Lib","Laberica",""))))</f>
        <v>Excelsa</v>
      </c>
      <c r="O850" t="str">
        <f t="shared" si="13"/>
        <v>Light</v>
      </c>
      <c r="P850" t="str">
        <f>INDEX(customers!$I$1:$I$1001, MATCH(Orders[[#This Row],[Customer ID]], customers!$A$1:$A$1001, 0))</f>
        <v>No</v>
      </c>
    </row>
    <row r="851" spans="1:16" x14ac:dyDescent="0.25">
      <c r="A851" s="2" t="s">
        <v>5288</v>
      </c>
      <c r="B851" s="3">
        <v>44628</v>
      </c>
      <c r="C851" s="2" t="s">
        <v>5289</v>
      </c>
      <c r="D851" t="s">
        <v>6167</v>
      </c>
      <c r="E851" s="2">
        <v>6</v>
      </c>
      <c r="F851" s="2" t="str">
        <f>IFERROR(INDEX(customers!B$1:B$1001, MATCH(C851, customers!A$1:A$1001, 0)), "Not Found")</f>
        <v>Jemimah Ethelston</v>
      </c>
      <c r="G851" s="2" t="str">
        <f>IF(IFERROR(INDEX(customers!C$1:C$1001, MATCH(C851, customers!A$1:A$1001, 0)), "Not Found")=0,"",IFERROR(INDEX(customers!C$1:C$1001, MATCH(C851, customers!A$1:A$1001, 0)), "Not Found"))</f>
        <v>jethelstonnl@creativecommons.org</v>
      </c>
      <c r="H851" s="2" t="str">
        <f>IFERROR(INDEX(customers!G$1:G$1001, MATCH(C851, customers!A$1:A$1001, 0)), "Not Found")</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L851*E851</f>
        <v>23.31</v>
      </c>
      <c r="N851" t="str">
        <f>IF(I851="Rob","Robusta",IF(I851="Exc","Excelsa",IF(I851="Ara","Arabica",IF(I851="Lib","Laberica",""))))</f>
        <v>Arabica</v>
      </c>
      <c r="O851" t="str">
        <f t="shared" si="13"/>
        <v>Light</v>
      </c>
      <c r="P851" t="str">
        <f>INDEX(customers!$I$1:$I$1001, MATCH(Orders[[#This Row],[Customer ID]], customers!$A$1:$A$1001, 0))</f>
        <v>Yes</v>
      </c>
    </row>
    <row r="852" spans="1:16" x14ac:dyDescent="0.25">
      <c r="A852" s="2" t="s">
        <v>5288</v>
      </c>
      <c r="B852" s="3">
        <v>44628</v>
      </c>
      <c r="C852" s="2" t="s">
        <v>5289</v>
      </c>
      <c r="D852" t="s">
        <v>6152</v>
      </c>
      <c r="E852" s="2">
        <v>2</v>
      </c>
      <c r="F852" s="2" t="str">
        <f>IFERROR(INDEX(customers!B$1:B$1001, MATCH(C852, customers!A$1:A$1001, 0)), "Not Found")</f>
        <v>Jemimah Ethelston</v>
      </c>
      <c r="G852" s="2" t="str">
        <f>IF(IFERROR(INDEX(customers!C$1:C$1001, MATCH(C852, customers!A$1:A$1001, 0)), "Not Found")=0,"",IFERROR(INDEX(customers!C$1:C$1001, MATCH(C852, customers!A$1:A$1001, 0)), "Not Found"))</f>
        <v>jethelstonnl@creativecommons.org</v>
      </c>
      <c r="H852" s="2" t="str">
        <f>IFERROR(INDEX(customers!G$1:G$1001, MATCH(C852, customers!A$1:A$1001, 0)), "Not Found")</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L852*E852</f>
        <v>6.75</v>
      </c>
      <c r="N852" t="str">
        <f>IF(I852="Rob","Robusta",IF(I852="Exc","Excelsa",IF(I852="Ara","Arabica",IF(I852="Lib","Laberica",""))))</f>
        <v>Arabica</v>
      </c>
      <c r="O852" t="str">
        <f t="shared" si="13"/>
        <v>Medium</v>
      </c>
      <c r="P852" t="str">
        <f>INDEX(customers!$I$1:$I$1001, MATCH(Orders[[#This Row],[Customer ID]], customers!$A$1:$A$1001, 0))</f>
        <v>Yes</v>
      </c>
    </row>
    <row r="853" spans="1:16" x14ac:dyDescent="0.25">
      <c r="A853" s="2" t="s">
        <v>5299</v>
      </c>
      <c r="B853" s="3">
        <v>43900</v>
      </c>
      <c r="C853" s="2" t="s">
        <v>5300</v>
      </c>
      <c r="D853" t="s">
        <v>6169</v>
      </c>
      <c r="E853" s="2">
        <v>1</v>
      </c>
      <c r="F853" s="2" t="str">
        <f>IFERROR(INDEX(customers!B$1:B$1001, MATCH(C853, customers!A$1:A$1001, 0)), "Not Found")</f>
        <v>Perice Eberz</v>
      </c>
      <c r="G853" s="2" t="str">
        <f>IF(IFERROR(INDEX(customers!C$1:C$1001, MATCH(C853, customers!A$1:A$1001, 0)), "Not Found")=0,"",IFERROR(INDEX(customers!C$1:C$1001, MATCH(C853, customers!A$1:A$1001, 0)), "Not Found"))</f>
        <v>peberznn@woothemes.com</v>
      </c>
      <c r="H853" s="2" t="str">
        <f>IFERROR(INDEX(customers!G$1:G$1001, MATCH(C853, customers!A$1:A$1001, 0)), "Not Found")</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L853*E853</f>
        <v>7.77</v>
      </c>
      <c r="N853" t="str">
        <f>IF(I853="Rob","Robusta",IF(I853="Exc","Excelsa",IF(I853="Ara","Arabica",IF(I853="Lib","Laberica",""))))</f>
        <v>Laberica</v>
      </c>
      <c r="O853" t="str">
        <f t="shared" si="13"/>
        <v>Dark</v>
      </c>
      <c r="P853" t="str">
        <f>INDEX(customers!$I$1:$I$1001, MATCH(Orders[[#This Row],[Customer ID]], customers!$A$1:$A$1001, 0))</f>
        <v>Yes</v>
      </c>
    </row>
    <row r="854" spans="1:16" x14ac:dyDescent="0.25">
      <c r="A854" s="2" t="s">
        <v>5305</v>
      </c>
      <c r="B854" s="3">
        <v>44527</v>
      </c>
      <c r="C854" s="2" t="s">
        <v>5306</v>
      </c>
      <c r="D854" t="s">
        <v>6165</v>
      </c>
      <c r="E854" s="2">
        <v>4</v>
      </c>
      <c r="F854" s="2" t="str">
        <f>IFERROR(INDEX(customers!B$1:B$1001, MATCH(C854, customers!A$1:A$1001, 0)), "Not Found")</f>
        <v>Bear Gaish</v>
      </c>
      <c r="G854" s="2" t="str">
        <f>IF(IFERROR(INDEX(customers!C$1:C$1001, MATCH(C854, customers!A$1:A$1001, 0)), "Not Found")=0,"",IFERROR(INDEX(customers!C$1:C$1001, MATCH(C854, customers!A$1:A$1001, 0)), "Not Found"))</f>
        <v>bgaishno@altervista.org</v>
      </c>
      <c r="H854" s="2" t="str">
        <f>IFERROR(INDEX(customers!G$1:G$1001, MATCH(C854, customers!A$1:A$1001, 0)), "Not Found")</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L854*E854</f>
        <v>119.13999999999999</v>
      </c>
      <c r="N854" t="str">
        <f>IF(I854="Rob","Robusta",IF(I854="Exc","Excelsa",IF(I854="Ara","Arabica",IF(I854="Lib","Laberica",""))))</f>
        <v>Laberica</v>
      </c>
      <c r="O854" t="str">
        <f t="shared" si="13"/>
        <v>Dark</v>
      </c>
      <c r="P854" t="str">
        <f>INDEX(customers!$I$1:$I$1001, MATCH(Orders[[#This Row],[Customer ID]], customers!$A$1:$A$1001, 0))</f>
        <v>Yes</v>
      </c>
    </row>
    <row r="855" spans="1:16" x14ac:dyDescent="0.25">
      <c r="A855" s="2" t="s">
        <v>5310</v>
      </c>
      <c r="B855" s="3">
        <v>44259</v>
      </c>
      <c r="C855" s="2" t="s">
        <v>5311</v>
      </c>
      <c r="D855" t="s">
        <v>6147</v>
      </c>
      <c r="E855" s="2">
        <v>2</v>
      </c>
      <c r="F855" s="2" t="str">
        <f>IFERROR(INDEX(customers!B$1:B$1001, MATCH(C855, customers!A$1:A$1001, 0)), "Not Found")</f>
        <v>Lynnea Danton</v>
      </c>
      <c r="G855" s="2" t="str">
        <f>IF(IFERROR(INDEX(customers!C$1:C$1001, MATCH(C855, customers!A$1:A$1001, 0)), "Not Found")=0,"",IFERROR(INDEX(customers!C$1:C$1001, MATCH(C855, customers!A$1:A$1001, 0)), "Not Found"))</f>
        <v>ldantonnp@miitbeian.gov.cn</v>
      </c>
      <c r="H855" s="2" t="str">
        <f>IFERROR(INDEX(customers!G$1:G$1001, MATCH(C855, customers!A$1:A$1001, 0)), "Not Found")</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L855*E855</f>
        <v>19.899999999999999</v>
      </c>
      <c r="N855" t="str">
        <f>IF(I855="Rob","Robusta",IF(I855="Exc","Excelsa",IF(I855="Ara","Arabica",IF(I855="Lib","Laberica",""))))</f>
        <v>Arabica</v>
      </c>
      <c r="O855" t="str">
        <f t="shared" si="13"/>
        <v>Dark</v>
      </c>
      <c r="P855" t="str">
        <f>INDEX(customers!$I$1:$I$1001, MATCH(Orders[[#This Row],[Customer ID]], customers!$A$1:$A$1001, 0))</f>
        <v>No</v>
      </c>
    </row>
    <row r="856" spans="1:16" x14ac:dyDescent="0.25">
      <c r="A856" s="2" t="s">
        <v>5315</v>
      </c>
      <c r="B856" s="3">
        <v>44516</v>
      </c>
      <c r="C856" s="2" t="s">
        <v>5316</v>
      </c>
      <c r="D856" t="s">
        <v>6173</v>
      </c>
      <c r="E856" s="2">
        <v>5</v>
      </c>
      <c r="F856" s="2" t="str">
        <f>IFERROR(INDEX(customers!B$1:B$1001, MATCH(C856, customers!A$1:A$1001, 0)), "Not Found")</f>
        <v>Skipton Morrall</v>
      </c>
      <c r="G856" s="2" t="str">
        <f>IF(IFERROR(INDEX(customers!C$1:C$1001, MATCH(C856, customers!A$1:A$1001, 0)), "Not Found")=0,"",IFERROR(INDEX(customers!C$1:C$1001, MATCH(C856, customers!A$1:A$1001, 0)), "Not Found"))</f>
        <v>smorrallnq@answers.com</v>
      </c>
      <c r="H856" s="2" t="str">
        <f>IFERROR(INDEX(customers!G$1:G$1001, MATCH(C856, customers!A$1:A$1001, 0)), "Not Found")</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L856*E856</f>
        <v>35.849999999999994</v>
      </c>
      <c r="N856" t="str">
        <f>IF(I856="Rob","Robusta",IF(I856="Exc","Excelsa",IF(I856="Ara","Arabica",IF(I856="Lib","Laberica",""))))</f>
        <v>Robusta</v>
      </c>
      <c r="O856" t="str">
        <f t="shared" si="13"/>
        <v>Light</v>
      </c>
      <c r="P856" t="str">
        <f>INDEX(customers!$I$1:$I$1001, MATCH(Orders[[#This Row],[Customer ID]], customers!$A$1:$A$1001, 0))</f>
        <v>Yes</v>
      </c>
    </row>
    <row r="857" spans="1:16" x14ac:dyDescent="0.25">
      <c r="A857" s="2" t="s">
        <v>5321</v>
      </c>
      <c r="B857" s="3">
        <v>43632</v>
      </c>
      <c r="C857" s="2" t="s">
        <v>5322</v>
      </c>
      <c r="D857" t="s">
        <v>6165</v>
      </c>
      <c r="E857" s="2">
        <v>3</v>
      </c>
      <c r="F857" s="2" t="str">
        <f>IFERROR(INDEX(customers!B$1:B$1001, MATCH(C857, customers!A$1:A$1001, 0)), "Not Found")</f>
        <v>Devan Crownshaw</v>
      </c>
      <c r="G857" s="2" t="str">
        <f>IF(IFERROR(INDEX(customers!C$1:C$1001, MATCH(C857, customers!A$1:A$1001, 0)), "Not Found")=0,"",IFERROR(INDEX(customers!C$1:C$1001, MATCH(C857, customers!A$1:A$1001, 0)), "Not Found"))</f>
        <v>dcrownshawnr@photobucket.com</v>
      </c>
      <c r="H857" s="2" t="str">
        <f>IFERROR(INDEX(customers!G$1:G$1001, MATCH(C857, customers!A$1:A$1001, 0)), "Not Found")</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L857*E857</f>
        <v>89.35499999999999</v>
      </c>
      <c r="N857" t="str">
        <f>IF(I857="Rob","Robusta",IF(I857="Exc","Excelsa",IF(I857="Ara","Arabica",IF(I857="Lib","Laberica",""))))</f>
        <v>Laberica</v>
      </c>
      <c r="O857" t="str">
        <f t="shared" si="13"/>
        <v>Dark</v>
      </c>
      <c r="P857" t="str">
        <f>INDEX(customers!$I$1:$I$1001, MATCH(Orders[[#This Row],[Customer ID]], customers!$A$1:$A$1001, 0))</f>
        <v>No</v>
      </c>
    </row>
    <row r="858" spans="1:16" x14ac:dyDescent="0.25">
      <c r="A858" s="2" t="s">
        <v>5327</v>
      </c>
      <c r="B858" s="3">
        <v>44031</v>
      </c>
      <c r="C858" s="2" t="s">
        <v>5188</v>
      </c>
      <c r="D858" t="s">
        <v>6159</v>
      </c>
      <c r="E858" s="2">
        <v>2</v>
      </c>
      <c r="F858" s="2" t="str">
        <f>IFERROR(INDEX(customers!B$1:B$1001, MATCH(C858, customers!A$1:A$1001, 0)), "Not Found")</f>
        <v>Odelia Skerme</v>
      </c>
      <c r="G858" s="2" t="str">
        <f>IF(IFERROR(INDEX(customers!C$1:C$1001, MATCH(C858, customers!A$1:A$1001, 0)), "Not Found")=0,"",IFERROR(INDEX(customers!C$1:C$1001, MATCH(C858, customers!A$1:A$1001, 0)), "Not Found"))</f>
        <v>oskermen3@hatena.ne.jp</v>
      </c>
      <c r="H858" s="2" t="str">
        <f>IFERROR(INDEX(customers!G$1:G$1001, MATCH(C858, customers!A$1:A$1001, 0)), "Not Found")</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L858*E858</f>
        <v>8.73</v>
      </c>
      <c r="N858" t="str">
        <f>IF(I858="Rob","Robusta",IF(I858="Exc","Excelsa",IF(I858="Ara","Arabica",IF(I858="Lib","Laberica",""))))</f>
        <v>Laberica</v>
      </c>
      <c r="O858" t="str">
        <f t="shared" si="13"/>
        <v>Medium</v>
      </c>
      <c r="P858" t="str">
        <f>INDEX(customers!$I$1:$I$1001, MATCH(Orders[[#This Row],[Customer ID]], customers!$A$1:$A$1001, 0))</f>
        <v>Yes</v>
      </c>
    </row>
    <row r="859" spans="1:16" x14ac:dyDescent="0.25">
      <c r="A859" s="2" t="s">
        <v>5333</v>
      </c>
      <c r="B859" s="3">
        <v>43889</v>
      </c>
      <c r="C859" s="2" t="s">
        <v>5334</v>
      </c>
      <c r="D859" t="s">
        <v>6142</v>
      </c>
      <c r="E859" s="2">
        <v>5</v>
      </c>
      <c r="F859" s="2" t="str">
        <f>IFERROR(INDEX(customers!B$1:B$1001, MATCH(C859, customers!A$1:A$1001, 0)), "Not Found")</f>
        <v>Joceline Reddoch</v>
      </c>
      <c r="G859" s="2" t="str">
        <f>IF(IFERROR(INDEX(customers!C$1:C$1001, MATCH(C859, customers!A$1:A$1001, 0)), "Not Found")=0,"",IFERROR(INDEX(customers!C$1:C$1001, MATCH(C859, customers!A$1:A$1001, 0)), "Not Found"))</f>
        <v>jreddochnt@sun.com</v>
      </c>
      <c r="H859" s="2" t="str">
        <f>IFERROR(INDEX(customers!G$1:G$1001, MATCH(C859, customers!A$1:A$1001, 0)), "Not Found")</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L859*E859</f>
        <v>137.42499999999998</v>
      </c>
      <c r="N859" t="str">
        <f>IF(I859="Rob","Robusta",IF(I859="Exc","Excelsa",IF(I859="Ara","Arabica",IF(I859="Lib","Laberica",""))))</f>
        <v>Robusta</v>
      </c>
      <c r="O859" t="str">
        <f t="shared" si="13"/>
        <v>Light</v>
      </c>
      <c r="P859" t="str">
        <f>INDEX(customers!$I$1:$I$1001, MATCH(Orders[[#This Row],[Customer ID]], customers!$A$1:$A$1001, 0))</f>
        <v>No</v>
      </c>
    </row>
    <row r="860" spans="1:16" x14ac:dyDescent="0.25">
      <c r="A860" s="2" t="s">
        <v>5339</v>
      </c>
      <c r="B860" s="3">
        <v>43638</v>
      </c>
      <c r="C860" s="2" t="s">
        <v>5340</v>
      </c>
      <c r="D860" t="s">
        <v>6160</v>
      </c>
      <c r="E860" s="2">
        <v>4</v>
      </c>
      <c r="F860" s="2" t="str">
        <f>IFERROR(INDEX(customers!B$1:B$1001, MATCH(C860, customers!A$1:A$1001, 0)), "Not Found")</f>
        <v>Shelley Titley</v>
      </c>
      <c r="G860" s="2" t="str">
        <f>IF(IFERROR(INDEX(customers!C$1:C$1001, MATCH(C860, customers!A$1:A$1001, 0)), "Not Found")=0,"",IFERROR(INDEX(customers!C$1:C$1001, MATCH(C860, customers!A$1:A$1001, 0)), "Not Found"))</f>
        <v>stitleynu@whitehouse.gov</v>
      </c>
      <c r="H860" s="2" t="str">
        <f>IFERROR(INDEX(customers!G$1:G$1001, MATCH(C860, customers!A$1:A$1001, 0)), "Not Found")</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L860*E860</f>
        <v>34.92</v>
      </c>
      <c r="N860" t="str">
        <f>IF(I860="Rob","Robusta",IF(I860="Exc","Excelsa",IF(I860="Ara","Arabica",IF(I860="Lib","Laberica",""))))</f>
        <v>Laberica</v>
      </c>
      <c r="O860" t="str">
        <f t="shared" si="13"/>
        <v>Medium</v>
      </c>
      <c r="P860" t="str">
        <f>INDEX(customers!$I$1:$I$1001, MATCH(Orders[[#This Row],[Customer ID]], customers!$A$1:$A$1001, 0))</f>
        <v>No</v>
      </c>
    </row>
    <row r="861" spans="1:16" x14ac:dyDescent="0.25">
      <c r="A861" s="2" t="s">
        <v>5345</v>
      </c>
      <c r="B861" s="3">
        <v>43716</v>
      </c>
      <c r="C861" s="2" t="s">
        <v>5346</v>
      </c>
      <c r="D861" t="s">
        <v>6182</v>
      </c>
      <c r="E861" s="2">
        <v>6</v>
      </c>
      <c r="F861" s="2" t="str">
        <f>IFERROR(INDEX(customers!B$1:B$1001, MATCH(C861, customers!A$1:A$1001, 0)), "Not Found")</f>
        <v>Redd Simao</v>
      </c>
      <c r="G861" s="2" t="str">
        <f>IF(IFERROR(INDEX(customers!C$1:C$1001, MATCH(C861, customers!A$1:A$1001, 0)), "Not Found")=0,"",IFERROR(INDEX(customers!C$1:C$1001, MATCH(C861, customers!A$1:A$1001, 0)), "Not Found"))</f>
        <v>rsimaonv@simplemachines.org</v>
      </c>
      <c r="H861" s="2" t="str">
        <f>IFERROR(INDEX(customers!G$1:G$1001, MATCH(C861, customers!A$1:A$1001, 0)), "Not Found")</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L861*E861</f>
        <v>178.70999999999998</v>
      </c>
      <c r="N861" t="str">
        <f>IF(I861="Rob","Robusta",IF(I861="Exc","Excelsa",IF(I861="Ara","Arabica",IF(I861="Lib","Laberica",""))))</f>
        <v>Arabica</v>
      </c>
      <c r="O861" t="str">
        <f t="shared" si="13"/>
        <v>Light</v>
      </c>
      <c r="P861" t="str">
        <f>INDEX(customers!$I$1:$I$1001, MATCH(Orders[[#This Row],[Customer ID]], customers!$A$1:$A$1001, 0))</f>
        <v>No</v>
      </c>
    </row>
    <row r="862" spans="1:16" x14ac:dyDescent="0.25">
      <c r="A862" s="2" t="s">
        <v>5351</v>
      </c>
      <c r="B862" s="3">
        <v>44707</v>
      </c>
      <c r="C862" s="2" t="s">
        <v>5352</v>
      </c>
      <c r="D862" t="s">
        <v>6175</v>
      </c>
      <c r="E862" s="2">
        <v>1</v>
      </c>
      <c r="F862" s="2" t="str">
        <f>IFERROR(INDEX(customers!B$1:B$1001, MATCH(C862, customers!A$1:A$1001, 0)), "Not Found")</f>
        <v>Cece Inker</v>
      </c>
      <c r="G862" s="2" t="str">
        <f>IF(IFERROR(INDEX(customers!C$1:C$1001, MATCH(C862, customers!A$1:A$1001, 0)), "Not Found")=0,"",IFERROR(INDEX(customers!C$1:C$1001, MATCH(C862, customers!A$1:A$1001, 0)), "Not Found"))</f>
        <v/>
      </c>
      <c r="H862" s="2" t="str">
        <f>IFERROR(INDEX(customers!G$1:G$1001, MATCH(C862, customers!A$1:A$1001, 0)), "Not Found")</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L862*E862</f>
        <v>25.874999999999996</v>
      </c>
      <c r="N862" t="str">
        <f>IF(I862="Rob","Robusta",IF(I862="Exc","Excelsa",IF(I862="Ara","Arabica",IF(I862="Lib","Laberica",""))))</f>
        <v>Arabica</v>
      </c>
      <c r="O862" t="str">
        <f t="shared" si="13"/>
        <v>Medium</v>
      </c>
      <c r="P862" t="str">
        <f>INDEX(customers!$I$1:$I$1001, MATCH(Orders[[#This Row],[Customer ID]], customers!$A$1:$A$1001, 0))</f>
        <v>No</v>
      </c>
    </row>
    <row r="863" spans="1:16" x14ac:dyDescent="0.25">
      <c r="A863" s="2" t="s">
        <v>5356</v>
      </c>
      <c r="B863" s="3">
        <v>43802</v>
      </c>
      <c r="C863" s="2" t="s">
        <v>5357</v>
      </c>
      <c r="D863" t="s">
        <v>6143</v>
      </c>
      <c r="E863" s="2">
        <v>6</v>
      </c>
      <c r="F863" s="2" t="str">
        <f>IFERROR(INDEX(customers!B$1:B$1001, MATCH(C863, customers!A$1:A$1001, 0)), "Not Found")</f>
        <v>Noel Chisholm</v>
      </c>
      <c r="G863" s="2" t="str">
        <f>IF(IFERROR(INDEX(customers!C$1:C$1001, MATCH(C863, customers!A$1:A$1001, 0)), "Not Found")=0,"",IFERROR(INDEX(customers!C$1:C$1001, MATCH(C863, customers!A$1:A$1001, 0)), "Not Found"))</f>
        <v>nchisholmnx@example.com</v>
      </c>
      <c r="H863" s="2" t="str">
        <f>IFERROR(INDEX(customers!G$1:G$1001, MATCH(C863, customers!A$1:A$1001, 0)), "Not Found")</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L863*E863</f>
        <v>77.699999999999989</v>
      </c>
      <c r="N863" t="str">
        <f>IF(I863="Rob","Robusta",IF(I863="Exc","Excelsa",IF(I863="Ara","Arabica",IF(I863="Lib","Laberica",""))))</f>
        <v>Laberica</v>
      </c>
      <c r="O863" t="str">
        <f t="shared" si="13"/>
        <v>Dark</v>
      </c>
      <c r="P863" t="str">
        <f>INDEX(customers!$I$1:$I$1001, MATCH(Orders[[#This Row],[Customer ID]], customers!$A$1:$A$1001, 0))</f>
        <v>Yes</v>
      </c>
    </row>
    <row r="864" spans="1:16" x14ac:dyDescent="0.25">
      <c r="A864" s="2" t="s">
        <v>5362</v>
      </c>
      <c r="B864" s="3">
        <v>43725</v>
      </c>
      <c r="C864" s="2" t="s">
        <v>5363</v>
      </c>
      <c r="D864" t="s">
        <v>6138</v>
      </c>
      <c r="E864" s="2">
        <v>1</v>
      </c>
      <c r="F864" s="2" t="str">
        <f>IFERROR(INDEX(customers!B$1:B$1001, MATCH(C864, customers!A$1:A$1001, 0)), "Not Found")</f>
        <v>Grazia Oats</v>
      </c>
      <c r="G864" s="2" t="str">
        <f>IF(IFERROR(INDEX(customers!C$1:C$1001, MATCH(C864, customers!A$1:A$1001, 0)), "Not Found")=0,"",IFERROR(INDEX(customers!C$1:C$1001, MATCH(C864, customers!A$1:A$1001, 0)), "Not Found"))</f>
        <v>goatsny@live.com</v>
      </c>
      <c r="H864" s="2" t="str">
        <f>IFERROR(INDEX(customers!G$1:G$1001, MATCH(C864, customers!A$1:A$1001, 0)), "Not Found")</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L864*E864</f>
        <v>9.9499999999999993</v>
      </c>
      <c r="N864" t="str">
        <f>IF(I864="Rob","Robusta",IF(I864="Exc","Excelsa",IF(I864="Ara","Arabica",IF(I864="Lib","Laberica",""))))</f>
        <v>Robusta</v>
      </c>
      <c r="O864" t="str">
        <f t="shared" si="13"/>
        <v>Medium</v>
      </c>
      <c r="P864" t="str">
        <f>INDEX(customers!$I$1:$I$1001, MATCH(Orders[[#This Row],[Customer ID]], customers!$A$1:$A$1001, 0))</f>
        <v>Yes</v>
      </c>
    </row>
    <row r="865" spans="1:16" x14ac:dyDescent="0.25">
      <c r="A865" s="2" t="s">
        <v>5368</v>
      </c>
      <c r="B865" s="3">
        <v>44712</v>
      </c>
      <c r="C865" s="2" t="s">
        <v>5369</v>
      </c>
      <c r="D865" t="s">
        <v>6162</v>
      </c>
      <c r="E865" s="2">
        <v>2</v>
      </c>
      <c r="F865" s="2" t="str">
        <f>IFERROR(INDEX(customers!B$1:B$1001, MATCH(C865, customers!A$1:A$1001, 0)), "Not Found")</f>
        <v>Meade Birkin</v>
      </c>
      <c r="G865" s="2" t="str">
        <f>IF(IFERROR(INDEX(customers!C$1:C$1001, MATCH(C865, customers!A$1:A$1001, 0)), "Not Found")=0,"",IFERROR(INDEX(customers!C$1:C$1001, MATCH(C865, customers!A$1:A$1001, 0)), "Not Found"))</f>
        <v>mbirkinnz@java.com</v>
      </c>
      <c r="H865" s="2" t="str">
        <f>IFERROR(INDEX(customers!G$1:G$1001, MATCH(C865, customers!A$1:A$1001, 0)), "Not Found")</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L865*E865</f>
        <v>29.1</v>
      </c>
      <c r="N865" t="str">
        <f>IF(I865="Rob","Robusta",IF(I865="Exc","Excelsa",IF(I865="Ara","Arabica",IF(I865="Lib","Laberica",""))))</f>
        <v>Laberica</v>
      </c>
      <c r="O865" t="str">
        <f t="shared" si="13"/>
        <v>Medium</v>
      </c>
      <c r="P865" t="str">
        <f>INDEX(customers!$I$1:$I$1001, MATCH(Orders[[#This Row],[Customer ID]], customers!$A$1:$A$1001, 0))</f>
        <v>Yes</v>
      </c>
    </row>
    <row r="866" spans="1:16" x14ac:dyDescent="0.25">
      <c r="A866" s="2" t="s">
        <v>5374</v>
      </c>
      <c r="B866" s="3">
        <v>43759</v>
      </c>
      <c r="C866" s="2" t="s">
        <v>5375</v>
      </c>
      <c r="D866" t="s">
        <v>6178</v>
      </c>
      <c r="E866" s="2">
        <v>6</v>
      </c>
      <c r="F866" s="2" t="str">
        <f>IFERROR(INDEX(customers!B$1:B$1001, MATCH(C866, customers!A$1:A$1001, 0)), "Not Found")</f>
        <v>Ronda Pyson</v>
      </c>
      <c r="G866" s="2" t="str">
        <f>IF(IFERROR(INDEX(customers!C$1:C$1001, MATCH(C866, customers!A$1:A$1001, 0)), "Not Found")=0,"",IFERROR(INDEX(customers!C$1:C$1001, MATCH(C866, customers!A$1:A$1001, 0)), "Not Found"))</f>
        <v>rpysono0@constantcontact.com</v>
      </c>
      <c r="H866" s="2" t="str">
        <f>IFERROR(INDEX(customers!G$1:G$1001, MATCH(C866, customers!A$1:A$1001, 0)), "Not Found")</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L866*E866</f>
        <v>21.509999999999998</v>
      </c>
      <c r="N866" t="str">
        <f>IF(I866="Rob","Robusta",IF(I866="Exc","Excelsa",IF(I866="Ara","Arabica",IF(I866="Lib","Laberica",""))))</f>
        <v>Robusta</v>
      </c>
      <c r="O866" t="str">
        <f t="shared" si="13"/>
        <v>Light</v>
      </c>
      <c r="P866" t="str">
        <f>INDEX(customers!$I$1:$I$1001, MATCH(Orders[[#This Row],[Customer ID]], customers!$A$1:$A$1001, 0))</f>
        <v>No</v>
      </c>
    </row>
    <row r="867" spans="1:16" x14ac:dyDescent="0.25">
      <c r="A867" s="2" t="s">
        <v>5380</v>
      </c>
      <c r="B867" s="3">
        <v>44675</v>
      </c>
      <c r="C867" s="2" t="s">
        <v>5428</v>
      </c>
      <c r="D867" t="s">
        <v>6157</v>
      </c>
      <c r="E867" s="2">
        <v>1</v>
      </c>
      <c r="F867" s="2" t="str">
        <f>IFERROR(INDEX(customers!B$1:B$1001, MATCH(C867, customers!A$1:A$1001, 0)), "Not Found")</f>
        <v>Modesty MacConnechie</v>
      </c>
      <c r="G867" s="2" t="str">
        <f>IF(IFERROR(INDEX(customers!C$1:C$1001, MATCH(C867, customers!A$1:A$1001, 0)), "Not Found")=0,"",IFERROR(INDEX(customers!C$1:C$1001, MATCH(C867, customers!A$1:A$1001, 0)), "Not Found"))</f>
        <v>mmacconnechieo9@reuters.com</v>
      </c>
      <c r="H867" s="2" t="str">
        <f>IFERROR(INDEX(customers!G$1:G$1001, MATCH(C867, customers!A$1:A$1001, 0)), "Not Found")</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L867*E867</f>
        <v>6.75</v>
      </c>
      <c r="N867" t="str">
        <f>IF(I867="Rob","Robusta",IF(I867="Exc","Excelsa",IF(I867="Ara","Arabica",IF(I867="Lib","Laberica",""))))</f>
        <v>Arabica</v>
      </c>
      <c r="O867" t="str">
        <f t="shared" si="13"/>
        <v>Medium</v>
      </c>
      <c r="P867" t="str">
        <f>INDEX(customers!$I$1:$I$1001, MATCH(Orders[[#This Row],[Customer ID]], customers!$A$1:$A$1001, 0))</f>
        <v>Yes</v>
      </c>
    </row>
    <row r="868" spans="1:16" x14ac:dyDescent="0.25">
      <c r="A868" s="2" t="s">
        <v>5385</v>
      </c>
      <c r="B868" s="3">
        <v>44209</v>
      </c>
      <c r="C868" s="2" t="s">
        <v>5386</v>
      </c>
      <c r="D868" t="s">
        <v>6158</v>
      </c>
      <c r="E868" s="2">
        <v>3</v>
      </c>
      <c r="F868" s="2" t="str">
        <f>IFERROR(INDEX(customers!B$1:B$1001, MATCH(C868, customers!A$1:A$1001, 0)), "Not Found")</f>
        <v>Rafaela Treacher</v>
      </c>
      <c r="G868" s="2" t="str">
        <f>IF(IFERROR(INDEX(customers!C$1:C$1001, MATCH(C868, customers!A$1:A$1001, 0)), "Not Found")=0,"",IFERROR(INDEX(customers!C$1:C$1001, MATCH(C868, customers!A$1:A$1001, 0)), "Not Found"))</f>
        <v>rtreachero2@usa.gov</v>
      </c>
      <c r="H868" s="2" t="str">
        <f>IFERROR(INDEX(customers!G$1:G$1001, MATCH(C868, customers!A$1:A$1001, 0)), "Not Found")</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L868*E868</f>
        <v>17.91</v>
      </c>
      <c r="N868" t="str">
        <f>IF(I868="Rob","Robusta",IF(I868="Exc","Excelsa",IF(I868="Ara","Arabica",IF(I868="Lib","Laberica",""))))</f>
        <v>Arabica</v>
      </c>
      <c r="O868" t="str">
        <f t="shared" si="13"/>
        <v>Dark</v>
      </c>
      <c r="P868" t="str">
        <f>INDEX(customers!$I$1:$I$1001, MATCH(Orders[[#This Row],[Customer ID]], customers!$A$1:$A$1001, 0))</f>
        <v>No</v>
      </c>
    </row>
    <row r="869" spans="1:16" x14ac:dyDescent="0.25">
      <c r="A869" s="2" t="s">
        <v>5391</v>
      </c>
      <c r="B869" s="3">
        <v>44792</v>
      </c>
      <c r="C869" s="2" t="s">
        <v>5392</v>
      </c>
      <c r="D869" t="s">
        <v>6182</v>
      </c>
      <c r="E869" s="2">
        <v>1</v>
      </c>
      <c r="F869" s="2" t="str">
        <f>IFERROR(INDEX(customers!B$1:B$1001, MATCH(C869, customers!A$1:A$1001, 0)), "Not Found")</f>
        <v>Bee Fattorini</v>
      </c>
      <c r="G869" s="2" t="str">
        <f>IF(IFERROR(INDEX(customers!C$1:C$1001, MATCH(C869, customers!A$1:A$1001, 0)), "Not Found")=0,"",IFERROR(INDEX(customers!C$1:C$1001, MATCH(C869, customers!A$1:A$1001, 0)), "Not Found"))</f>
        <v>bfattorinio3@quantcast.com</v>
      </c>
      <c r="H869" s="2" t="str">
        <f>IFERROR(INDEX(customers!G$1:G$1001, MATCH(C869, customers!A$1:A$1001, 0)), "Not Found")</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L869*E869</f>
        <v>29.784999999999997</v>
      </c>
      <c r="N869" t="str">
        <f>IF(I869="Rob","Robusta",IF(I869="Exc","Excelsa",IF(I869="Ara","Arabica",IF(I869="Lib","Laberica",""))))</f>
        <v>Arabica</v>
      </c>
      <c r="O869" t="str">
        <f t="shared" si="13"/>
        <v>Light</v>
      </c>
      <c r="P869" t="str">
        <f>INDEX(customers!$I$1:$I$1001, MATCH(Orders[[#This Row],[Customer ID]], customers!$A$1:$A$1001, 0))</f>
        <v>Yes</v>
      </c>
    </row>
    <row r="870" spans="1:16" x14ac:dyDescent="0.25">
      <c r="A870" s="2" t="s">
        <v>5396</v>
      </c>
      <c r="B870" s="3">
        <v>43526</v>
      </c>
      <c r="C870" s="2" t="s">
        <v>5397</v>
      </c>
      <c r="D870" t="s">
        <v>6139</v>
      </c>
      <c r="E870" s="2">
        <v>5</v>
      </c>
      <c r="F870" s="2" t="str">
        <f>IFERROR(INDEX(customers!B$1:B$1001, MATCH(C870, customers!A$1:A$1001, 0)), "Not Found")</f>
        <v>Margie Palleske</v>
      </c>
      <c r="G870" s="2" t="str">
        <f>IF(IFERROR(INDEX(customers!C$1:C$1001, MATCH(C870, customers!A$1:A$1001, 0)), "Not Found")=0,"",IFERROR(INDEX(customers!C$1:C$1001, MATCH(C870, customers!A$1:A$1001, 0)), "Not Found"))</f>
        <v>mpalleskeo4@nyu.edu</v>
      </c>
      <c r="H870" s="2" t="str">
        <f>IFERROR(INDEX(customers!G$1:G$1001, MATCH(C870, customers!A$1:A$1001, 0)), "Not Found")</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L870*E870</f>
        <v>41.25</v>
      </c>
      <c r="N870" t="str">
        <f>IF(I870="Rob","Robusta",IF(I870="Exc","Excelsa",IF(I870="Ara","Arabica",IF(I870="Lib","Laberica",""))))</f>
        <v>Excelsa</v>
      </c>
      <c r="O870" t="str">
        <f t="shared" si="13"/>
        <v>Medium</v>
      </c>
      <c r="P870" t="str">
        <f>INDEX(customers!$I$1:$I$1001, MATCH(Orders[[#This Row],[Customer ID]], customers!$A$1:$A$1001, 0))</f>
        <v>Yes</v>
      </c>
    </row>
    <row r="871" spans="1:16" x14ac:dyDescent="0.25">
      <c r="A871" s="2" t="s">
        <v>5402</v>
      </c>
      <c r="B871" s="3">
        <v>43851</v>
      </c>
      <c r="C871" s="2" t="s">
        <v>5403</v>
      </c>
      <c r="D871" t="s">
        <v>6146</v>
      </c>
      <c r="E871" s="2">
        <v>3</v>
      </c>
      <c r="F871" s="2" t="str">
        <f>IFERROR(INDEX(customers!B$1:B$1001, MATCH(C871, customers!A$1:A$1001, 0)), "Not Found")</f>
        <v>Alexina Randals</v>
      </c>
      <c r="G871" s="2" t="str">
        <f>IF(IFERROR(INDEX(customers!C$1:C$1001, MATCH(C871, customers!A$1:A$1001, 0)), "Not Found")=0,"",IFERROR(INDEX(customers!C$1:C$1001, MATCH(C871, customers!A$1:A$1001, 0)), "Not Found"))</f>
        <v/>
      </c>
      <c r="H871" s="2" t="str">
        <f>IFERROR(INDEX(customers!G$1:G$1001, MATCH(C871, customers!A$1:A$1001, 0)), "Not Found")</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L871*E871</f>
        <v>17.91</v>
      </c>
      <c r="N871" t="str">
        <f>IF(I871="Rob","Robusta",IF(I871="Exc","Excelsa",IF(I871="Ara","Arabica",IF(I871="Lib","Laberica",""))))</f>
        <v>Robusta</v>
      </c>
      <c r="O871" t="str">
        <f t="shared" si="13"/>
        <v>Medium</v>
      </c>
      <c r="P871" t="str">
        <f>INDEX(customers!$I$1:$I$1001, MATCH(Orders[[#This Row],[Customer ID]], customers!$A$1:$A$1001, 0))</f>
        <v>Yes</v>
      </c>
    </row>
    <row r="872" spans="1:16" x14ac:dyDescent="0.25">
      <c r="A872" s="2" t="s">
        <v>5407</v>
      </c>
      <c r="B872" s="3">
        <v>44460</v>
      </c>
      <c r="C872" s="2" t="s">
        <v>5408</v>
      </c>
      <c r="D872" t="s">
        <v>6144</v>
      </c>
      <c r="E872" s="2">
        <v>1</v>
      </c>
      <c r="F872" s="2" t="str">
        <f>IFERROR(INDEX(customers!B$1:B$1001, MATCH(C872, customers!A$1:A$1001, 0)), "Not Found")</f>
        <v>Filip Antcliffe</v>
      </c>
      <c r="G872" s="2" t="str">
        <f>IF(IFERROR(INDEX(customers!C$1:C$1001, MATCH(C872, customers!A$1:A$1001, 0)), "Not Found")=0,"",IFERROR(INDEX(customers!C$1:C$1001, MATCH(C872, customers!A$1:A$1001, 0)), "Not Found"))</f>
        <v>fantcliffeo6@amazon.co.jp</v>
      </c>
      <c r="H872" s="2" t="str">
        <f>IFERROR(INDEX(customers!G$1:G$1001, MATCH(C872, customers!A$1:A$1001, 0)), "Not Found")</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L872*E872</f>
        <v>7.29</v>
      </c>
      <c r="N872" t="str">
        <f>IF(I872="Rob","Robusta",IF(I872="Exc","Excelsa",IF(I872="Ara","Arabica",IF(I872="Lib","Laberica",""))))</f>
        <v>Excelsa</v>
      </c>
      <c r="O872" t="str">
        <f t="shared" si="13"/>
        <v>Dark</v>
      </c>
      <c r="P872" t="str">
        <f>INDEX(customers!$I$1:$I$1001, MATCH(Orders[[#This Row],[Customer ID]], customers!$A$1:$A$1001, 0))</f>
        <v>Yes</v>
      </c>
    </row>
    <row r="873" spans="1:16" x14ac:dyDescent="0.25">
      <c r="A873" s="2" t="s">
        <v>5413</v>
      </c>
      <c r="B873" s="3">
        <v>43707</v>
      </c>
      <c r="C873" s="2" t="s">
        <v>5414</v>
      </c>
      <c r="D873" t="s">
        <v>6171</v>
      </c>
      <c r="E873" s="2">
        <v>2</v>
      </c>
      <c r="F873" s="2" t="str">
        <f>IFERROR(INDEX(customers!B$1:B$1001, MATCH(C873, customers!A$1:A$1001, 0)), "Not Found")</f>
        <v>Peyter Matignon</v>
      </c>
      <c r="G873" s="2" t="str">
        <f>IF(IFERROR(INDEX(customers!C$1:C$1001, MATCH(C873, customers!A$1:A$1001, 0)), "Not Found")=0,"",IFERROR(INDEX(customers!C$1:C$1001, MATCH(C873, customers!A$1:A$1001, 0)), "Not Found"))</f>
        <v>pmatignono7@harvard.edu</v>
      </c>
      <c r="H873" s="2" t="str">
        <f>IFERROR(INDEX(customers!G$1:G$1001, MATCH(C873, customers!A$1:A$1001, 0)), "Not Found")</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L873*E873</f>
        <v>29.7</v>
      </c>
      <c r="N873" t="str">
        <f>IF(I873="Rob","Robusta",IF(I873="Exc","Excelsa",IF(I873="Ara","Arabica",IF(I873="Lib","Laberica",""))))</f>
        <v>Excelsa</v>
      </c>
      <c r="O873" t="str">
        <f t="shared" si="13"/>
        <v>Light</v>
      </c>
      <c r="P873" t="str">
        <f>INDEX(customers!$I$1:$I$1001, MATCH(Orders[[#This Row],[Customer ID]], customers!$A$1:$A$1001, 0))</f>
        <v>Yes</v>
      </c>
    </row>
    <row r="874" spans="1:16" x14ac:dyDescent="0.25">
      <c r="A874" s="2" t="s">
        <v>5421</v>
      </c>
      <c r="B874" s="3">
        <v>43521</v>
      </c>
      <c r="C874" s="2" t="s">
        <v>5422</v>
      </c>
      <c r="D874" t="s">
        <v>6155</v>
      </c>
      <c r="E874" s="2">
        <v>2</v>
      </c>
      <c r="F874" s="2" t="str">
        <f>IFERROR(INDEX(customers!B$1:B$1001, MATCH(C874, customers!A$1:A$1001, 0)), "Not Found")</f>
        <v>Claudie Weond</v>
      </c>
      <c r="G874" s="2" t="str">
        <f>IF(IFERROR(INDEX(customers!C$1:C$1001, MATCH(C874, customers!A$1:A$1001, 0)), "Not Found")=0,"",IFERROR(INDEX(customers!C$1:C$1001, MATCH(C874, customers!A$1:A$1001, 0)), "Not Found"))</f>
        <v>cweondo8@theglobeandmail.com</v>
      </c>
      <c r="H874" s="2" t="str">
        <f>IFERROR(INDEX(customers!G$1:G$1001, MATCH(C874, customers!A$1:A$1001, 0)), "Not Found")</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L874*E874</f>
        <v>22.5</v>
      </c>
      <c r="N874" t="str">
        <f>IF(I874="Rob","Robusta",IF(I874="Exc","Excelsa",IF(I874="Ara","Arabica",IF(I874="Lib","Laberica",""))))</f>
        <v>Arabica</v>
      </c>
      <c r="O874" t="str">
        <f t="shared" si="13"/>
        <v>Medium</v>
      </c>
      <c r="P874" t="str">
        <f>INDEX(customers!$I$1:$I$1001, MATCH(Orders[[#This Row],[Customer ID]], customers!$A$1:$A$1001, 0))</f>
        <v>No</v>
      </c>
    </row>
    <row r="875" spans="1:16" x14ac:dyDescent="0.25">
      <c r="A875" s="2" t="s">
        <v>5427</v>
      </c>
      <c r="B875" s="3">
        <v>43725</v>
      </c>
      <c r="C875" s="2" t="s">
        <v>5428</v>
      </c>
      <c r="D875" t="s">
        <v>6174</v>
      </c>
      <c r="E875" s="2">
        <v>4</v>
      </c>
      <c r="F875" s="2" t="str">
        <f>IFERROR(INDEX(customers!B$1:B$1001, MATCH(C875, customers!A$1:A$1001, 0)), "Not Found")</f>
        <v>Modesty MacConnechie</v>
      </c>
      <c r="G875" s="2" t="str">
        <f>IF(IFERROR(INDEX(customers!C$1:C$1001, MATCH(C875, customers!A$1:A$1001, 0)), "Not Found")=0,"",IFERROR(INDEX(customers!C$1:C$1001, MATCH(C875, customers!A$1:A$1001, 0)), "Not Found"))</f>
        <v>mmacconnechieo9@reuters.com</v>
      </c>
      <c r="H875" s="2" t="str">
        <f>IFERROR(INDEX(customers!G$1:G$1001, MATCH(C875, customers!A$1:A$1001, 0)), "Not Found")</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L875*E875</f>
        <v>11.94</v>
      </c>
      <c r="N875" t="str">
        <f>IF(I875="Rob","Robusta",IF(I875="Exc","Excelsa",IF(I875="Ara","Arabica",IF(I875="Lib","Laberica",""))))</f>
        <v>Robusta</v>
      </c>
      <c r="O875" t="str">
        <f t="shared" si="13"/>
        <v>Medium</v>
      </c>
      <c r="P875" t="str">
        <f>INDEX(customers!$I$1:$I$1001, MATCH(Orders[[#This Row],[Customer ID]], customers!$A$1:$A$1001, 0))</f>
        <v>Yes</v>
      </c>
    </row>
    <row r="876" spans="1:16" x14ac:dyDescent="0.25">
      <c r="A876" s="2" t="s">
        <v>5433</v>
      </c>
      <c r="B876" s="3">
        <v>43680</v>
      </c>
      <c r="C876" s="2" t="s">
        <v>5434</v>
      </c>
      <c r="D876" t="s">
        <v>6140</v>
      </c>
      <c r="E876" s="2">
        <v>2</v>
      </c>
      <c r="F876" s="2" t="str">
        <f>IFERROR(INDEX(customers!B$1:B$1001, MATCH(C876, customers!A$1:A$1001, 0)), "Not Found")</f>
        <v>Jaquenette Skentelbery</v>
      </c>
      <c r="G876" s="2" t="str">
        <f>IF(IFERROR(INDEX(customers!C$1:C$1001, MATCH(C876, customers!A$1:A$1001, 0)), "Not Found")=0,"",IFERROR(INDEX(customers!C$1:C$1001, MATCH(C876, customers!A$1:A$1001, 0)), "Not Found"))</f>
        <v>jskentelberyoa@paypal.com</v>
      </c>
      <c r="H876" s="2" t="str">
        <f>IFERROR(INDEX(customers!G$1:G$1001, MATCH(C876, customers!A$1:A$1001, 0)), "Not Found")</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L876*E876</f>
        <v>25.9</v>
      </c>
      <c r="N876" t="str">
        <f>IF(I876="Rob","Robusta",IF(I876="Exc","Excelsa",IF(I876="Ara","Arabica",IF(I876="Lib","Laberica",""))))</f>
        <v>Arabica</v>
      </c>
      <c r="O876" t="str">
        <f t="shared" si="13"/>
        <v>Light</v>
      </c>
      <c r="P876" t="str">
        <f>INDEX(customers!$I$1:$I$1001, MATCH(Orders[[#This Row],[Customer ID]], customers!$A$1:$A$1001, 0))</f>
        <v>No</v>
      </c>
    </row>
    <row r="877" spans="1:16" x14ac:dyDescent="0.25">
      <c r="A877" s="2" t="s">
        <v>5439</v>
      </c>
      <c r="B877" s="3">
        <v>44253</v>
      </c>
      <c r="C877" s="2" t="s">
        <v>5440</v>
      </c>
      <c r="D877" t="s">
        <v>6160</v>
      </c>
      <c r="E877" s="2">
        <v>5</v>
      </c>
      <c r="F877" s="2" t="str">
        <f>IFERROR(INDEX(customers!B$1:B$1001, MATCH(C877, customers!A$1:A$1001, 0)), "Not Found")</f>
        <v>Orazio Comber</v>
      </c>
      <c r="G877" s="2" t="str">
        <f>IF(IFERROR(INDEX(customers!C$1:C$1001, MATCH(C877, customers!A$1:A$1001, 0)), "Not Found")=0,"",IFERROR(INDEX(customers!C$1:C$1001, MATCH(C877, customers!A$1:A$1001, 0)), "Not Found"))</f>
        <v>ocomberob@goo.gl</v>
      </c>
      <c r="H877" s="2" t="str">
        <f>IFERROR(INDEX(customers!G$1:G$1001, MATCH(C877, customers!A$1:A$1001, 0)), "Not Found")</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L877*E877</f>
        <v>43.650000000000006</v>
      </c>
      <c r="N877" t="str">
        <f>IF(I877="Rob","Robusta",IF(I877="Exc","Excelsa",IF(I877="Ara","Arabica",IF(I877="Lib","Laberica",""))))</f>
        <v>Laberica</v>
      </c>
      <c r="O877" t="str">
        <f t="shared" si="13"/>
        <v>Medium</v>
      </c>
      <c r="P877" t="str">
        <f>INDEX(customers!$I$1:$I$1001, MATCH(Orders[[#This Row],[Customer ID]], customers!$A$1:$A$1001, 0))</f>
        <v>No</v>
      </c>
    </row>
    <row r="878" spans="1:16" x14ac:dyDescent="0.25">
      <c r="A878" s="2" t="s">
        <v>5439</v>
      </c>
      <c r="B878" s="3">
        <v>44253</v>
      </c>
      <c r="C878" s="2" t="s">
        <v>5440</v>
      </c>
      <c r="D878" t="s">
        <v>6180</v>
      </c>
      <c r="E878" s="2">
        <v>6</v>
      </c>
      <c r="F878" s="2" t="str">
        <f>IFERROR(INDEX(customers!B$1:B$1001, MATCH(C878, customers!A$1:A$1001, 0)), "Not Found")</f>
        <v>Orazio Comber</v>
      </c>
      <c r="G878" s="2" t="str">
        <f>IF(IFERROR(INDEX(customers!C$1:C$1001, MATCH(C878, customers!A$1:A$1001, 0)), "Not Found")=0,"",IFERROR(INDEX(customers!C$1:C$1001, MATCH(C878, customers!A$1:A$1001, 0)), "Not Found"))</f>
        <v>ocomberob@goo.gl</v>
      </c>
      <c r="H878" s="2" t="str">
        <f>IFERROR(INDEX(customers!G$1:G$1001, MATCH(C878, customers!A$1:A$1001, 0)), "Not Found")</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L878*E878</f>
        <v>46.62</v>
      </c>
      <c r="N878" t="str">
        <f>IF(I878="Rob","Robusta",IF(I878="Exc","Excelsa",IF(I878="Ara","Arabica",IF(I878="Lib","Laberica",""))))</f>
        <v>Arabica</v>
      </c>
      <c r="O878" t="str">
        <f t="shared" si="13"/>
        <v>Light</v>
      </c>
      <c r="P878" t="str">
        <f>INDEX(customers!$I$1:$I$1001, MATCH(Orders[[#This Row],[Customer ID]], customers!$A$1:$A$1001, 0))</f>
        <v>No</v>
      </c>
    </row>
    <row r="879" spans="1:16" x14ac:dyDescent="0.25">
      <c r="A879" s="2" t="s">
        <v>5450</v>
      </c>
      <c r="B879" s="3">
        <v>44411</v>
      </c>
      <c r="C879" s="2" t="s">
        <v>5451</v>
      </c>
      <c r="D879" t="s">
        <v>6161</v>
      </c>
      <c r="E879" s="2">
        <v>3</v>
      </c>
      <c r="F879" s="2" t="str">
        <f>IFERROR(INDEX(customers!B$1:B$1001, MATCH(C879, customers!A$1:A$1001, 0)), "Not Found")</f>
        <v>Zachary Tramel</v>
      </c>
      <c r="G879" s="2" t="str">
        <f>IF(IFERROR(INDEX(customers!C$1:C$1001, MATCH(C879, customers!A$1:A$1001, 0)), "Not Found")=0,"",IFERROR(INDEX(customers!C$1:C$1001, MATCH(C879, customers!A$1:A$1001, 0)), "Not Found"))</f>
        <v>ztramelod@netlog.com</v>
      </c>
      <c r="H879" s="2" t="str">
        <f>IFERROR(INDEX(customers!G$1:G$1001, MATCH(C879, customers!A$1:A$1001, 0)), "Not Found")</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L879*E879</f>
        <v>28.53</v>
      </c>
      <c r="N879" t="str">
        <f>IF(I879="Rob","Robusta",IF(I879="Exc","Excelsa",IF(I879="Ara","Arabica",IF(I879="Lib","Laberica",""))))</f>
        <v>Laberica</v>
      </c>
      <c r="O879" t="str">
        <f t="shared" si="13"/>
        <v>Light</v>
      </c>
      <c r="P879" t="str">
        <f>INDEX(customers!$I$1:$I$1001, MATCH(Orders[[#This Row],[Customer ID]], customers!$A$1:$A$1001, 0))</f>
        <v>No</v>
      </c>
    </row>
    <row r="880" spans="1:16" x14ac:dyDescent="0.25">
      <c r="A880" s="2" t="s">
        <v>5456</v>
      </c>
      <c r="B880" s="3">
        <v>44323</v>
      </c>
      <c r="C880" s="2" t="s">
        <v>5457</v>
      </c>
      <c r="D880" t="s">
        <v>6142</v>
      </c>
      <c r="E880" s="2">
        <v>1</v>
      </c>
      <c r="F880" s="2" t="str">
        <f>IFERROR(INDEX(customers!B$1:B$1001, MATCH(C880, customers!A$1:A$1001, 0)), "Not Found")</f>
        <v>Izaak Primak</v>
      </c>
      <c r="G880" s="2" t="str">
        <f>IF(IFERROR(INDEX(customers!C$1:C$1001, MATCH(C880, customers!A$1:A$1001, 0)), "Not Found")=0,"",IFERROR(INDEX(customers!C$1:C$1001, MATCH(C880, customers!A$1:A$1001, 0)), "Not Found"))</f>
        <v/>
      </c>
      <c r="H880" s="2" t="str">
        <f>IFERROR(INDEX(customers!G$1:G$1001, MATCH(C880, customers!A$1:A$1001, 0)), "Not Found")</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L880*E880</f>
        <v>27.484999999999996</v>
      </c>
      <c r="N880" t="str">
        <f>IF(I880="Rob","Robusta",IF(I880="Exc","Excelsa",IF(I880="Ara","Arabica",IF(I880="Lib","Laberica",""))))</f>
        <v>Robusta</v>
      </c>
      <c r="O880" t="str">
        <f t="shared" si="13"/>
        <v>Light</v>
      </c>
      <c r="P880" t="str">
        <f>INDEX(customers!$I$1:$I$1001, MATCH(Orders[[#This Row],[Customer ID]], customers!$A$1:$A$1001, 0))</f>
        <v>Yes</v>
      </c>
    </row>
    <row r="881" spans="1:16" x14ac:dyDescent="0.25">
      <c r="A881" s="2" t="s">
        <v>5461</v>
      </c>
      <c r="B881" s="3">
        <v>43630</v>
      </c>
      <c r="C881" s="2" t="s">
        <v>5462</v>
      </c>
      <c r="D881" t="s">
        <v>6153</v>
      </c>
      <c r="E881" s="2">
        <v>3</v>
      </c>
      <c r="F881" s="2" t="str">
        <f>IFERROR(INDEX(customers!B$1:B$1001, MATCH(C881, customers!A$1:A$1001, 0)), "Not Found")</f>
        <v>Brittani Thoresbie</v>
      </c>
      <c r="G881" s="2" t="str">
        <f>IF(IFERROR(INDEX(customers!C$1:C$1001, MATCH(C881, customers!A$1:A$1001, 0)), "Not Found")=0,"",IFERROR(INDEX(customers!C$1:C$1001, MATCH(C881, customers!A$1:A$1001, 0)), "Not Found"))</f>
        <v/>
      </c>
      <c r="H881" s="2" t="str">
        <f>IFERROR(INDEX(customers!G$1:G$1001, MATCH(C881, customers!A$1:A$1001, 0)), "Not Found")</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L881*E881</f>
        <v>10.935</v>
      </c>
      <c r="N881" t="str">
        <f>IF(I881="Rob","Robusta",IF(I881="Exc","Excelsa",IF(I881="Ara","Arabica",IF(I881="Lib","Laberica",""))))</f>
        <v>Excelsa</v>
      </c>
      <c r="O881" t="str">
        <f t="shared" si="13"/>
        <v>Dark</v>
      </c>
      <c r="P881" t="str">
        <f>INDEX(customers!$I$1:$I$1001, MATCH(Orders[[#This Row],[Customer ID]], customers!$A$1:$A$1001, 0))</f>
        <v>No</v>
      </c>
    </row>
    <row r="882" spans="1:16" x14ac:dyDescent="0.25">
      <c r="A882" s="2" t="s">
        <v>5466</v>
      </c>
      <c r="B882" s="3">
        <v>43790</v>
      </c>
      <c r="C882" s="2" t="s">
        <v>5467</v>
      </c>
      <c r="D882" t="s">
        <v>6178</v>
      </c>
      <c r="E882" s="2">
        <v>2</v>
      </c>
      <c r="F882" s="2" t="str">
        <f>IFERROR(INDEX(customers!B$1:B$1001, MATCH(C882, customers!A$1:A$1001, 0)), "Not Found")</f>
        <v>Constanta Hatfull</v>
      </c>
      <c r="G882" s="2" t="str">
        <f>IF(IFERROR(INDEX(customers!C$1:C$1001, MATCH(C882, customers!A$1:A$1001, 0)), "Not Found")=0,"",IFERROR(INDEX(customers!C$1:C$1001, MATCH(C882, customers!A$1:A$1001, 0)), "Not Found"))</f>
        <v>chatfullog@ebay.com</v>
      </c>
      <c r="H882" s="2" t="str">
        <f>IFERROR(INDEX(customers!G$1:G$1001, MATCH(C882, customers!A$1:A$1001, 0)), "Not Found")</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L882*E882</f>
        <v>7.169999999999999</v>
      </c>
      <c r="N882" t="str">
        <f>IF(I882="Rob","Robusta",IF(I882="Exc","Excelsa",IF(I882="Ara","Arabica",IF(I882="Lib","Laberica",""))))</f>
        <v>Robusta</v>
      </c>
      <c r="O882" t="str">
        <f t="shared" si="13"/>
        <v>Light</v>
      </c>
      <c r="P882" t="str">
        <f>INDEX(customers!$I$1:$I$1001, MATCH(Orders[[#This Row],[Customer ID]], customers!$A$1:$A$1001, 0))</f>
        <v>No</v>
      </c>
    </row>
    <row r="883" spans="1:16" x14ac:dyDescent="0.25">
      <c r="A883" s="2" t="s">
        <v>5472</v>
      </c>
      <c r="B883" s="3">
        <v>44286</v>
      </c>
      <c r="C883" s="2" t="s">
        <v>5473</v>
      </c>
      <c r="D883" t="s">
        <v>6167</v>
      </c>
      <c r="E883" s="2">
        <v>6</v>
      </c>
      <c r="F883" s="2" t="str">
        <f>IFERROR(INDEX(customers!B$1:B$1001, MATCH(C883, customers!A$1:A$1001, 0)), "Not Found")</f>
        <v>Bobbe Castagneto</v>
      </c>
      <c r="G883" s="2" t="str">
        <f>IF(IFERROR(INDEX(customers!C$1:C$1001, MATCH(C883, customers!A$1:A$1001, 0)), "Not Found")=0,"",IFERROR(INDEX(customers!C$1:C$1001, MATCH(C883, customers!A$1:A$1001, 0)), "Not Found"))</f>
        <v/>
      </c>
      <c r="H883" s="2" t="str">
        <f>IFERROR(INDEX(customers!G$1:G$1001, MATCH(C883, customers!A$1:A$1001, 0)), "Not Found")</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L883*E883</f>
        <v>23.31</v>
      </c>
      <c r="N883" t="str">
        <f>IF(I883="Rob","Robusta",IF(I883="Exc","Excelsa",IF(I883="Ara","Arabica",IF(I883="Lib","Laberica",""))))</f>
        <v>Arabica</v>
      </c>
      <c r="O883" t="str">
        <f t="shared" si="13"/>
        <v>Light</v>
      </c>
      <c r="P883" t="str">
        <f>INDEX(customers!$I$1:$I$1001, MATCH(Orders[[#This Row],[Customer ID]], customers!$A$1:$A$1001, 0))</f>
        <v>Yes</v>
      </c>
    </row>
    <row r="884" spans="1:16" x14ac:dyDescent="0.25">
      <c r="A884" s="2" t="s">
        <v>5477</v>
      </c>
      <c r="B884" s="3">
        <v>43647</v>
      </c>
      <c r="C884" s="2" t="s">
        <v>5526</v>
      </c>
      <c r="D884" t="s">
        <v>6168</v>
      </c>
      <c r="E884" s="2">
        <v>5</v>
      </c>
      <c r="F884" s="2" t="str">
        <f>IFERROR(INDEX(customers!B$1:B$1001, MATCH(C884, customers!A$1:A$1001, 0)), "Not Found")</f>
        <v>Kippie Marrison</v>
      </c>
      <c r="G884" s="2" t="str">
        <f>IF(IFERROR(INDEX(customers!C$1:C$1001, MATCH(C884, customers!A$1:A$1001, 0)), "Not Found")=0,"",IFERROR(INDEX(customers!C$1:C$1001, MATCH(C884, customers!A$1:A$1001, 0)), "Not Found"))</f>
        <v>kmarrisonoq@dropbox.com</v>
      </c>
      <c r="H884" s="2" t="str">
        <f>IFERROR(INDEX(customers!G$1:G$1001, MATCH(C884, customers!A$1:A$1001, 0)), "Not Found")</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L884*E884</f>
        <v>114.42499999999998</v>
      </c>
      <c r="N884" t="str">
        <f>IF(I884="Rob","Robusta",IF(I884="Exc","Excelsa",IF(I884="Ara","Arabica",IF(I884="Lib","Laberica",""))))</f>
        <v>Arabica</v>
      </c>
      <c r="O884" t="str">
        <f t="shared" si="13"/>
        <v>Dark</v>
      </c>
      <c r="P884" t="str">
        <f>INDEX(customers!$I$1:$I$1001, MATCH(Orders[[#This Row],[Customer ID]], customers!$A$1:$A$1001, 0))</f>
        <v>Yes</v>
      </c>
    </row>
    <row r="885" spans="1:16" x14ac:dyDescent="0.25">
      <c r="A885" s="2" t="s">
        <v>5483</v>
      </c>
      <c r="B885" s="3">
        <v>43956</v>
      </c>
      <c r="C885" s="2" t="s">
        <v>5484</v>
      </c>
      <c r="D885" t="s">
        <v>6175</v>
      </c>
      <c r="E885" s="2">
        <v>3</v>
      </c>
      <c r="F885" s="2" t="str">
        <f>IFERROR(INDEX(customers!B$1:B$1001, MATCH(C885, customers!A$1:A$1001, 0)), "Not Found")</f>
        <v>Lindon Agnolo</v>
      </c>
      <c r="G885" s="2" t="str">
        <f>IF(IFERROR(INDEX(customers!C$1:C$1001, MATCH(C885, customers!A$1:A$1001, 0)), "Not Found")=0,"",IFERROR(INDEX(customers!C$1:C$1001, MATCH(C885, customers!A$1:A$1001, 0)), "Not Found"))</f>
        <v>lagnolooj@pinterest.com</v>
      </c>
      <c r="H885" s="2" t="str">
        <f>IFERROR(INDEX(customers!G$1:G$1001, MATCH(C885, customers!A$1:A$1001, 0)), "Not Found")</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L885*E885</f>
        <v>77.624999999999986</v>
      </c>
      <c r="N885" t="str">
        <f>IF(I885="Rob","Robusta",IF(I885="Exc","Excelsa",IF(I885="Ara","Arabica",IF(I885="Lib","Laberica",""))))</f>
        <v>Arabica</v>
      </c>
      <c r="O885" t="str">
        <f t="shared" si="13"/>
        <v>Medium</v>
      </c>
      <c r="P885" t="str">
        <f>INDEX(customers!$I$1:$I$1001, MATCH(Orders[[#This Row],[Customer ID]], customers!$A$1:$A$1001, 0))</f>
        <v>Yes</v>
      </c>
    </row>
    <row r="886" spans="1:16" x14ac:dyDescent="0.25">
      <c r="A886" s="2" t="s">
        <v>5489</v>
      </c>
      <c r="B886" s="3">
        <v>43941</v>
      </c>
      <c r="C886" s="2" t="s">
        <v>5490</v>
      </c>
      <c r="D886" t="s">
        <v>6172</v>
      </c>
      <c r="E886" s="2">
        <v>1</v>
      </c>
      <c r="F886" s="2" t="str">
        <f>IFERROR(INDEX(customers!B$1:B$1001, MATCH(C886, customers!A$1:A$1001, 0)), "Not Found")</f>
        <v>Delainey Kiddy</v>
      </c>
      <c r="G886" s="2" t="str">
        <f>IF(IFERROR(INDEX(customers!C$1:C$1001, MATCH(C886, customers!A$1:A$1001, 0)), "Not Found")=0,"",IFERROR(INDEX(customers!C$1:C$1001, MATCH(C886, customers!A$1:A$1001, 0)), "Not Found"))</f>
        <v>dkiddyok@fda.gov</v>
      </c>
      <c r="H886" s="2" t="str">
        <f>IFERROR(INDEX(customers!G$1:G$1001, MATCH(C886, customers!A$1:A$1001, 0)), "Not Found")</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L886*E886</f>
        <v>5.3699999999999992</v>
      </c>
      <c r="N886" t="str">
        <f>IF(I886="Rob","Robusta",IF(I886="Exc","Excelsa",IF(I886="Ara","Arabica",IF(I886="Lib","Laberica",""))))</f>
        <v>Robusta</v>
      </c>
      <c r="O886" t="str">
        <f t="shared" si="13"/>
        <v>Dark</v>
      </c>
      <c r="P886" t="str">
        <f>INDEX(customers!$I$1:$I$1001, MATCH(Orders[[#This Row],[Customer ID]], customers!$A$1:$A$1001, 0))</f>
        <v>Yes</v>
      </c>
    </row>
    <row r="887" spans="1:16" x14ac:dyDescent="0.25">
      <c r="A887" s="2" t="s">
        <v>5495</v>
      </c>
      <c r="B887" s="3">
        <v>43664</v>
      </c>
      <c r="C887" s="2" t="s">
        <v>5496</v>
      </c>
      <c r="D887" t="s">
        <v>6149</v>
      </c>
      <c r="E887" s="2">
        <v>6</v>
      </c>
      <c r="F887" s="2" t="str">
        <f>IFERROR(INDEX(customers!B$1:B$1001, MATCH(C887, customers!A$1:A$1001, 0)), "Not Found")</f>
        <v>Helli Petroulis</v>
      </c>
      <c r="G887" s="2" t="str">
        <f>IF(IFERROR(INDEX(customers!C$1:C$1001, MATCH(C887, customers!A$1:A$1001, 0)), "Not Found")=0,"",IFERROR(INDEX(customers!C$1:C$1001, MATCH(C887, customers!A$1:A$1001, 0)), "Not Found"))</f>
        <v>hpetroulisol@state.tx.us</v>
      </c>
      <c r="H887" s="2" t="str">
        <f>IFERROR(INDEX(customers!G$1:G$1001, MATCH(C887, customers!A$1:A$1001, 0)), "Not Found")</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L887*E887</f>
        <v>123.50999999999999</v>
      </c>
      <c r="N887" t="str">
        <f>IF(I887="Rob","Robusta",IF(I887="Exc","Excelsa",IF(I887="Ara","Arabica",IF(I887="Lib","Laberica",""))))</f>
        <v>Robusta</v>
      </c>
      <c r="O887" t="str">
        <f t="shared" si="13"/>
        <v>Dark</v>
      </c>
      <c r="P887" t="str">
        <f>INDEX(customers!$I$1:$I$1001, MATCH(Orders[[#This Row],[Customer ID]], customers!$A$1:$A$1001, 0))</f>
        <v>No</v>
      </c>
    </row>
    <row r="888" spans="1:16" x14ac:dyDescent="0.25">
      <c r="A888" s="2" t="s">
        <v>5501</v>
      </c>
      <c r="B888" s="3">
        <v>44518</v>
      </c>
      <c r="C888" s="2" t="s">
        <v>5502</v>
      </c>
      <c r="D888" t="s">
        <v>6160</v>
      </c>
      <c r="E888" s="2">
        <v>2</v>
      </c>
      <c r="F888" s="2" t="str">
        <f>IFERROR(INDEX(customers!B$1:B$1001, MATCH(C888, customers!A$1:A$1001, 0)), "Not Found")</f>
        <v>Marty Scholl</v>
      </c>
      <c r="G888" s="2" t="str">
        <f>IF(IFERROR(INDEX(customers!C$1:C$1001, MATCH(C888, customers!A$1:A$1001, 0)), "Not Found")=0,"",IFERROR(INDEX(customers!C$1:C$1001, MATCH(C888, customers!A$1:A$1001, 0)), "Not Found"))</f>
        <v>mschollom@taobao.com</v>
      </c>
      <c r="H888" s="2" t="str">
        <f>IFERROR(INDEX(customers!G$1:G$1001, MATCH(C888, customers!A$1:A$1001, 0)), "Not Found")</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L888*E888</f>
        <v>17.46</v>
      </c>
      <c r="N888" t="str">
        <f>IF(I888="Rob","Robusta",IF(I888="Exc","Excelsa",IF(I888="Ara","Arabica",IF(I888="Lib","Laberica",""))))</f>
        <v>Laberica</v>
      </c>
      <c r="O888" t="str">
        <f t="shared" si="13"/>
        <v>Medium</v>
      </c>
      <c r="P888" t="str">
        <f>INDEX(customers!$I$1:$I$1001, MATCH(Orders[[#This Row],[Customer ID]], customers!$A$1:$A$1001, 0))</f>
        <v>No</v>
      </c>
    </row>
    <row r="889" spans="1:16" x14ac:dyDescent="0.25">
      <c r="A889" s="2" t="s">
        <v>5507</v>
      </c>
      <c r="B889" s="3">
        <v>44002</v>
      </c>
      <c r="C889" s="2" t="s">
        <v>5508</v>
      </c>
      <c r="D889" t="s">
        <v>6184</v>
      </c>
      <c r="E889" s="2">
        <v>3</v>
      </c>
      <c r="F889" s="2" t="str">
        <f>IFERROR(INDEX(customers!B$1:B$1001, MATCH(C889, customers!A$1:A$1001, 0)), "Not Found")</f>
        <v>Kienan Ferson</v>
      </c>
      <c r="G889" s="2" t="str">
        <f>IF(IFERROR(INDEX(customers!C$1:C$1001, MATCH(C889, customers!A$1:A$1001, 0)), "Not Found")=0,"",IFERROR(INDEX(customers!C$1:C$1001, MATCH(C889, customers!A$1:A$1001, 0)), "Not Found"))</f>
        <v>kfersonon@g.co</v>
      </c>
      <c r="H889" s="2" t="str">
        <f>IFERROR(INDEX(customers!G$1:G$1001, MATCH(C889, customers!A$1:A$1001, 0)), "Not Found")</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L889*E889</f>
        <v>13.365</v>
      </c>
      <c r="N889" t="str">
        <f>IF(I889="Rob","Robusta",IF(I889="Exc","Excelsa",IF(I889="Ara","Arabica",IF(I889="Lib","Laberica",""))))</f>
        <v>Excelsa</v>
      </c>
      <c r="O889" t="str">
        <f t="shared" si="13"/>
        <v>Light</v>
      </c>
      <c r="P889" t="str">
        <f>INDEX(customers!$I$1:$I$1001, MATCH(Orders[[#This Row],[Customer ID]], customers!$A$1:$A$1001, 0))</f>
        <v>No</v>
      </c>
    </row>
    <row r="890" spans="1:16" x14ac:dyDescent="0.25">
      <c r="A890" s="2" t="s">
        <v>5513</v>
      </c>
      <c r="B890" s="3">
        <v>44292</v>
      </c>
      <c r="C890" s="2" t="s">
        <v>5514</v>
      </c>
      <c r="D890" t="s">
        <v>6167</v>
      </c>
      <c r="E890" s="2">
        <v>2</v>
      </c>
      <c r="F890" s="2" t="str">
        <f>IFERROR(INDEX(customers!B$1:B$1001, MATCH(C890, customers!A$1:A$1001, 0)), "Not Found")</f>
        <v>Blake Kelloway</v>
      </c>
      <c r="G890" s="2" t="str">
        <f>IF(IFERROR(INDEX(customers!C$1:C$1001, MATCH(C890, customers!A$1:A$1001, 0)), "Not Found")=0,"",IFERROR(INDEX(customers!C$1:C$1001, MATCH(C890, customers!A$1:A$1001, 0)), "Not Found"))</f>
        <v>bkellowayoo@omniture.com</v>
      </c>
      <c r="H890" s="2" t="str">
        <f>IFERROR(INDEX(customers!G$1:G$1001, MATCH(C890, customers!A$1:A$1001, 0)), "Not Found")</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L890*E890</f>
        <v>7.77</v>
      </c>
      <c r="N890" t="str">
        <f>IF(I890="Rob","Robusta",IF(I890="Exc","Excelsa",IF(I890="Ara","Arabica",IF(I890="Lib","Laberica",""))))</f>
        <v>Arabica</v>
      </c>
      <c r="O890" t="str">
        <f t="shared" si="13"/>
        <v>Light</v>
      </c>
      <c r="P890" t="str">
        <f>INDEX(customers!$I$1:$I$1001, MATCH(Orders[[#This Row],[Customer ID]], customers!$A$1:$A$1001, 0))</f>
        <v>Yes</v>
      </c>
    </row>
    <row r="891" spans="1:16" x14ac:dyDescent="0.25">
      <c r="A891" s="2" t="s">
        <v>5519</v>
      </c>
      <c r="B891" s="3">
        <v>43633</v>
      </c>
      <c r="C891" s="2" t="s">
        <v>5520</v>
      </c>
      <c r="D891" t="s">
        <v>6163</v>
      </c>
      <c r="E891" s="2">
        <v>1</v>
      </c>
      <c r="F891" s="2" t="str">
        <f>IFERROR(INDEX(customers!B$1:B$1001, MATCH(C891, customers!A$1:A$1001, 0)), "Not Found")</f>
        <v>Scarlett Oliffe</v>
      </c>
      <c r="G891" s="2" t="str">
        <f>IF(IFERROR(INDEX(customers!C$1:C$1001, MATCH(C891, customers!A$1:A$1001, 0)), "Not Found")=0,"",IFERROR(INDEX(customers!C$1:C$1001, MATCH(C891, customers!A$1:A$1001, 0)), "Not Found"))</f>
        <v>soliffeop@yellowbook.com</v>
      </c>
      <c r="H891" s="2" t="str">
        <f>IFERROR(INDEX(customers!G$1:G$1001, MATCH(C891, customers!A$1:A$1001, 0)), "Not Found")</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L891*E891</f>
        <v>2.6849999999999996</v>
      </c>
      <c r="N891" t="str">
        <f>IF(I891="Rob","Robusta",IF(I891="Exc","Excelsa",IF(I891="Ara","Arabica",IF(I891="Lib","Laberica",""))))</f>
        <v>Robusta</v>
      </c>
      <c r="O891" t="str">
        <f t="shared" si="13"/>
        <v>Dark</v>
      </c>
      <c r="P891" t="str">
        <f>INDEX(customers!$I$1:$I$1001, MATCH(Orders[[#This Row],[Customer ID]], customers!$A$1:$A$1001, 0))</f>
        <v>Yes</v>
      </c>
    </row>
    <row r="892" spans="1:16" x14ac:dyDescent="0.25">
      <c r="A892" s="2" t="s">
        <v>5525</v>
      </c>
      <c r="B892" s="3">
        <v>44646</v>
      </c>
      <c r="C892" s="2" t="s">
        <v>5526</v>
      </c>
      <c r="D892" t="s">
        <v>6149</v>
      </c>
      <c r="E892" s="2">
        <v>1</v>
      </c>
      <c r="F892" s="2" t="str">
        <f>IFERROR(INDEX(customers!B$1:B$1001, MATCH(C892, customers!A$1:A$1001, 0)), "Not Found")</f>
        <v>Kippie Marrison</v>
      </c>
      <c r="G892" s="2" t="str">
        <f>IF(IFERROR(INDEX(customers!C$1:C$1001, MATCH(C892, customers!A$1:A$1001, 0)), "Not Found")=0,"",IFERROR(INDEX(customers!C$1:C$1001, MATCH(C892, customers!A$1:A$1001, 0)), "Not Found"))</f>
        <v>kmarrisonoq@dropbox.com</v>
      </c>
      <c r="H892" s="2" t="str">
        <f>IFERROR(INDEX(customers!G$1:G$1001, MATCH(C892, customers!A$1:A$1001, 0)), "Not Found")</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L892*E892</f>
        <v>20.584999999999997</v>
      </c>
      <c r="N892" t="str">
        <f>IF(I892="Rob","Robusta",IF(I892="Exc","Excelsa",IF(I892="Ara","Arabica",IF(I892="Lib","Laberica",""))))</f>
        <v>Robusta</v>
      </c>
      <c r="O892" t="str">
        <f t="shared" si="13"/>
        <v>Dark</v>
      </c>
      <c r="P892" t="str">
        <f>INDEX(customers!$I$1:$I$1001, MATCH(Orders[[#This Row],[Customer ID]], customers!$A$1:$A$1001, 0))</f>
        <v>Yes</v>
      </c>
    </row>
    <row r="893" spans="1:16" x14ac:dyDescent="0.25">
      <c r="A893" s="2" t="s">
        <v>5531</v>
      </c>
      <c r="B893" s="3">
        <v>44469</v>
      </c>
      <c r="C893" s="2" t="s">
        <v>5532</v>
      </c>
      <c r="D893" t="s">
        <v>6168</v>
      </c>
      <c r="E893" s="2">
        <v>5</v>
      </c>
      <c r="F893" s="2" t="str">
        <f>IFERROR(INDEX(customers!B$1:B$1001, MATCH(C893, customers!A$1:A$1001, 0)), "Not Found")</f>
        <v>Celestia Dolohunty</v>
      </c>
      <c r="G893" s="2" t="str">
        <f>IF(IFERROR(INDEX(customers!C$1:C$1001, MATCH(C893, customers!A$1:A$1001, 0)), "Not Found")=0,"",IFERROR(INDEX(customers!C$1:C$1001, MATCH(C893, customers!A$1:A$1001, 0)), "Not Found"))</f>
        <v>cdolohuntyor@dailymail.co.uk</v>
      </c>
      <c r="H893" s="2" t="str">
        <f>IFERROR(INDEX(customers!G$1:G$1001, MATCH(C893, customers!A$1:A$1001, 0)), "Not Found")</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L893*E893</f>
        <v>114.42499999999998</v>
      </c>
      <c r="N893" t="str">
        <f>IF(I893="Rob","Robusta",IF(I893="Exc","Excelsa",IF(I893="Ara","Arabica",IF(I893="Lib","Laberica",""))))</f>
        <v>Arabica</v>
      </c>
      <c r="O893" t="str">
        <f t="shared" si="13"/>
        <v>Dark</v>
      </c>
      <c r="P893" t="str">
        <f>INDEX(customers!$I$1:$I$1001, MATCH(Orders[[#This Row],[Customer ID]], customers!$A$1:$A$1001, 0))</f>
        <v>Yes</v>
      </c>
    </row>
    <row r="894" spans="1:16" x14ac:dyDescent="0.25">
      <c r="A894" s="2" t="s">
        <v>5537</v>
      </c>
      <c r="B894" s="3">
        <v>43635</v>
      </c>
      <c r="C894" s="2" t="s">
        <v>5538</v>
      </c>
      <c r="D894" t="s">
        <v>6156</v>
      </c>
      <c r="E894" s="2">
        <v>5</v>
      </c>
      <c r="F894" s="2" t="str">
        <f>IFERROR(INDEX(customers!B$1:B$1001, MATCH(C894, customers!A$1:A$1001, 0)), "Not Found")</f>
        <v>Patsy Vasilenko</v>
      </c>
      <c r="G894" s="2" t="str">
        <f>IF(IFERROR(INDEX(customers!C$1:C$1001, MATCH(C894, customers!A$1:A$1001, 0)), "Not Found")=0,"",IFERROR(INDEX(customers!C$1:C$1001, MATCH(C894, customers!A$1:A$1001, 0)), "Not Found"))</f>
        <v>pvasilenkoos@addtoany.com</v>
      </c>
      <c r="H894" s="2" t="str">
        <f>IFERROR(INDEX(customers!G$1:G$1001, MATCH(C894, customers!A$1:A$1001, 0)), "Not Found")</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L894*E894</f>
        <v>20.625</v>
      </c>
      <c r="N894" t="str">
        <f>IF(I894="Rob","Robusta",IF(I894="Exc","Excelsa",IF(I894="Ara","Arabica",IF(I894="Lib","Laberica",""))))</f>
        <v>Excelsa</v>
      </c>
      <c r="O894" t="str">
        <f t="shared" si="13"/>
        <v>Medium</v>
      </c>
      <c r="P894" t="str">
        <f>INDEX(customers!$I$1:$I$1001, MATCH(Orders[[#This Row],[Customer ID]], customers!$A$1:$A$1001, 0))</f>
        <v>No</v>
      </c>
    </row>
    <row r="895" spans="1:16" x14ac:dyDescent="0.25">
      <c r="A895" s="2" t="s">
        <v>5543</v>
      </c>
      <c r="B895" s="3">
        <v>44651</v>
      </c>
      <c r="C895" s="2" t="s">
        <v>5544</v>
      </c>
      <c r="D895" t="s">
        <v>6161</v>
      </c>
      <c r="E895" s="2">
        <v>6</v>
      </c>
      <c r="F895" s="2" t="str">
        <f>IFERROR(INDEX(customers!B$1:B$1001, MATCH(C895, customers!A$1:A$1001, 0)), "Not Found")</f>
        <v>Raphaela Schankelborg</v>
      </c>
      <c r="G895" s="2" t="str">
        <f>IF(IFERROR(INDEX(customers!C$1:C$1001, MATCH(C895, customers!A$1:A$1001, 0)), "Not Found")=0,"",IFERROR(INDEX(customers!C$1:C$1001, MATCH(C895, customers!A$1:A$1001, 0)), "Not Found"))</f>
        <v>rschankelborgot@ameblo.jp</v>
      </c>
      <c r="H895" s="2" t="str">
        <f>IFERROR(INDEX(customers!G$1:G$1001, MATCH(C895, customers!A$1:A$1001, 0)), "Not Found")</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L895*E895</f>
        <v>57.06</v>
      </c>
      <c r="N895" t="str">
        <f>IF(I895="Rob","Robusta",IF(I895="Exc","Excelsa",IF(I895="Ara","Arabica",IF(I895="Lib","Laberica",""))))</f>
        <v>Laberica</v>
      </c>
      <c r="O895" t="str">
        <f t="shared" si="13"/>
        <v>Light</v>
      </c>
      <c r="P895" t="str">
        <f>INDEX(customers!$I$1:$I$1001, MATCH(Orders[[#This Row],[Customer ID]], customers!$A$1:$A$1001, 0))</f>
        <v>Yes</v>
      </c>
    </row>
    <row r="896" spans="1:16" x14ac:dyDescent="0.25">
      <c r="A896" s="2" t="s">
        <v>5548</v>
      </c>
      <c r="B896" s="3">
        <v>44016</v>
      </c>
      <c r="C896" s="2" t="s">
        <v>5549</v>
      </c>
      <c r="D896" t="s">
        <v>6149</v>
      </c>
      <c r="E896" s="2">
        <v>4</v>
      </c>
      <c r="F896" s="2" t="str">
        <f>IFERROR(INDEX(customers!B$1:B$1001, MATCH(C896, customers!A$1:A$1001, 0)), "Not Found")</f>
        <v>Sharity Wickens</v>
      </c>
      <c r="G896" s="2" t="str">
        <f>IF(IFERROR(INDEX(customers!C$1:C$1001, MATCH(C896, customers!A$1:A$1001, 0)), "Not Found")=0,"",IFERROR(INDEX(customers!C$1:C$1001, MATCH(C896, customers!A$1:A$1001, 0)), "Not Found"))</f>
        <v/>
      </c>
      <c r="H896" s="2" t="str">
        <f>IFERROR(INDEX(customers!G$1:G$1001, MATCH(C896, customers!A$1:A$1001, 0)), "Not Found")</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L896*E896</f>
        <v>82.339999999999989</v>
      </c>
      <c r="N896" t="str">
        <f>IF(I896="Rob","Robusta",IF(I896="Exc","Excelsa",IF(I896="Ara","Arabica",IF(I896="Lib","Laberica",""))))</f>
        <v>Robusta</v>
      </c>
      <c r="O896" t="str">
        <f t="shared" si="13"/>
        <v>Dark</v>
      </c>
      <c r="P896" t="str">
        <f>INDEX(customers!$I$1:$I$1001, MATCH(Orders[[#This Row],[Customer ID]], customers!$A$1:$A$1001, 0))</f>
        <v>Yes</v>
      </c>
    </row>
    <row r="897" spans="1:16" x14ac:dyDescent="0.25">
      <c r="A897" s="2" t="s">
        <v>5553</v>
      </c>
      <c r="B897" s="3">
        <v>44521</v>
      </c>
      <c r="C897" s="2" t="s">
        <v>5554</v>
      </c>
      <c r="D897" t="s">
        <v>6166</v>
      </c>
      <c r="E897" s="2">
        <v>5</v>
      </c>
      <c r="F897" s="2" t="str">
        <f>IFERROR(INDEX(customers!B$1:B$1001, MATCH(C897, customers!A$1:A$1001, 0)), "Not Found")</f>
        <v>Derick Snow</v>
      </c>
      <c r="G897" s="2" t="str">
        <f>IF(IFERROR(INDEX(customers!C$1:C$1001, MATCH(C897, customers!A$1:A$1001, 0)), "Not Found")=0,"",IFERROR(INDEX(customers!C$1:C$1001, MATCH(C897, customers!A$1:A$1001, 0)), "Not Found"))</f>
        <v/>
      </c>
      <c r="H897" s="2" t="str">
        <f>IFERROR(INDEX(customers!G$1:G$1001, MATCH(C897, customers!A$1:A$1001, 0)), "Not Found")</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L897*E897</f>
        <v>158.12499999999997</v>
      </c>
      <c r="N897" t="str">
        <f>IF(I897="Rob","Robusta",IF(I897="Exc","Excelsa",IF(I897="Ara","Arabica",IF(I897="Lib","Laberica",""))))</f>
        <v>Excelsa</v>
      </c>
      <c r="O897" t="str">
        <f t="shared" si="13"/>
        <v>Medium</v>
      </c>
      <c r="P897" t="str">
        <f>INDEX(customers!$I$1:$I$1001, MATCH(Orders[[#This Row],[Customer ID]], customers!$A$1:$A$1001, 0))</f>
        <v>No</v>
      </c>
    </row>
    <row r="898" spans="1:16" x14ac:dyDescent="0.25">
      <c r="A898" s="2" t="s">
        <v>5558</v>
      </c>
      <c r="B898" s="3">
        <v>44347</v>
      </c>
      <c r="C898" s="2" t="s">
        <v>5559</v>
      </c>
      <c r="D898" t="s">
        <v>6172</v>
      </c>
      <c r="E898" s="2">
        <v>6</v>
      </c>
      <c r="F898" s="2" t="str">
        <f>IFERROR(INDEX(customers!B$1:B$1001, MATCH(C898, customers!A$1:A$1001, 0)), "Not Found")</f>
        <v>Baxy Cargen</v>
      </c>
      <c r="G898" s="2" t="str">
        <f>IF(IFERROR(INDEX(customers!C$1:C$1001, MATCH(C898, customers!A$1:A$1001, 0)), "Not Found")=0,"",IFERROR(INDEX(customers!C$1:C$1001, MATCH(C898, customers!A$1:A$1001, 0)), "Not Found"))</f>
        <v>bcargenow@geocities.jp</v>
      </c>
      <c r="H898" s="2" t="str">
        <f>IFERROR(INDEX(customers!G$1:G$1001, MATCH(C898, customers!A$1:A$1001, 0)), "Not Found")</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L898*E898</f>
        <v>32.22</v>
      </c>
      <c r="N898" t="str">
        <f>IF(I898="Rob","Robusta",IF(I898="Exc","Excelsa",IF(I898="Ara","Arabica",IF(I898="Lib","Laberica",""))))</f>
        <v>Robusta</v>
      </c>
      <c r="O898" t="str">
        <f t="shared" si="13"/>
        <v>Dark</v>
      </c>
      <c r="P898" t="str">
        <f>INDEX(customers!$I$1:$I$1001, MATCH(Orders[[#This Row],[Customer ID]], customers!$A$1:$A$1001, 0))</f>
        <v>Yes</v>
      </c>
    </row>
    <row r="899" spans="1:16" x14ac:dyDescent="0.25">
      <c r="A899" s="2" t="s">
        <v>5564</v>
      </c>
      <c r="B899" s="3">
        <v>43932</v>
      </c>
      <c r="C899" s="2" t="s">
        <v>5565</v>
      </c>
      <c r="D899" t="s">
        <v>6183</v>
      </c>
      <c r="E899" s="2">
        <v>2</v>
      </c>
      <c r="F899" s="2" t="str">
        <f>IFERROR(INDEX(customers!B$1:B$1001, MATCH(C899, customers!A$1:A$1001, 0)), "Not Found")</f>
        <v>Ryann Stickler</v>
      </c>
      <c r="G899" s="2" t="str">
        <f>IF(IFERROR(INDEX(customers!C$1:C$1001, MATCH(C899, customers!A$1:A$1001, 0)), "Not Found")=0,"",IFERROR(INDEX(customers!C$1:C$1001, MATCH(C899, customers!A$1:A$1001, 0)), "Not Found"))</f>
        <v>rsticklerox@printfriendly.com</v>
      </c>
      <c r="H899" s="2" t="str">
        <f>IFERROR(INDEX(customers!G$1:G$1001, MATCH(C899, customers!A$1:A$1001, 0)), "Not Found")</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L899*E899</f>
        <v>24.3</v>
      </c>
      <c r="N899" t="str">
        <f>IF(I899="Rob","Robusta",IF(I899="Exc","Excelsa",IF(I899="Ara","Arabica",IF(I899="Lib","Laberica",""))))</f>
        <v>Excelsa</v>
      </c>
      <c r="O899" t="str">
        <f t="shared" ref="O899:O962" si="14">IF(J899="M","Medium",IF(J899="L","Light",IF(J899="D","Dark","")))</f>
        <v>Dark</v>
      </c>
      <c r="P899" t="str">
        <f>INDEX(customers!$I$1:$I$1001, MATCH(Orders[[#This Row],[Customer ID]], customers!$A$1:$A$1001, 0))</f>
        <v>No</v>
      </c>
    </row>
    <row r="900" spans="1:16" x14ac:dyDescent="0.25">
      <c r="A900" s="2" t="s">
        <v>5570</v>
      </c>
      <c r="B900" s="3">
        <v>44089</v>
      </c>
      <c r="C900" s="2" t="s">
        <v>5571</v>
      </c>
      <c r="D900" t="s">
        <v>6173</v>
      </c>
      <c r="E900" s="2">
        <v>5</v>
      </c>
      <c r="F900" s="2" t="str">
        <f>IFERROR(INDEX(customers!B$1:B$1001, MATCH(C900, customers!A$1:A$1001, 0)), "Not Found")</f>
        <v>Daryn Cassius</v>
      </c>
      <c r="G900" s="2" t="str">
        <f>IF(IFERROR(INDEX(customers!C$1:C$1001, MATCH(C900, customers!A$1:A$1001, 0)), "Not Found")=0,"",IFERROR(INDEX(customers!C$1:C$1001, MATCH(C900, customers!A$1:A$1001, 0)), "Not Found"))</f>
        <v/>
      </c>
      <c r="H900" s="2" t="str">
        <f>IFERROR(INDEX(customers!G$1:G$1001, MATCH(C900, customers!A$1:A$1001, 0)), "Not Found")</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L900*E900</f>
        <v>35.849999999999994</v>
      </c>
      <c r="N900" t="str">
        <f>IF(I900="Rob","Robusta",IF(I900="Exc","Excelsa",IF(I900="Ara","Arabica",IF(I900="Lib","Laberica",""))))</f>
        <v>Robusta</v>
      </c>
      <c r="O900" t="str">
        <f t="shared" si="14"/>
        <v>Light</v>
      </c>
      <c r="P900" t="str">
        <f>INDEX(customers!$I$1:$I$1001, MATCH(Orders[[#This Row],[Customer ID]], customers!$A$1:$A$1001, 0))</f>
        <v>No</v>
      </c>
    </row>
    <row r="901" spans="1:16" x14ac:dyDescent="0.25">
      <c r="A901" s="2" t="s">
        <v>5575</v>
      </c>
      <c r="B901" s="3">
        <v>44523</v>
      </c>
      <c r="C901" s="2" t="s">
        <v>5554</v>
      </c>
      <c r="D901" t="s">
        <v>6162</v>
      </c>
      <c r="E901" s="2">
        <v>5</v>
      </c>
      <c r="F901" s="2" t="str">
        <f>IFERROR(INDEX(customers!B$1:B$1001, MATCH(C901, customers!A$1:A$1001, 0)), "Not Found")</f>
        <v>Derick Snow</v>
      </c>
      <c r="G901" s="2" t="str">
        <f>IF(IFERROR(INDEX(customers!C$1:C$1001, MATCH(C901, customers!A$1:A$1001, 0)), "Not Found")=0,"",IFERROR(INDEX(customers!C$1:C$1001, MATCH(C901, customers!A$1:A$1001, 0)), "Not Found"))</f>
        <v/>
      </c>
      <c r="H901" s="2" t="str">
        <f>IFERROR(INDEX(customers!G$1:G$1001, MATCH(C901, customers!A$1:A$1001, 0)), "Not Found")</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L901*E901</f>
        <v>72.75</v>
      </c>
      <c r="N901" t="str">
        <f>IF(I901="Rob","Robusta",IF(I901="Exc","Excelsa",IF(I901="Ara","Arabica",IF(I901="Lib","Laberica",""))))</f>
        <v>Laberica</v>
      </c>
      <c r="O901" t="str">
        <f t="shared" si="14"/>
        <v>Medium</v>
      </c>
      <c r="P901" t="str">
        <f>INDEX(customers!$I$1:$I$1001, MATCH(Orders[[#This Row],[Customer ID]], customers!$A$1:$A$1001, 0))</f>
        <v>No</v>
      </c>
    </row>
    <row r="902" spans="1:16" x14ac:dyDescent="0.25">
      <c r="A902" s="2" t="s">
        <v>5580</v>
      </c>
      <c r="B902" s="3">
        <v>44584</v>
      </c>
      <c r="C902" s="2" t="s">
        <v>5581</v>
      </c>
      <c r="D902" t="s">
        <v>6170</v>
      </c>
      <c r="E902" s="2">
        <v>3</v>
      </c>
      <c r="F902" s="2" t="str">
        <f>IFERROR(INDEX(customers!B$1:B$1001, MATCH(C902, customers!A$1:A$1001, 0)), "Not Found")</f>
        <v>Skelly Dolohunty</v>
      </c>
      <c r="G902" s="2" t="str">
        <f>IF(IFERROR(INDEX(customers!C$1:C$1001, MATCH(C902, customers!A$1:A$1001, 0)), "Not Found")=0,"",IFERROR(INDEX(customers!C$1:C$1001, MATCH(C902, customers!A$1:A$1001, 0)), "Not Found"))</f>
        <v/>
      </c>
      <c r="H902" s="2" t="str">
        <f>IFERROR(INDEX(customers!G$1:G$1001, MATCH(C902, customers!A$1:A$1001, 0)), "Not Found")</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L902*E902</f>
        <v>47.55</v>
      </c>
      <c r="N902" t="str">
        <f>IF(I902="Rob","Robusta",IF(I902="Exc","Excelsa",IF(I902="Ara","Arabica",IF(I902="Lib","Laberica",""))))</f>
        <v>Laberica</v>
      </c>
      <c r="O902" t="str">
        <f t="shared" si="14"/>
        <v>Light</v>
      </c>
      <c r="P902" t="str">
        <f>INDEX(customers!$I$1:$I$1001, MATCH(Orders[[#This Row],[Customer ID]], customers!$A$1:$A$1001, 0))</f>
        <v>No</v>
      </c>
    </row>
    <row r="903" spans="1:16" x14ac:dyDescent="0.25">
      <c r="A903" s="2" t="s">
        <v>5585</v>
      </c>
      <c r="B903" s="3">
        <v>44223</v>
      </c>
      <c r="C903" s="2" t="s">
        <v>5586</v>
      </c>
      <c r="D903" t="s">
        <v>6178</v>
      </c>
      <c r="E903" s="2">
        <v>1</v>
      </c>
      <c r="F903" s="2" t="str">
        <f>IFERROR(INDEX(customers!B$1:B$1001, MATCH(C903, customers!A$1:A$1001, 0)), "Not Found")</f>
        <v>Drake Jevon</v>
      </c>
      <c r="G903" s="2" t="str">
        <f>IF(IFERROR(INDEX(customers!C$1:C$1001, MATCH(C903, customers!A$1:A$1001, 0)), "Not Found")=0,"",IFERROR(INDEX(customers!C$1:C$1001, MATCH(C903, customers!A$1:A$1001, 0)), "Not Found"))</f>
        <v>djevonp1@ibm.com</v>
      </c>
      <c r="H903" s="2" t="str">
        <f>IFERROR(INDEX(customers!G$1:G$1001, MATCH(C903, customers!A$1:A$1001, 0)), "Not Found")</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L903*E903</f>
        <v>3.5849999999999995</v>
      </c>
      <c r="N903" t="str">
        <f>IF(I903="Rob","Robusta",IF(I903="Exc","Excelsa",IF(I903="Ara","Arabica",IF(I903="Lib","Laberica",""))))</f>
        <v>Robusta</v>
      </c>
      <c r="O903" t="str">
        <f t="shared" si="14"/>
        <v>Light</v>
      </c>
      <c r="P903" t="str">
        <f>INDEX(customers!$I$1:$I$1001, MATCH(Orders[[#This Row],[Customer ID]], customers!$A$1:$A$1001, 0))</f>
        <v>Yes</v>
      </c>
    </row>
    <row r="904" spans="1:16" x14ac:dyDescent="0.25">
      <c r="A904" s="2" t="s">
        <v>5591</v>
      </c>
      <c r="B904" s="3">
        <v>43640</v>
      </c>
      <c r="C904" s="2" t="s">
        <v>5592</v>
      </c>
      <c r="D904" t="s">
        <v>6166</v>
      </c>
      <c r="E904" s="2">
        <v>5</v>
      </c>
      <c r="F904" s="2" t="str">
        <f>IFERROR(INDEX(customers!B$1:B$1001, MATCH(C904, customers!A$1:A$1001, 0)), "Not Found")</f>
        <v>Hall Ranner</v>
      </c>
      <c r="G904" s="2" t="str">
        <f>IF(IFERROR(INDEX(customers!C$1:C$1001, MATCH(C904, customers!A$1:A$1001, 0)), "Not Found")=0,"",IFERROR(INDEX(customers!C$1:C$1001, MATCH(C904, customers!A$1:A$1001, 0)), "Not Found"))</f>
        <v>hrannerp2@omniture.com</v>
      </c>
      <c r="H904" s="2" t="str">
        <f>IFERROR(INDEX(customers!G$1:G$1001, MATCH(C904, customers!A$1:A$1001, 0)), "Not Found")</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L904*E904</f>
        <v>158.12499999999997</v>
      </c>
      <c r="N904" t="str">
        <f>IF(I904="Rob","Robusta",IF(I904="Exc","Excelsa",IF(I904="Ara","Arabica",IF(I904="Lib","Laberica",""))))</f>
        <v>Excelsa</v>
      </c>
      <c r="O904" t="str">
        <f t="shared" si="14"/>
        <v>Medium</v>
      </c>
      <c r="P904" t="str">
        <f>INDEX(customers!$I$1:$I$1001, MATCH(Orders[[#This Row],[Customer ID]], customers!$A$1:$A$1001, 0))</f>
        <v>No</v>
      </c>
    </row>
    <row r="905" spans="1:16" x14ac:dyDescent="0.25">
      <c r="A905" s="2" t="s">
        <v>5597</v>
      </c>
      <c r="B905" s="3">
        <v>43905</v>
      </c>
      <c r="C905" s="2" t="s">
        <v>5598</v>
      </c>
      <c r="D905" t="s">
        <v>6160</v>
      </c>
      <c r="E905" s="2">
        <v>2</v>
      </c>
      <c r="F905" s="2" t="str">
        <f>IFERROR(INDEX(customers!B$1:B$1001, MATCH(C905, customers!A$1:A$1001, 0)), "Not Found")</f>
        <v>Berkly Imrie</v>
      </c>
      <c r="G905" s="2" t="str">
        <f>IF(IFERROR(INDEX(customers!C$1:C$1001, MATCH(C905, customers!A$1:A$1001, 0)), "Not Found")=0,"",IFERROR(INDEX(customers!C$1:C$1001, MATCH(C905, customers!A$1:A$1001, 0)), "Not Found"))</f>
        <v>bimriep3@addtoany.com</v>
      </c>
      <c r="H905" s="2" t="str">
        <f>IFERROR(INDEX(customers!G$1:G$1001, MATCH(C905, customers!A$1:A$1001, 0)), "Not Found")</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L905*E905</f>
        <v>17.46</v>
      </c>
      <c r="N905" t="str">
        <f>IF(I905="Rob","Robusta",IF(I905="Exc","Excelsa",IF(I905="Ara","Arabica",IF(I905="Lib","Laberica",""))))</f>
        <v>Laberica</v>
      </c>
      <c r="O905" t="str">
        <f t="shared" si="14"/>
        <v>Medium</v>
      </c>
      <c r="P905" t="str">
        <f>INDEX(customers!$I$1:$I$1001, MATCH(Orders[[#This Row],[Customer ID]], customers!$A$1:$A$1001, 0))</f>
        <v>No</v>
      </c>
    </row>
    <row r="906" spans="1:16" x14ac:dyDescent="0.25">
      <c r="A906" s="2" t="s">
        <v>5603</v>
      </c>
      <c r="B906" s="3">
        <v>44463</v>
      </c>
      <c r="C906" s="2" t="s">
        <v>5604</v>
      </c>
      <c r="D906" t="s">
        <v>6182</v>
      </c>
      <c r="E906" s="2">
        <v>5</v>
      </c>
      <c r="F906" s="2" t="str">
        <f>IFERROR(INDEX(customers!B$1:B$1001, MATCH(C906, customers!A$1:A$1001, 0)), "Not Found")</f>
        <v>Dorey Sopper</v>
      </c>
      <c r="G906" s="2" t="str">
        <f>IF(IFERROR(INDEX(customers!C$1:C$1001, MATCH(C906, customers!A$1:A$1001, 0)), "Not Found")=0,"",IFERROR(INDEX(customers!C$1:C$1001, MATCH(C906, customers!A$1:A$1001, 0)), "Not Found"))</f>
        <v>dsopperp4@eventbrite.com</v>
      </c>
      <c r="H906" s="2" t="str">
        <f>IFERROR(INDEX(customers!G$1:G$1001, MATCH(C906, customers!A$1:A$1001, 0)), "Not Found")</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L906*E906</f>
        <v>148.92499999999998</v>
      </c>
      <c r="N906" t="str">
        <f>IF(I906="Rob","Robusta",IF(I906="Exc","Excelsa",IF(I906="Ara","Arabica",IF(I906="Lib","Laberica",""))))</f>
        <v>Arabica</v>
      </c>
      <c r="O906" t="str">
        <f t="shared" si="14"/>
        <v>Light</v>
      </c>
      <c r="P906" t="str">
        <f>INDEX(customers!$I$1:$I$1001, MATCH(Orders[[#This Row],[Customer ID]], customers!$A$1:$A$1001, 0))</f>
        <v>No</v>
      </c>
    </row>
    <row r="907" spans="1:16" x14ac:dyDescent="0.25">
      <c r="A907" s="2" t="s">
        <v>5609</v>
      </c>
      <c r="B907" s="3">
        <v>43560</v>
      </c>
      <c r="C907" s="2" t="s">
        <v>5610</v>
      </c>
      <c r="D907" t="s">
        <v>6157</v>
      </c>
      <c r="E907" s="2">
        <v>6</v>
      </c>
      <c r="F907" s="2" t="str">
        <f>IFERROR(INDEX(customers!B$1:B$1001, MATCH(C907, customers!A$1:A$1001, 0)), "Not Found")</f>
        <v>Darcy Lochran</v>
      </c>
      <c r="G907" s="2" t="str">
        <f>IF(IFERROR(INDEX(customers!C$1:C$1001, MATCH(C907, customers!A$1:A$1001, 0)), "Not Found")=0,"",IFERROR(INDEX(customers!C$1:C$1001, MATCH(C907, customers!A$1:A$1001, 0)), "Not Found"))</f>
        <v/>
      </c>
      <c r="H907" s="2" t="str">
        <f>IFERROR(INDEX(customers!G$1:G$1001, MATCH(C907, customers!A$1:A$1001, 0)), "Not Found")</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L907*E907</f>
        <v>40.5</v>
      </c>
      <c r="N907" t="str">
        <f>IF(I907="Rob","Robusta",IF(I907="Exc","Excelsa",IF(I907="Ara","Arabica",IF(I907="Lib","Laberica",""))))</f>
        <v>Arabica</v>
      </c>
      <c r="O907" t="str">
        <f t="shared" si="14"/>
        <v>Medium</v>
      </c>
      <c r="P907" t="str">
        <f>INDEX(customers!$I$1:$I$1001, MATCH(Orders[[#This Row],[Customer ID]], customers!$A$1:$A$1001, 0))</f>
        <v>Yes</v>
      </c>
    </row>
    <row r="908" spans="1:16" x14ac:dyDescent="0.25">
      <c r="A908" s="2" t="s">
        <v>5614</v>
      </c>
      <c r="B908" s="3">
        <v>44588</v>
      </c>
      <c r="C908" s="2" t="s">
        <v>5615</v>
      </c>
      <c r="D908" t="s">
        <v>6157</v>
      </c>
      <c r="E908" s="2">
        <v>4</v>
      </c>
      <c r="F908" s="2" t="str">
        <f>IFERROR(INDEX(customers!B$1:B$1001, MATCH(C908, customers!A$1:A$1001, 0)), "Not Found")</f>
        <v>Lauritz Ledgley</v>
      </c>
      <c r="G908" s="2" t="str">
        <f>IF(IFERROR(INDEX(customers!C$1:C$1001, MATCH(C908, customers!A$1:A$1001, 0)), "Not Found")=0,"",IFERROR(INDEX(customers!C$1:C$1001, MATCH(C908, customers!A$1:A$1001, 0)), "Not Found"))</f>
        <v>lledgleyp6@de.vu</v>
      </c>
      <c r="H908" s="2" t="str">
        <f>IFERROR(INDEX(customers!G$1:G$1001, MATCH(C908, customers!A$1:A$1001, 0)), "Not Found")</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L908*E908</f>
        <v>27</v>
      </c>
      <c r="N908" t="str">
        <f>IF(I908="Rob","Robusta",IF(I908="Exc","Excelsa",IF(I908="Ara","Arabica",IF(I908="Lib","Laberica",""))))</f>
        <v>Arabica</v>
      </c>
      <c r="O908" t="str">
        <f t="shared" si="14"/>
        <v>Medium</v>
      </c>
      <c r="P908" t="str">
        <f>INDEX(customers!$I$1:$I$1001, MATCH(Orders[[#This Row],[Customer ID]], customers!$A$1:$A$1001, 0))</f>
        <v>Yes</v>
      </c>
    </row>
    <row r="909" spans="1:16" x14ac:dyDescent="0.25">
      <c r="A909" s="2" t="s">
        <v>5620</v>
      </c>
      <c r="B909" s="3">
        <v>44449</v>
      </c>
      <c r="C909" s="2" t="s">
        <v>5621</v>
      </c>
      <c r="D909" t="s">
        <v>6143</v>
      </c>
      <c r="E909" s="2">
        <v>3</v>
      </c>
      <c r="F909" s="2" t="str">
        <f>IFERROR(INDEX(customers!B$1:B$1001, MATCH(C909, customers!A$1:A$1001, 0)), "Not Found")</f>
        <v>Tawnya Menary</v>
      </c>
      <c r="G909" s="2" t="str">
        <f>IF(IFERROR(INDEX(customers!C$1:C$1001, MATCH(C909, customers!A$1:A$1001, 0)), "Not Found")=0,"",IFERROR(INDEX(customers!C$1:C$1001, MATCH(C909, customers!A$1:A$1001, 0)), "Not Found"))</f>
        <v>tmenaryp7@phoca.cz</v>
      </c>
      <c r="H909" s="2" t="str">
        <f>IFERROR(INDEX(customers!G$1:G$1001, MATCH(C909, customers!A$1:A$1001, 0)), "Not Found")</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L909*E909</f>
        <v>38.849999999999994</v>
      </c>
      <c r="N909" t="str">
        <f>IF(I909="Rob","Robusta",IF(I909="Exc","Excelsa",IF(I909="Ara","Arabica",IF(I909="Lib","Laberica",""))))</f>
        <v>Laberica</v>
      </c>
      <c r="O909" t="str">
        <f t="shared" si="14"/>
        <v>Dark</v>
      </c>
      <c r="P909" t="str">
        <f>INDEX(customers!$I$1:$I$1001, MATCH(Orders[[#This Row],[Customer ID]], customers!$A$1:$A$1001, 0))</f>
        <v>No</v>
      </c>
    </row>
    <row r="910" spans="1:16" x14ac:dyDescent="0.25">
      <c r="A910" s="2" t="s">
        <v>5626</v>
      </c>
      <c r="B910" s="3">
        <v>43836</v>
      </c>
      <c r="C910" s="2" t="s">
        <v>5627</v>
      </c>
      <c r="D910" t="s">
        <v>6179</v>
      </c>
      <c r="E910" s="2">
        <v>5</v>
      </c>
      <c r="F910" s="2" t="str">
        <f>IFERROR(INDEX(customers!B$1:B$1001, MATCH(C910, customers!A$1:A$1001, 0)), "Not Found")</f>
        <v>Gustaf Ciccotti</v>
      </c>
      <c r="G910" s="2" t="str">
        <f>IF(IFERROR(INDEX(customers!C$1:C$1001, MATCH(C910, customers!A$1:A$1001, 0)), "Not Found")=0,"",IFERROR(INDEX(customers!C$1:C$1001, MATCH(C910, customers!A$1:A$1001, 0)), "Not Found"))</f>
        <v>gciccottip8@so-net.ne.jp</v>
      </c>
      <c r="H910" s="2" t="str">
        <f>IFERROR(INDEX(customers!G$1:G$1001, MATCH(C910, customers!A$1:A$1001, 0)), "Not Found")</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L910*E910</f>
        <v>59.75</v>
      </c>
      <c r="N910" t="str">
        <f>IF(I910="Rob","Robusta",IF(I910="Exc","Excelsa",IF(I910="Ara","Arabica",IF(I910="Lib","Laberica",""))))</f>
        <v>Robusta</v>
      </c>
      <c r="O910" t="str">
        <f t="shared" si="14"/>
        <v>Light</v>
      </c>
      <c r="P910" t="str">
        <f>INDEX(customers!$I$1:$I$1001, MATCH(Orders[[#This Row],[Customer ID]], customers!$A$1:$A$1001, 0))</f>
        <v>No</v>
      </c>
    </row>
    <row r="911" spans="1:16" x14ac:dyDescent="0.25">
      <c r="A911" s="2" t="s">
        <v>5632</v>
      </c>
      <c r="B911" s="3">
        <v>44635</v>
      </c>
      <c r="C911" s="2" t="s">
        <v>5633</v>
      </c>
      <c r="D911" t="s">
        <v>6178</v>
      </c>
      <c r="E911" s="2">
        <v>3</v>
      </c>
      <c r="F911" s="2" t="str">
        <f>IFERROR(INDEX(customers!B$1:B$1001, MATCH(C911, customers!A$1:A$1001, 0)), "Not Found")</f>
        <v>Bobbe Renner</v>
      </c>
      <c r="G911" s="2" t="str">
        <f>IF(IFERROR(INDEX(customers!C$1:C$1001, MATCH(C911, customers!A$1:A$1001, 0)), "Not Found")=0,"",IFERROR(INDEX(customers!C$1:C$1001, MATCH(C911, customers!A$1:A$1001, 0)), "Not Found"))</f>
        <v/>
      </c>
      <c r="H911" s="2" t="str">
        <f>IFERROR(INDEX(customers!G$1:G$1001, MATCH(C911, customers!A$1:A$1001, 0)), "Not Found")</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L911*E911</f>
        <v>10.754999999999999</v>
      </c>
      <c r="N911" t="str">
        <f>IF(I911="Rob","Robusta",IF(I911="Exc","Excelsa",IF(I911="Ara","Arabica",IF(I911="Lib","Laberica",""))))</f>
        <v>Robusta</v>
      </c>
      <c r="O911" t="str">
        <f t="shared" si="14"/>
        <v>Light</v>
      </c>
      <c r="P911" t="str">
        <f>INDEX(customers!$I$1:$I$1001, MATCH(Orders[[#This Row],[Customer ID]], customers!$A$1:$A$1001, 0))</f>
        <v>No</v>
      </c>
    </row>
    <row r="912" spans="1:16" x14ac:dyDescent="0.25">
      <c r="A912" s="2" t="s">
        <v>5637</v>
      </c>
      <c r="B912" s="3">
        <v>44447</v>
      </c>
      <c r="C912" s="2" t="s">
        <v>5638</v>
      </c>
      <c r="D912" t="s">
        <v>6168</v>
      </c>
      <c r="E912" s="2">
        <v>4</v>
      </c>
      <c r="F912" s="2" t="str">
        <f>IFERROR(INDEX(customers!B$1:B$1001, MATCH(C912, customers!A$1:A$1001, 0)), "Not Found")</f>
        <v>Wilton Jallin</v>
      </c>
      <c r="G912" s="2" t="str">
        <f>IF(IFERROR(INDEX(customers!C$1:C$1001, MATCH(C912, customers!A$1:A$1001, 0)), "Not Found")=0,"",IFERROR(INDEX(customers!C$1:C$1001, MATCH(C912, customers!A$1:A$1001, 0)), "Not Found"))</f>
        <v>wjallinpa@pcworld.com</v>
      </c>
      <c r="H912" s="2" t="str">
        <f>IFERROR(INDEX(customers!G$1:G$1001, MATCH(C912, customers!A$1:A$1001, 0)), "Not Found")</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L912*E912</f>
        <v>91.539999999999992</v>
      </c>
      <c r="N912" t="str">
        <f>IF(I912="Rob","Robusta",IF(I912="Exc","Excelsa",IF(I912="Ara","Arabica",IF(I912="Lib","Laberica",""))))</f>
        <v>Arabica</v>
      </c>
      <c r="O912" t="str">
        <f t="shared" si="14"/>
        <v>Dark</v>
      </c>
      <c r="P912" t="str">
        <f>INDEX(customers!$I$1:$I$1001, MATCH(Orders[[#This Row],[Customer ID]], customers!$A$1:$A$1001, 0))</f>
        <v>No</v>
      </c>
    </row>
    <row r="913" spans="1:16" x14ac:dyDescent="0.25">
      <c r="A913" s="2" t="s">
        <v>5643</v>
      </c>
      <c r="B913" s="3">
        <v>44511</v>
      </c>
      <c r="C913" s="2" t="s">
        <v>5644</v>
      </c>
      <c r="D913" t="s">
        <v>6155</v>
      </c>
      <c r="E913" s="2">
        <v>4</v>
      </c>
      <c r="F913" s="2" t="str">
        <f>IFERROR(INDEX(customers!B$1:B$1001, MATCH(C913, customers!A$1:A$1001, 0)), "Not Found")</f>
        <v>Mindy Bogey</v>
      </c>
      <c r="G913" s="2" t="str">
        <f>IF(IFERROR(INDEX(customers!C$1:C$1001, MATCH(C913, customers!A$1:A$1001, 0)), "Not Found")=0,"",IFERROR(INDEX(customers!C$1:C$1001, MATCH(C913, customers!A$1:A$1001, 0)), "Not Found"))</f>
        <v>mbogeypb@thetimes.co.uk</v>
      </c>
      <c r="H913" s="2" t="str">
        <f>IFERROR(INDEX(customers!G$1:G$1001, MATCH(C913, customers!A$1:A$1001, 0)), "Not Found")</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L913*E913</f>
        <v>45</v>
      </c>
      <c r="N913" t="str">
        <f>IF(I913="Rob","Robusta",IF(I913="Exc","Excelsa",IF(I913="Ara","Arabica",IF(I913="Lib","Laberica",""))))</f>
        <v>Arabica</v>
      </c>
      <c r="O913" t="str">
        <f t="shared" si="14"/>
        <v>Medium</v>
      </c>
      <c r="P913" t="str">
        <f>INDEX(customers!$I$1:$I$1001, MATCH(Orders[[#This Row],[Customer ID]], customers!$A$1:$A$1001, 0))</f>
        <v>Yes</v>
      </c>
    </row>
    <row r="914" spans="1:16" x14ac:dyDescent="0.25">
      <c r="A914" s="2" t="s">
        <v>5649</v>
      </c>
      <c r="B914" s="3">
        <v>43726</v>
      </c>
      <c r="C914" s="2" t="s">
        <v>5650</v>
      </c>
      <c r="D914" t="s">
        <v>6151</v>
      </c>
      <c r="E914" s="2">
        <v>6</v>
      </c>
      <c r="F914" s="2" t="str">
        <f>IFERROR(INDEX(customers!B$1:B$1001, MATCH(C914, customers!A$1:A$1001, 0)), "Not Found")</f>
        <v>Paulie Fonzone</v>
      </c>
      <c r="G914" s="2" t="str">
        <f>IF(IFERROR(INDEX(customers!C$1:C$1001, MATCH(C914, customers!A$1:A$1001, 0)), "Not Found")=0,"",IFERROR(INDEX(customers!C$1:C$1001, MATCH(C914, customers!A$1:A$1001, 0)), "Not Found"))</f>
        <v/>
      </c>
      <c r="H914" s="2" t="str">
        <f>IFERROR(INDEX(customers!G$1:G$1001, MATCH(C914, customers!A$1:A$1001, 0)), "Not Found")</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L914*E914</f>
        <v>137.31</v>
      </c>
      <c r="N914" t="str">
        <f>IF(I914="Rob","Robusta",IF(I914="Exc","Excelsa",IF(I914="Ara","Arabica",IF(I914="Lib","Laberica",""))))</f>
        <v>Robusta</v>
      </c>
      <c r="O914" t="str">
        <f t="shared" si="14"/>
        <v>Medium</v>
      </c>
      <c r="P914" t="str">
        <f>INDEX(customers!$I$1:$I$1001, MATCH(Orders[[#This Row],[Customer ID]], customers!$A$1:$A$1001, 0))</f>
        <v>Yes</v>
      </c>
    </row>
    <row r="915" spans="1:16" x14ac:dyDescent="0.25">
      <c r="A915" s="2" t="s">
        <v>5654</v>
      </c>
      <c r="B915" s="3">
        <v>44406</v>
      </c>
      <c r="C915" s="2" t="s">
        <v>5655</v>
      </c>
      <c r="D915" t="s">
        <v>6157</v>
      </c>
      <c r="E915" s="2">
        <v>1</v>
      </c>
      <c r="F915" s="2" t="str">
        <f>IFERROR(INDEX(customers!B$1:B$1001, MATCH(C915, customers!A$1:A$1001, 0)), "Not Found")</f>
        <v>Merrile Cobbledick</v>
      </c>
      <c r="G915" s="2" t="str">
        <f>IF(IFERROR(INDEX(customers!C$1:C$1001, MATCH(C915, customers!A$1:A$1001, 0)), "Not Found")=0,"",IFERROR(INDEX(customers!C$1:C$1001, MATCH(C915, customers!A$1:A$1001, 0)), "Not Found"))</f>
        <v>mcobbledickpd@ucsd.edu</v>
      </c>
      <c r="H915" s="2" t="str">
        <f>IFERROR(INDEX(customers!G$1:G$1001, MATCH(C915, customers!A$1:A$1001, 0)), "Not Found")</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L915*E915</f>
        <v>6.75</v>
      </c>
      <c r="N915" t="str">
        <f>IF(I915="Rob","Robusta",IF(I915="Exc","Excelsa",IF(I915="Ara","Arabica",IF(I915="Lib","Laberica",""))))</f>
        <v>Arabica</v>
      </c>
      <c r="O915" t="str">
        <f t="shared" si="14"/>
        <v>Medium</v>
      </c>
      <c r="P915" t="str">
        <f>INDEX(customers!$I$1:$I$1001, MATCH(Orders[[#This Row],[Customer ID]], customers!$A$1:$A$1001, 0))</f>
        <v>No</v>
      </c>
    </row>
    <row r="916" spans="1:16" x14ac:dyDescent="0.25">
      <c r="A916" s="2" t="s">
        <v>5660</v>
      </c>
      <c r="B916" s="3">
        <v>44640</v>
      </c>
      <c r="C916" s="2" t="s">
        <v>5661</v>
      </c>
      <c r="D916" t="s">
        <v>6155</v>
      </c>
      <c r="E916" s="2">
        <v>4</v>
      </c>
      <c r="F916" s="2" t="str">
        <f>IFERROR(INDEX(customers!B$1:B$1001, MATCH(C916, customers!A$1:A$1001, 0)), "Not Found")</f>
        <v>Antonius Lewry</v>
      </c>
      <c r="G916" s="2" t="str">
        <f>IF(IFERROR(INDEX(customers!C$1:C$1001, MATCH(C916, customers!A$1:A$1001, 0)), "Not Found")=0,"",IFERROR(INDEX(customers!C$1:C$1001, MATCH(C916, customers!A$1:A$1001, 0)), "Not Found"))</f>
        <v>alewrype@whitehouse.gov</v>
      </c>
      <c r="H916" s="2" t="str">
        <f>IFERROR(INDEX(customers!G$1:G$1001, MATCH(C916, customers!A$1:A$1001, 0)), "Not Found")</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L916*E916</f>
        <v>45</v>
      </c>
      <c r="N916" t="str">
        <f>IF(I916="Rob","Robusta",IF(I916="Exc","Excelsa",IF(I916="Ara","Arabica",IF(I916="Lib","Laberica",""))))</f>
        <v>Arabica</v>
      </c>
      <c r="O916" t="str">
        <f t="shared" si="14"/>
        <v>Medium</v>
      </c>
      <c r="P916" t="str">
        <f>INDEX(customers!$I$1:$I$1001, MATCH(Orders[[#This Row],[Customer ID]], customers!$A$1:$A$1001, 0))</f>
        <v>No</v>
      </c>
    </row>
    <row r="917" spans="1:16" x14ac:dyDescent="0.25">
      <c r="A917" s="2" t="s">
        <v>5666</v>
      </c>
      <c r="B917" s="3">
        <v>43955</v>
      </c>
      <c r="C917" s="2" t="s">
        <v>5667</v>
      </c>
      <c r="D917" t="s">
        <v>6185</v>
      </c>
      <c r="E917" s="2">
        <v>3</v>
      </c>
      <c r="F917" s="2" t="str">
        <f>IFERROR(INDEX(customers!B$1:B$1001, MATCH(C917, customers!A$1:A$1001, 0)), "Not Found")</f>
        <v>Isis Hessel</v>
      </c>
      <c r="G917" s="2" t="str">
        <f>IF(IFERROR(INDEX(customers!C$1:C$1001, MATCH(C917, customers!A$1:A$1001, 0)), "Not Found")=0,"",IFERROR(INDEX(customers!C$1:C$1001, MATCH(C917, customers!A$1:A$1001, 0)), "Not Found"))</f>
        <v>ihesselpf@ox.ac.uk</v>
      </c>
      <c r="H917" s="2" t="str">
        <f>IFERROR(INDEX(customers!G$1:G$1001, MATCH(C917, customers!A$1:A$1001, 0)), "Not Found")</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L917*E917</f>
        <v>83.835000000000008</v>
      </c>
      <c r="N917" t="str">
        <f>IF(I917="Rob","Robusta",IF(I917="Exc","Excelsa",IF(I917="Ara","Arabica",IF(I917="Lib","Laberica",""))))</f>
        <v>Excelsa</v>
      </c>
      <c r="O917" t="str">
        <f t="shared" si="14"/>
        <v>Dark</v>
      </c>
      <c r="P917" t="str">
        <f>INDEX(customers!$I$1:$I$1001, MATCH(Orders[[#This Row],[Customer ID]], customers!$A$1:$A$1001, 0))</f>
        <v>Yes</v>
      </c>
    </row>
    <row r="918" spans="1:16" x14ac:dyDescent="0.25">
      <c r="A918" s="2" t="s">
        <v>5672</v>
      </c>
      <c r="B918" s="3">
        <v>44291</v>
      </c>
      <c r="C918" s="2" t="s">
        <v>5673</v>
      </c>
      <c r="D918" t="s">
        <v>6153</v>
      </c>
      <c r="E918" s="2">
        <v>1</v>
      </c>
      <c r="F918" s="2" t="str">
        <f>IFERROR(INDEX(customers!B$1:B$1001, MATCH(C918, customers!A$1:A$1001, 0)), "Not Found")</f>
        <v>Harland Trematick</v>
      </c>
      <c r="G918" s="2" t="str">
        <f>IF(IFERROR(INDEX(customers!C$1:C$1001, MATCH(C918, customers!A$1:A$1001, 0)), "Not Found")=0,"",IFERROR(INDEX(customers!C$1:C$1001, MATCH(C918, customers!A$1:A$1001, 0)), "Not Found"))</f>
        <v/>
      </c>
      <c r="H918" s="2" t="str">
        <f>IFERROR(INDEX(customers!G$1:G$1001, MATCH(C918, customers!A$1:A$1001, 0)), "Not Found")</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L918*E918</f>
        <v>3.645</v>
      </c>
      <c r="N918" t="str">
        <f>IF(I918="Rob","Robusta",IF(I918="Exc","Excelsa",IF(I918="Ara","Arabica",IF(I918="Lib","Laberica",""))))</f>
        <v>Excelsa</v>
      </c>
      <c r="O918" t="str">
        <f t="shared" si="14"/>
        <v>Dark</v>
      </c>
      <c r="P918" t="str">
        <f>INDEX(customers!$I$1:$I$1001, MATCH(Orders[[#This Row],[Customer ID]], customers!$A$1:$A$1001, 0))</f>
        <v>Yes</v>
      </c>
    </row>
    <row r="919" spans="1:16" x14ac:dyDescent="0.25">
      <c r="A919" s="2" t="s">
        <v>5676</v>
      </c>
      <c r="B919" s="3">
        <v>44573</v>
      </c>
      <c r="C919" s="2" t="s">
        <v>5677</v>
      </c>
      <c r="D919" t="s">
        <v>6157</v>
      </c>
      <c r="E919" s="2">
        <v>1</v>
      </c>
      <c r="F919" s="2" t="str">
        <f>IFERROR(INDEX(customers!B$1:B$1001, MATCH(C919, customers!A$1:A$1001, 0)), "Not Found")</f>
        <v>Chloris Sorrell</v>
      </c>
      <c r="G919" s="2" t="str">
        <f>IF(IFERROR(INDEX(customers!C$1:C$1001, MATCH(C919, customers!A$1:A$1001, 0)), "Not Found")=0,"",IFERROR(INDEX(customers!C$1:C$1001, MATCH(C919, customers!A$1:A$1001, 0)), "Not Found"))</f>
        <v>csorrellph@amazon.com</v>
      </c>
      <c r="H919" s="2" t="str">
        <f>IFERROR(INDEX(customers!G$1:G$1001, MATCH(C919, customers!A$1:A$1001, 0)), "Not Found")</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L919*E919</f>
        <v>6.75</v>
      </c>
      <c r="N919" t="str">
        <f>IF(I919="Rob","Robusta",IF(I919="Exc","Excelsa",IF(I919="Ara","Arabica",IF(I919="Lib","Laberica",""))))</f>
        <v>Arabica</v>
      </c>
      <c r="O919" t="str">
        <f t="shared" si="14"/>
        <v>Medium</v>
      </c>
      <c r="P919" t="str">
        <f>INDEX(customers!$I$1:$I$1001, MATCH(Orders[[#This Row],[Customer ID]], customers!$A$1:$A$1001, 0))</f>
        <v>No</v>
      </c>
    </row>
    <row r="920" spans="1:16" x14ac:dyDescent="0.25">
      <c r="A920" s="2" t="s">
        <v>5676</v>
      </c>
      <c r="B920" s="3">
        <v>44573</v>
      </c>
      <c r="C920" s="2" t="s">
        <v>5677</v>
      </c>
      <c r="D920" t="s">
        <v>6144</v>
      </c>
      <c r="E920" s="2">
        <v>3</v>
      </c>
      <c r="F920" s="2" t="str">
        <f>IFERROR(INDEX(customers!B$1:B$1001, MATCH(C920, customers!A$1:A$1001, 0)), "Not Found")</f>
        <v>Chloris Sorrell</v>
      </c>
      <c r="G920" s="2" t="str">
        <f>IF(IFERROR(INDEX(customers!C$1:C$1001, MATCH(C920, customers!A$1:A$1001, 0)), "Not Found")=0,"",IFERROR(INDEX(customers!C$1:C$1001, MATCH(C920, customers!A$1:A$1001, 0)), "Not Found"))</f>
        <v>csorrellph@amazon.com</v>
      </c>
      <c r="H920" s="2" t="str">
        <f>IFERROR(INDEX(customers!G$1:G$1001, MATCH(C920, customers!A$1:A$1001, 0)), "Not Found")</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L920*E920</f>
        <v>21.87</v>
      </c>
      <c r="N920" t="str">
        <f>IF(I920="Rob","Robusta",IF(I920="Exc","Excelsa",IF(I920="Ara","Arabica",IF(I920="Lib","Laberica",""))))</f>
        <v>Excelsa</v>
      </c>
      <c r="O920" t="str">
        <f t="shared" si="14"/>
        <v>Dark</v>
      </c>
      <c r="P920" t="str">
        <f>INDEX(customers!$I$1:$I$1001, MATCH(Orders[[#This Row],[Customer ID]], customers!$A$1:$A$1001, 0))</f>
        <v>No</v>
      </c>
    </row>
    <row r="921" spans="1:16" x14ac:dyDescent="0.25">
      <c r="A921" s="2" t="s">
        <v>5687</v>
      </c>
      <c r="B921" s="3">
        <v>44181</v>
      </c>
      <c r="C921" s="2" t="s">
        <v>5688</v>
      </c>
      <c r="D921" t="s">
        <v>6163</v>
      </c>
      <c r="E921" s="2">
        <v>5</v>
      </c>
      <c r="F921" s="2" t="str">
        <f>IFERROR(INDEX(customers!B$1:B$1001, MATCH(C921, customers!A$1:A$1001, 0)), "Not Found")</f>
        <v>Quintina Heavyside</v>
      </c>
      <c r="G921" s="2" t="str">
        <f>IF(IFERROR(INDEX(customers!C$1:C$1001, MATCH(C921, customers!A$1:A$1001, 0)), "Not Found")=0,"",IFERROR(INDEX(customers!C$1:C$1001, MATCH(C921, customers!A$1:A$1001, 0)), "Not Found"))</f>
        <v>qheavysidepj@unc.edu</v>
      </c>
      <c r="H921" s="2" t="str">
        <f>IFERROR(INDEX(customers!G$1:G$1001, MATCH(C921, customers!A$1:A$1001, 0)), "Not Found")</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L921*E921</f>
        <v>13.424999999999997</v>
      </c>
      <c r="N921" t="str">
        <f>IF(I921="Rob","Robusta",IF(I921="Exc","Excelsa",IF(I921="Ara","Arabica",IF(I921="Lib","Laberica",""))))</f>
        <v>Robusta</v>
      </c>
      <c r="O921" t="str">
        <f t="shared" si="14"/>
        <v>Dark</v>
      </c>
      <c r="P921" t="str">
        <f>INDEX(customers!$I$1:$I$1001, MATCH(Orders[[#This Row],[Customer ID]], customers!$A$1:$A$1001, 0))</f>
        <v>Yes</v>
      </c>
    </row>
    <row r="922" spans="1:16" x14ac:dyDescent="0.25">
      <c r="A922" s="2" t="s">
        <v>5693</v>
      </c>
      <c r="B922" s="3">
        <v>44711</v>
      </c>
      <c r="C922" s="2" t="s">
        <v>5694</v>
      </c>
      <c r="D922" t="s">
        <v>6149</v>
      </c>
      <c r="E922" s="2">
        <v>6</v>
      </c>
      <c r="F922" s="2" t="str">
        <f>IFERROR(INDEX(customers!B$1:B$1001, MATCH(C922, customers!A$1:A$1001, 0)), "Not Found")</f>
        <v>Hadley Reuven</v>
      </c>
      <c r="G922" s="2" t="str">
        <f>IF(IFERROR(INDEX(customers!C$1:C$1001, MATCH(C922, customers!A$1:A$1001, 0)), "Not Found")=0,"",IFERROR(INDEX(customers!C$1:C$1001, MATCH(C922, customers!A$1:A$1001, 0)), "Not Found"))</f>
        <v>hreuvenpk@whitehouse.gov</v>
      </c>
      <c r="H922" s="2" t="str">
        <f>IFERROR(INDEX(customers!G$1:G$1001, MATCH(C922, customers!A$1:A$1001, 0)), "Not Found")</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L922*E922</f>
        <v>123.50999999999999</v>
      </c>
      <c r="N922" t="str">
        <f>IF(I922="Rob","Robusta",IF(I922="Exc","Excelsa",IF(I922="Ara","Arabica",IF(I922="Lib","Laberica",""))))</f>
        <v>Robusta</v>
      </c>
      <c r="O922" t="str">
        <f t="shared" si="14"/>
        <v>Dark</v>
      </c>
      <c r="P922" t="str">
        <f>INDEX(customers!$I$1:$I$1001, MATCH(Orders[[#This Row],[Customer ID]], customers!$A$1:$A$1001, 0))</f>
        <v>No</v>
      </c>
    </row>
    <row r="923" spans="1:16" x14ac:dyDescent="0.25">
      <c r="A923" s="2" t="s">
        <v>5699</v>
      </c>
      <c r="B923" s="3">
        <v>44509</v>
      </c>
      <c r="C923" s="2" t="s">
        <v>5700</v>
      </c>
      <c r="D923" t="s">
        <v>6150</v>
      </c>
      <c r="E923" s="2">
        <v>2</v>
      </c>
      <c r="F923" s="2" t="str">
        <f>IFERROR(INDEX(customers!B$1:B$1001, MATCH(C923, customers!A$1:A$1001, 0)), "Not Found")</f>
        <v>Mitch Attwool</v>
      </c>
      <c r="G923" s="2" t="str">
        <f>IF(IFERROR(INDEX(customers!C$1:C$1001, MATCH(C923, customers!A$1:A$1001, 0)), "Not Found")=0,"",IFERROR(INDEX(customers!C$1:C$1001, MATCH(C923, customers!A$1:A$1001, 0)), "Not Found"))</f>
        <v>mattwoolpl@nba.com</v>
      </c>
      <c r="H923" s="2" t="str">
        <f>IFERROR(INDEX(customers!G$1:G$1001, MATCH(C923, customers!A$1:A$1001, 0)), "Not Found")</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L923*E923</f>
        <v>7.77</v>
      </c>
      <c r="N923" t="str">
        <f>IF(I923="Rob","Robusta",IF(I923="Exc","Excelsa",IF(I923="Ara","Arabica",IF(I923="Lib","Laberica",""))))</f>
        <v>Laberica</v>
      </c>
      <c r="O923" t="str">
        <f t="shared" si="14"/>
        <v>Dark</v>
      </c>
      <c r="P923" t="str">
        <f>INDEX(customers!$I$1:$I$1001, MATCH(Orders[[#This Row],[Customer ID]], customers!$A$1:$A$1001, 0))</f>
        <v>No</v>
      </c>
    </row>
    <row r="924" spans="1:16" x14ac:dyDescent="0.25">
      <c r="A924" s="2" t="s">
        <v>5705</v>
      </c>
      <c r="B924" s="3">
        <v>44659</v>
      </c>
      <c r="C924" s="2" t="s">
        <v>5706</v>
      </c>
      <c r="D924" t="s">
        <v>6155</v>
      </c>
      <c r="E924" s="2">
        <v>6</v>
      </c>
      <c r="F924" s="2" t="str">
        <f>IFERROR(INDEX(customers!B$1:B$1001, MATCH(C924, customers!A$1:A$1001, 0)), "Not Found")</f>
        <v>Charin Maplethorp</v>
      </c>
      <c r="G924" s="2" t="str">
        <f>IF(IFERROR(INDEX(customers!C$1:C$1001, MATCH(C924, customers!A$1:A$1001, 0)), "Not Found")=0,"",IFERROR(INDEX(customers!C$1:C$1001, MATCH(C924, customers!A$1:A$1001, 0)), "Not Found"))</f>
        <v/>
      </c>
      <c r="H924" s="2" t="str">
        <f>IFERROR(INDEX(customers!G$1:G$1001, MATCH(C924, customers!A$1:A$1001, 0)), "Not Found")</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L924*E924</f>
        <v>67.5</v>
      </c>
      <c r="N924" t="str">
        <f>IF(I924="Rob","Robusta",IF(I924="Exc","Excelsa",IF(I924="Ara","Arabica",IF(I924="Lib","Laberica",""))))</f>
        <v>Arabica</v>
      </c>
      <c r="O924" t="str">
        <f t="shared" si="14"/>
        <v>Medium</v>
      </c>
      <c r="P924" t="str">
        <f>INDEX(customers!$I$1:$I$1001, MATCH(Orders[[#This Row],[Customer ID]], customers!$A$1:$A$1001, 0))</f>
        <v>Yes</v>
      </c>
    </row>
    <row r="925" spans="1:16" x14ac:dyDescent="0.25">
      <c r="A925" s="2" t="s">
        <v>5709</v>
      </c>
      <c r="B925" s="3">
        <v>43746</v>
      </c>
      <c r="C925" s="2" t="s">
        <v>5710</v>
      </c>
      <c r="D925" t="s">
        <v>6185</v>
      </c>
      <c r="E925" s="2">
        <v>1</v>
      </c>
      <c r="F925" s="2" t="str">
        <f>IFERROR(INDEX(customers!B$1:B$1001, MATCH(C925, customers!A$1:A$1001, 0)), "Not Found")</f>
        <v>Goldie Wynes</v>
      </c>
      <c r="G925" s="2" t="str">
        <f>IF(IFERROR(INDEX(customers!C$1:C$1001, MATCH(C925, customers!A$1:A$1001, 0)), "Not Found")=0,"",IFERROR(INDEX(customers!C$1:C$1001, MATCH(C925, customers!A$1:A$1001, 0)), "Not Found"))</f>
        <v>gwynespn@dagondesign.com</v>
      </c>
      <c r="H925" s="2" t="str">
        <f>IFERROR(INDEX(customers!G$1:G$1001, MATCH(C925, customers!A$1:A$1001, 0)), "Not Found")</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L925*E925</f>
        <v>27.945</v>
      </c>
      <c r="N925" t="str">
        <f>IF(I925="Rob","Robusta",IF(I925="Exc","Excelsa",IF(I925="Ara","Arabica",IF(I925="Lib","Laberica",""))))</f>
        <v>Excelsa</v>
      </c>
      <c r="O925" t="str">
        <f t="shared" si="14"/>
        <v>Dark</v>
      </c>
      <c r="P925" t="str">
        <f>INDEX(customers!$I$1:$I$1001, MATCH(Orders[[#This Row],[Customer ID]], customers!$A$1:$A$1001, 0))</f>
        <v>No</v>
      </c>
    </row>
    <row r="926" spans="1:16" x14ac:dyDescent="0.25">
      <c r="A926" s="2" t="s">
        <v>5715</v>
      </c>
      <c r="B926" s="3">
        <v>44451</v>
      </c>
      <c r="C926" s="2" t="s">
        <v>5716</v>
      </c>
      <c r="D926" t="s">
        <v>6182</v>
      </c>
      <c r="E926" s="2">
        <v>3</v>
      </c>
      <c r="F926" s="2" t="str">
        <f>IFERROR(INDEX(customers!B$1:B$1001, MATCH(C926, customers!A$1:A$1001, 0)), "Not Found")</f>
        <v>Celie MacCourt</v>
      </c>
      <c r="G926" s="2" t="str">
        <f>IF(IFERROR(INDEX(customers!C$1:C$1001, MATCH(C926, customers!A$1:A$1001, 0)), "Not Found")=0,"",IFERROR(INDEX(customers!C$1:C$1001, MATCH(C926, customers!A$1:A$1001, 0)), "Not Found"))</f>
        <v>cmaccourtpo@amazon.com</v>
      </c>
      <c r="H926" s="2" t="str">
        <f>IFERROR(INDEX(customers!G$1:G$1001, MATCH(C926, customers!A$1:A$1001, 0)), "Not Found")</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L926*E926</f>
        <v>89.35499999999999</v>
      </c>
      <c r="N926" t="str">
        <f>IF(I926="Rob","Robusta",IF(I926="Exc","Excelsa",IF(I926="Ara","Arabica",IF(I926="Lib","Laberica",""))))</f>
        <v>Arabica</v>
      </c>
      <c r="O926" t="str">
        <f t="shared" si="14"/>
        <v>Light</v>
      </c>
      <c r="P926" t="str">
        <f>INDEX(customers!$I$1:$I$1001, MATCH(Orders[[#This Row],[Customer ID]], customers!$A$1:$A$1001, 0))</f>
        <v>No</v>
      </c>
    </row>
    <row r="927" spans="1:16" x14ac:dyDescent="0.25">
      <c r="A927" s="2" t="s">
        <v>5720</v>
      </c>
      <c r="B927" s="3">
        <v>44770</v>
      </c>
      <c r="C927" s="2" t="s">
        <v>5554</v>
      </c>
      <c r="D927" t="s">
        <v>6157</v>
      </c>
      <c r="E927" s="2">
        <v>3</v>
      </c>
      <c r="F927" s="2" t="str">
        <f>IFERROR(INDEX(customers!B$1:B$1001, MATCH(C927, customers!A$1:A$1001, 0)), "Not Found")</f>
        <v>Derick Snow</v>
      </c>
      <c r="G927" s="2" t="str">
        <f>IF(IFERROR(INDEX(customers!C$1:C$1001, MATCH(C927, customers!A$1:A$1001, 0)), "Not Found")=0,"",IFERROR(INDEX(customers!C$1:C$1001, MATCH(C927, customers!A$1:A$1001, 0)), "Not Found"))</f>
        <v/>
      </c>
      <c r="H927" s="2" t="str">
        <f>IFERROR(INDEX(customers!G$1:G$1001, MATCH(C927, customers!A$1:A$1001, 0)), "Not Found")</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L927*E927</f>
        <v>20.25</v>
      </c>
      <c r="N927" t="str">
        <f>IF(I927="Rob","Robusta",IF(I927="Exc","Excelsa",IF(I927="Ara","Arabica",IF(I927="Lib","Laberica",""))))</f>
        <v>Arabica</v>
      </c>
      <c r="O927" t="str">
        <f t="shared" si="14"/>
        <v>Medium</v>
      </c>
      <c r="P927" t="str">
        <f>INDEX(customers!$I$1:$I$1001, MATCH(Orders[[#This Row],[Customer ID]], customers!$A$1:$A$1001, 0))</f>
        <v>No</v>
      </c>
    </row>
    <row r="928" spans="1:16" x14ac:dyDescent="0.25">
      <c r="A928" s="2" t="s">
        <v>5725</v>
      </c>
      <c r="B928" s="3">
        <v>44012</v>
      </c>
      <c r="C928" s="2" t="s">
        <v>5726</v>
      </c>
      <c r="D928" t="s">
        <v>6157</v>
      </c>
      <c r="E928" s="2">
        <v>5</v>
      </c>
      <c r="F928" s="2" t="str">
        <f>IFERROR(INDEX(customers!B$1:B$1001, MATCH(C928, customers!A$1:A$1001, 0)), "Not Found")</f>
        <v>Evy Wilsone</v>
      </c>
      <c r="G928" s="2" t="str">
        <f>IF(IFERROR(INDEX(customers!C$1:C$1001, MATCH(C928, customers!A$1:A$1001, 0)), "Not Found")=0,"",IFERROR(INDEX(customers!C$1:C$1001, MATCH(C928, customers!A$1:A$1001, 0)), "Not Found"))</f>
        <v>ewilsonepq@eepurl.com</v>
      </c>
      <c r="H928" s="2" t="str">
        <f>IFERROR(INDEX(customers!G$1:G$1001, MATCH(C928, customers!A$1:A$1001, 0)), "Not Found")</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L928*E928</f>
        <v>33.75</v>
      </c>
      <c r="N928" t="str">
        <f>IF(I928="Rob","Robusta",IF(I928="Exc","Excelsa",IF(I928="Ara","Arabica",IF(I928="Lib","Laberica",""))))</f>
        <v>Arabica</v>
      </c>
      <c r="O928" t="str">
        <f t="shared" si="14"/>
        <v>Medium</v>
      </c>
      <c r="P928" t="str">
        <f>INDEX(customers!$I$1:$I$1001, MATCH(Orders[[#This Row],[Customer ID]], customers!$A$1:$A$1001, 0))</f>
        <v>Yes</v>
      </c>
    </row>
    <row r="929" spans="1:16" x14ac:dyDescent="0.25">
      <c r="A929" s="2" t="s">
        <v>5731</v>
      </c>
      <c r="B929" s="3">
        <v>43474</v>
      </c>
      <c r="C929" s="2" t="s">
        <v>5732</v>
      </c>
      <c r="D929" t="s">
        <v>6185</v>
      </c>
      <c r="E929" s="2">
        <v>4</v>
      </c>
      <c r="F929" s="2" t="str">
        <f>IFERROR(INDEX(customers!B$1:B$1001, MATCH(C929, customers!A$1:A$1001, 0)), "Not Found")</f>
        <v>Dolores Duffie</v>
      </c>
      <c r="G929" s="2" t="str">
        <f>IF(IFERROR(INDEX(customers!C$1:C$1001, MATCH(C929, customers!A$1:A$1001, 0)), "Not Found")=0,"",IFERROR(INDEX(customers!C$1:C$1001, MATCH(C929, customers!A$1:A$1001, 0)), "Not Found"))</f>
        <v>dduffiepr@time.com</v>
      </c>
      <c r="H929" s="2" t="str">
        <f>IFERROR(INDEX(customers!G$1:G$1001, MATCH(C929, customers!A$1:A$1001, 0)), "Not Found")</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L929*E929</f>
        <v>111.78</v>
      </c>
      <c r="N929" t="str">
        <f>IF(I929="Rob","Robusta",IF(I929="Exc","Excelsa",IF(I929="Ara","Arabica",IF(I929="Lib","Laberica",""))))</f>
        <v>Excelsa</v>
      </c>
      <c r="O929" t="str">
        <f t="shared" si="14"/>
        <v>Dark</v>
      </c>
      <c r="P929" t="str">
        <f>INDEX(customers!$I$1:$I$1001, MATCH(Orders[[#This Row],[Customer ID]], customers!$A$1:$A$1001, 0))</f>
        <v>No</v>
      </c>
    </row>
    <row r="930" spans="1:16" x14ac:dyDescent="0.25">
      <c r="A930" s="2" t="s">
        <v>5737</v>
      </c>
      <c r="B930" s="3">
        <v>44754</v>
      </c>
      <c r="C930" s="2" t="s">
        <v>5738</v>
      </c>
      <c r="D930" t="s">
        <v>6166</v>
      </c>
      <c r="E930" s="2">
        <v>2</v>
      </c>
      <c r="F930" s="2" t="str">
        <f>IFERROR(INDEX(customers!B$1:B$1001, MATCH(C930, customers!A$1:A$1001, 0)), "Not Found")</f>
        <v>Mathilda Matiasek</v>
      </c>
      <c r="G930" s="2" t="str">
        <f>IF(IFERROR(INDEX(customers!C$1:C$1001, MATCH(C930, customers!A$1:A$1001, 0)), "Not Found")=0,"",IFERROR(INDEX(customers!C$1:C$1001, MATCH(C930, customers!A$1:A$1001, 0)), "Not Found"))</f>
        <v>mmatiasekps@ucoz.ru</v>
      </c>
      <c r="H930" s="2" t="str">
        <f>IFERROR(INDEX(customers!G$1:G$1001, MATCH(C930, customers!A$1:A$1001, 0)), "Not Found")</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L930*E930</f>
        <v>63.249999999999993</v>
      </c>
      <c r="N930" t="str">
        <f>IF(I930="Rob","Robusta",IF(I930="Exc","Excelsa",IF(I930="Ara","Arabica",IF(I930="Lib","Laberica",""))))</f>
        <v>Excelsa</v>
      </c>
      <c r="O930" t="str">
        <f t="shared" si="14"/>
        <v>Medium</v>
      </c>
      <c r="P930" t="str">
        <f>INDEX(customers!$I$1:$I$1001, MATCH(Orders[[#This Row],[Customer ID]], customers!$A$1:$A$1001, 0))</f>
        <v>Yes</v>
      </c>
    </row>
    <row r="931" spans="1:16" x14ac:dyDescent="0.25">
      <c r="A931" s="2" t="s">
        <v>5742</v>
      </c>
      <c r="B931" s="3">
        <v>44165</v>
      </c>
      <c r="C931" s="2" t="s">
        <v>5743</v>
      </c>
      <c r="D931" t="s">
        <v>6184</v>
      </c>
      <c r="E931" s="2">
        <v>2</v>
      </c>
      <c r="F931" s="2" t="str">
        <f>IFERROR(INDEX(customers!B$1:B$1001, MATCH(C931, customers!A$1:A$1001, 0)), "Not Found")</f>
        <v>Jarred Camillo</v>
      </c>
      <c r="G931" s="2" t="str">
        <f>IF(IFERROR(INDEX(customers!C$1:C$1001, MATCH(C931, customers!A$1:A$1001, 0)), "Not Found")=0,"",IFERROR(INDEX(customers!C$1:C$1001, MATCH(C931, customers!A$1:A$1001, 0)), "Not Found"))</f>
        <v>jcamillopt@shinystat.com</v>
      </c>
      <c r="H931" s="2" t="str">
        <f>IFERROR(INDEX(customers!G$1:G$1001, MATCH(C931, customers!A$1:A$1001, 0)), "Not Found")</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L931*E931</f>
        <v>8.91</v>
      </c>
      <c r="N931" t="str">
        <f>IF(I931="Rob","Robusta",IF(I931="Exc","Excelsa",IF(I931="Ara","Arabica",IF(I931="Lib","Laberica",""))))</f>
        <v>Excelsa</v>
      </c>
      <c r="O931" t="str">
        <f t="shared" si="14"/>
        <v>Light</v>
      </c>
      <c r="P931" t="str">
        <f>INDEX(customers!$I$1:$I$1001, MATCH(Orders[[#This Row],[Customer ID]], customers!$A$1:$A$1001, 0))</f>
        <v>Yes</v>
      </c>
    </row>
    <row r="932" spans="1:16" x14ac:dyDescent="0.25">
      <c r="A932" s="2" t="s">
        <v>5748</v>
      </c>
      <c r="B932" s="3">
        <v>43546</v>
      </c>
      <c r="C932" s="2" t="s">
        <v>5749</v>
      </c>
      <c r="D932" t="s">
        <v>6183</v>
      </c>
      <c r="E932" s="2">
        <v>1</v>
      </c>
      <c r="F932" s="2" t="str">
        <f>IFERROR(INDEX(customers!B$1:B$1001, MATCH(C932, customers!A$1:A$1001, 0)), "Not Found")</f>
        <v>Kameko Philbrick</v>
      </c>
      <c r="G932" s="2" t="str">
        <f>IF(IFERROR(INDEX(customers!C$1:C$1001, MATCH(C932, customers!A$1:A$1001, 0)), "Not Found")=0,"",IFERROR(INDEX(customers!C$1:C$1001, MATCH(C932, customers!A$1:A$1001, 0)), "Not Found"))</f>
        <v>kphilbrickpu@cdc.gov</v>
      </c>
      <c r="H932" s="2" t="str">
        <f>IFERROR(INDEX(customers!G$1:G$1001, MATCH(C932, customers!A$1:A$1001, 0)), "Not Found")</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L932*E932</f>
        <v>12.15</v>
      </c>
      <c r="N932" t="str">
        <f>IF(I932="Rob","Robusta",IF(I932="Exc","Excelsa",IF(I932="Ara","Arabica",IF(I932="Lib","Laberica",""))))</f>
        <v>Excelsa</v>
      </c>
      <c r="O932" t="str">
        <f t="shared" si="14"/>
        <v>Dark</v>
      </c>
      <c r="P932" t="str">
        <f>INDEX(customers!$I$1:$I$1001, MATCH(Orders[[#This Row],[Customer ID]], customers!$A$1:$A$1001, 0))</f>
        <v>Yes</v>
      </c>
    </row>
    <row r="933" spans="1:16" x14ac:dyDescent="0.25">
      <c r="A933" s="2" t="s">
        <v>5753</v>
      </c>
      <c r="B933" s="3">
        <v>44607</v>
      </c>
      <c r="C933" s="2" t="s">
        <v>5754</v>
      </c>
      <c r="D933" t="s">
        <v>6158</v>
      </c>
      <c r="E933" s="2">
        <v>4</v>
      </c>
      <c r="F933" s="2" t="str">
        <f>IFERROR(INDEX(customers!B$1:B$1001, MATCH(C933, customers!A$1:A$1001, 0)), "Not Found")</f>
        <v>Mallory Shrimpling</v>
      </c>
      <c r="G933" s="2" t="str">
        <f>IF(IFERROR(INDEX(customers!C$1:C$1001, MATCH(C933, customers!A$1:A$1001, 0)), "Not Found")=0,"",IFERROR(INDEX(customers!C$1:C$1001, MATCH(C933, customers!A$1:A$1001, 0)), "Not Found"))</f>
        <v/>
      </c>
      <c r="H933" s="2" t="str">
        <f>IFERROR(INDEX(customers!G$1:G$1001, MATCH(C933, customers!A$1:A$1001, 0)), "Not Found")</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L933*E933</f>
        <v>23.88</v>
      </c>
      <c r="N933" t="str">
        <f>IF(I933="Rob","Robusta",IF(I933="Exc","Excelsa",IF(I933="Ara","Arabica",IF(I933="Lib","Laberica",""))))</f>
        <v>Arabica</v>
      </c>
      <c r="O933" t="str">
        <f t="shared" si="14"/>
        <v>Dark</v>
      </c>
      <c r="P933" t="str">
        <f>INDEX(customers!$I$1:$I$1001, MATCH(Orders[[#This Row],[Customer ID]], customers!$A$1:$A$1001, 0))</f>
        <v>Yes</v>
      </c>
    </row>
    <row r="934" spans="1:16" x14ac:dyDescent="0.25">
      <c r="A934" s="2" t="s">
        <v>5757</v>
      </c>
      <c r="B934" s="3">
        <v>44117</v>
      </c>
      <c r="C934" s="2" t="s">
        <v>5758</v>
      </c>
      <c r="D934" t="s">
        <v>6141</v>
      </c>
      <c r="E934" s="2">
        <v>4</v>
      </c>
      <c r="F934" s="2" t="str">
        <f>IFERROR(INDEX(customers!B$1:B$1001, MATCH(C934, customers!A$1:A$1001, 0)), "Not Found")</f>
        <v>Barnett Sillis</v>
      </c>
      <c r="G934" s="2" t="str">
        <f>IF(IFERROR(INDEX(customers!C$1:C$1001, MATCH(C934, customers!A$1:A$1001, 0)), "Not Found")=0,"",IFERROR(INDEX(customers!C$1:C$1001, MATCH(C934, customers!A$1:A$1001, 0)), "Not Found"))</f>
        <v>bsillispw@istockphoto.com</v>
      </c>
      <c r="H934" s="2" t="str">
        <f>IFERROR(INDEX(customers!G$1:G$1001, MATCH(C934, customers!A$1:A$1001, 0)), "Not Found")</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L934*E934</f>
        <v>55</v>
      </c>
      <c r="N934" t="str">
        <f>IF(I934="Rob","Robusta",IF(I934="Exc","Excelsa",IF(I934="Ara","Arabica",IF(I934="Lib","Laberica",""))))</f>
        <v>Excelsa</v>
      </c>
      <c r="O934" t="str">
        <f t="shared" si="14"/>
        <v>Medium</v>
      </c>
      <c r="P934" t="str">
        <f>INDEX(customers!$I$1:$I$1001, MATCH(Orders[[#This Row],[Customer ID]], customers!$A$1:$A$1001, 0))</f>
        <v>No</v>
      </c>
    </row>
    <row r="935" spans="1:16" x14ac:dyDescent="0.25">
      <c r="A935" s="2" t="s">
        <v>5763</v>
      </c>
      <c r="B935" s="3">
        <v>44557</v>
      </c>
      <c r="C935" s="2" t="s">
        <v>5764</v>
      </c>
      <c r="D935" t="s">
        <v>6177</v>
      </c>
      <c r="E935" s="2">
        <v>3</v>
      </c>
      <c r="F935" s="2" t="str">
        <f>IFERROR(INDEX(customers!B$1:B$1001, MATCH(C935, customers!A$1:A$1001, 0)), "Not Found")</f>
        <v>Brenn Dundredge</v>
      </c>
      <c r="G935" s="2" t="str">
        <f>IF(IFERROR(INDEX(customers!C$1:C$1001, MATCH(C935, customers!A$1:A$1001, 0)), "Not Found")=0,"",IFERROR(INDEX(customers!C$1:C$1001, MATCH(C935, customers!A$1:A$1001, 0)), "Not Found"))</f>
        <v/>
      </c>
      <c r="H935" s="2" t="str">
        <f>IFERROR(INDEX(customers!G$1:G$1001, MATCH(C935, customers!A$1:A$1001, 0)), "Not Found")</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L935*E935</f>
        <v>26.849999999999998</v>
      </c>
      <c r="N935" t="str">
        <f>IF(I935="Rob","Robusta",IF(I935="Exc","Excelsa",IF(I935="Ara","Arabica",IF(I935="Lib","Laberica",""))))</f>
        <v>Robusta</v>
      </c>
      <c r="O935" t="str">
        <f t="shared" si="14"/>
        <v>Dark</v>
      </c>
      <c r="P935" t="str">
        <f>INDEX(customers!$I$1:$I$1001, MATCH(Orders[[#This Row],[Customer ID]], customers!$A$1:$A$1001, 0))</f>
        <v>Yes</v>
      </c>
    </row>
    <row r="936" spans="1:16" x14ac:dyDescent="0.25">
      <c r="A936" s="2" t="s">
        <v>5768</v>
      </c>
      <c r="B936" s="3">
        <v>44409</v>
      </c>
      <c r="C936" s="2" t="s">
        <v>5769</v>
      </c>
      <c r="D936" t="s">
        <v>6151</v>
      </c>
      <c r="E936" s="2">
        <v>5</v>
      </c>
      <c r="F936" s="2" t="str">
        <f>IFERROR(INDEX(customers!B$1:B$1001, MATCH(C936, customers!A$1:A$1001, 0)), "Not Found")</f>
        <v>Read Cutts</v>
      </c>
      <c r="G936" s="2" t="str">
        <f>IF(IFERROR(INDEX(customers!C$1:C$1001, MATCH(C936, customers!A$1:A$1001, 0)), "Not Found")=0,"",IFERROR(INDEX(customers!C$1:C$1001, MATCH(C936, customers!A$1:A$1001, 0)), "Not Found"))</f>
        <v>rcuttspy@techcrunch.com</v>
      </c>
      <c r="H936" s="2" t="str">
        <f>IFERROR(INDEX(customers!G$1:G$1001, MATCH(C936, customers!A$1:A$1001, 0)), "Not Found")</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L936*E936</f>
        <v>114.42499999999998</v>
      </c>
      <c r="N936" t="str">
        <f>IF(I936="Rob","Robusta",IF(I936="Exc","Excelsa",IF(I936="Ara","Arabica",IF(I936="Lib","Laberica",""))))</f>
        <v>Robusta</v>
      </c>
      <c r="O936" t="str">
        <f t="shared" si="14"/>
        <v>Medium</v>
      </c>
      <c r="P936" t="str">
        <f>INDEX(customers!$I$1:$I$1001, MATCH(Orders[[#This Row],[Customer ID]], customers!$A$1:$A$1001, 0))</f>
        <v>No</v>
      </c>
    </row>
    <row r="937" spans="1:16" x14ac:dyDescent="0.25">
      <c r="A937" s="2" t="s">
        <v>5774</v>
      </c>
      <c r="B937" s="3">
        <v>44153</v>
      </c>
      <c r="C937" s="2" t="s">
        <v>5775</v>
      </c>
      <c r="D937" t="s">
        <v>6175</v>
      </c>
      <c r="E937" s="2">
        <v>6</v>
      </c>
      <c r="F937" s="2" t="str">
        <f>IFERROR(INDEX(customers!B$1:B$1001, MATCH(C937, customers!A$1:A$1001, 0)), "Not Found")</f>
        <v>Michale Delves</v>
      </c>
      <c r="G937" s="2" t="str">
        <f>IF(IFERROR(INDEX(customers!C$1:C$1001, MATCH(C937, customers!A$1:A$1001, 0)), "Not Found")=0,"",IFERROR(INDEX(customers!C$1:C$1001, MATCH(C937, customers!A$1:A$1001, 0)), "Not Found"))</f>
        <v>mdelvespz@nature.com</v>
      </c>
      <c r="H937" s="2" t="str">
        <f>IFERROR(INDEX(customers!G$1:G$1001, MATCH(C937, customers!A$1:A$1001, 0)), "Not Found")</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L937*E937</f>
        <v>155.24999999999997</v>
      </c>
      <c r="N937" t="str">
        <f>IF(I937="Rob","Robusta",IF(I937="Exc","Excelsa",IF(I937="Ara","Arabica",IF(I937="Lib","Laberica",""))))</f>
        <v>Arabica</v>
      </c>
      <c r="O937" t="str">
        <f t="shared" si="14"/>
        <v>Medium</v>
      </c>
      <c r="P937" t="str">
        <f>INDEX(customers!$I$1:$I$1001, MATCH(Orders[[#This Row],[Customer ID]], customers!$A$1:$A$1001, 0))</f>
        <v>Yes</v>
      </c>
    </row>
    <row r="938" spans="1:16" x14ac:dyDescent="0.25">
      <c r="A938" s="2" t="s">
        <v>5780</v>
      </c>
      <c r="B938" s="3">
        <v>44493</v>
      </c>
      <c r="C938" s="2" t="s">
        <v>5781</v>
      </c>
      <c r="D938" t="s">
        <v>6169</v>
      </c>
      <c r="E938" s="2">
        <v>3</v>
      </c>
      <c r="F938" s="2" t="str">
        <f>IFERROR(INDEX(customers!B$1:B$1001, MATCH(C938, customers!A$1:A$1001, 0)), "Not Found")</f>
        <v>Devland Gritton</v>
      </c>
      <c r="G938" s="2" t="str">
        <f>IF(IFERROR(INDEX(customers!C$1:C$1001, MATCH(C938, customers!A$1:A$1001, 0)), "Not Found")=0,"",IFERROR(INDEX(customers!C$1:C$1001, MATCH(C938, customers!A$1:A$1001, 0)), "Not Found"))</f>
        <v>dgrittonq0@nydailynews.com</v>
      </c>
      <c r="H938" s="2" t="str">
        <f>IFERROR(INDEX(customers!G$1:G$1001, MATCH(C938, customers!A$1:A$1001, 0)), "Not Found")</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L938*E938</f>
        <v>23.31</v>
      </c>
      <c r="N938" t="str">
        <f>IF(I938="Rob","Robusta",IF(I938="Exc","Excelsa",IF(I938="Ara","Arabica",IF(I938="Lib","Laberica",""))))</f>
        <v>Laberica</v>
      </c>
      <c r="O938" t="str">
        <f t="shared" si="14"/>
        <v>Dark</v>
      </c>
      <c r="P938" t="str">
        <f>INDEX(customers!$I$1:$I$1001, MATCH(Orders[[#This Row],[Customer ID]], customers!$A$1:$A$1001, 0))</f>
        <v>Yes</v>
      </c>
    </row>
    <row r="939" spans="1:16" x14ac:dyDescent="0.25">
      <c r="A939" s="2" t="s">
        <v>5780</v>
      </c>
      <c r="B939" s="3">
        <v>44493</v>
      </c>
      <c r="C939" s="2" t="s">
        <v>5781</v>
      </c>
      <c r="D939" t="s">
        <v>6151</v>
      </c>
      <c r="E939" s="2">
        <v>4</v>
      </c>
      <c r="F939" s="2" t="str">
        <f>IFERROR(INDEX(customers!B$1:B$1001, MATCH(C939, customers!A$1:A$1001, 0)), "Not Found")</f>
        <v>Devland Gritton</v>
      </c>
      <c r="G939" s="2" t="str">
        <f>IF(IFERROR(INDEX(customers!C$1:C$1001, MATCH(C939, customers!A$1:A$1001, 0)), "Not Found")=0,"",IFERROR(INDEX(customers!C$1:C$1001, MATCH(C939, customers!A$1:A$1001, 0)), "Not Found"))</f>
        <v>dgrittonq0@nydailynews.com</v>
      </c>
      <c r="H939" s="2" t="str">
        <f>IFERROR(INDEX(customers!G$1:G$1001, MATCH(C939, customers!A$1:A$1001, 0)), "Not Found")</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L939*E939</f>
        <v>91.539999999999992</v>
      </c>
      <c r="N939" t="str">
        <f>IF(I939="Rob","Robusta",IF(I939="Exc","Excelsa",IF(I939="Ara","Arabica",IF(I939="Lib","Laberica",""))))</f>
        <v>Robusta</v>
      </c>
      <c r="O939" t="str">
        <f t="shared" si="14"/>
        <v>Medium</v>
      </c>
      <c r="P939" t="str">
        <f>INDEX(customers!$I$1:$I$1001, MATCH(Orders[[#This Row],[Customer ID]], customers!$A$1:$A$1001, 0))</f>
        <v>Yes</v>
      </c>
    </row>
    <row r="940" spans="1:16" x14ac:dyDescent="0.25">
      <c r="A940" s="2" t="s">
        <v>5791</v>
      </c>
      <c r="B940" s="3">
        <v>43829</v>
      </c>
      <c r="C940" s="2" t="s">
        <v>5792</v>
      </c>
      <c r="D940" t="s">
        <v>6171</v>
      </c>
      <c r="E940" s="2">
        <v>5</v>
      </c>
      <c r="F940" s="2" t="str">
        <f>IFERROR(INDEX(customers!B$1:B$1001, MATCH(C940, customers!A$1:A$1001, 0)), "Not Found")</f>
        <v>Dell Gut</v>
      </c>
      <c r="G940" s="2" t="str">
        <f>IF(IFERROR(INDEX(customers!C$1:C$1001, MATCH(C940, customers!A$1:A$1001, 0)), "Not Found")=0,"",IFERROR(INDEX(customers!C$1:C$1001, MATCH(C940, customers!A$1:A$1001, 0)), "Not Found"))</f>
        <v>dgutq2@umich.edu</v>
      </c>
      <c r="H940" s="2" t="str">
        <f>IFERROR(INDEX(customers!G$1:G$1001, MATCH(C940, customers!A$1:A$1001, 0)), "Not Found")</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L940*E940</f>
        <v>74.25</v>
      </c>
      <c r="N940" t="str">
        <f>IF(I940="Rob","Robusta",IF(I940="Exc","Excelsa",IF(I940="Ara","Arabica",IF(I940="Lib","Laberica",""))))</f>
        <v>Excelsa</v>
      </c>
      <c r="O940" t="str">
        <f t="shared" si="14"/>
        <v>Light</v>
      </c>
      <c r="P940" t="str">
        <f>INDEX(customers!$I$1:$I$1001, MATCH(Orders[[#This Row],[Customer ID]], customers!$A$1:$A$1001, 0))</f>
        <v>Yes</v>
      </c>
    </row>
    <row r="941" spans="1:16" x14ac:dyDescent="0.25">
      <c r="A941" s="2" t="s">
        <v>5797</v>
      </c>
      <c r="B941" s="3">
        <v>44229</v>
      </c>
      <c r="C941" s="2" t="s">
        <v>5798</v>
      </c>
      <c r="D941" t="s">
        <v>6145</v>
      </c>
      <c r="E941" s="2">
        <v>6</v>
      </c>
      <c r="F941" s="2" t="str">
        <f>IFERROR(INDEX(customers!B$1:B$1001, MATCH(C941, customers!A$1:A$1001, 0)), "Not Found")</f>
        <v>Willy Pummery</v>
      </c>
      <c r="G941" s="2" t="str">
        <f>IF(IFERROR(INDEX(customers!C$1:C$1001, MATCH(C941, customers!A$1:A$1001, 0)), "Not Found")=0,"",IFERROR(INDEX(customers!C$1:C$1001, MATCH(C941, customers!A$1:A$1001, 0)), "Not Found"))</f>
        <v>wpummeryq3@topsy.com</v>
      </c>
      <c r="H941" s="2" t="str">
        <f>IFERROR(INDEX(customers!G$1:G$1001, MATCH(C941, customers!A$1:A$1001, 0)), "Not Found")</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L941*E941</f>
        <v>28.53</v>
      </c>
      <c r="N941" t="str">
        <f>IF(I941="Rob","Robusta",IF(I941="Exc","Excelsa",IF(I941="Ara","Arabica",IF(I941="Lib","Laberica",""))))</f>
        <v>Laberica</v>
      </c>
      <c r="O941" t="str">
        <f t="shared" si="14"/>
        <v>Light</v>
      </c>
      <c r="P941" t="str">
        <f>INDEX(customers!$I$1:$I$1001, MATCH(Orders[[#This Row],[Customer ID]], customers!$A$1:$A$1001, 0))</f>
        <v>No</v>
      </c>
    </row>
    <row r="942" spans="1:16" x14ac:dyDescent="0.25">
      <c r="A942" s="2" t="s">
        <v>5803</v>
      </c>
      <c r="B942" s="3">
        <v>44332</v>
      </c>
      <c r="C942" s="2" t="s">
        <v>5804</v>
      </c>
      <c r="D942" t="s">
        <v>6173</v>
      </c>
      <c r="E942" s="2">
        <v>2</v>
      </c>
      <c r="F942" s="2" t="str">
        <f>IFERROR(INDEX(customers!B$1:B$1001, MATCH(C942, customers!A$1:A$1001, 0)), "Not Found")</f>
        <v>Geoffrey Siuda</v>
      </c>
      <c r="G942" s="2" t="str">
        <f>IF(IFERROR(INDEX(customers!C$1:C$1001, MATCH(C942, customers!A$1:A$1001, 0)), "Not Found")=0,"",IFERROR(INDEX(customers!C$1:C$1001, MATCH(C942, customers!A$1:A$1001, 0)), "Not Found"))</f>
        <v>gsiudaq4@nytimes.com</v>
      </c>
      <c r="H942" s="2" t="str">
        <f>IFERROR(INDEX(customers!G$1:G$1001, MATCH(C942, customers!A$1:A$1001, 0)), "Not Found")</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L942*E942</f>
        <v>14.339999999999998</v>
      </c>
      <c r="N942" t="str">
        <f>IF(I942="Rob","Robusta",IF(I942="Exc","Excelsa",IF(I942="Ara","Arabica",IF(I942="Lib","Laberica",""))))</f>
        <v>Robusta</v>
      </c>
      <c r="O942" t="str">
        <f t="shared" si="14"/>
        <v>Light</v>
      </c>
      <c r="P942" t="str">
        <f>INDEX(customers!$I$1:$I$1001, MATCH(Orders[[#This Row],[Customer ID]], customers!$A$1:$A$1001, 0))</f>
        <v>Yes</v>
      </c>
    </row>
    <row r="943" spans="1:16" x14ac:dyDescent="0.25">
      <c r="A943" s="2" t="s">
        <v>5809</v>
      </c>
      <c r="B943" s="3">
        <v>44674</v>
      </c>
      <c r="C943" s="2" t="s">
        <v>5810</v>
      </c>
      <c r="D943" t="s">
        <v>6180</v>
      </c>
      <c r="E943" s="2">
        <v>2</v>
      </c>
      <c r="F943" s="2" t="str">
        <f>IFERROR(INDEX(customers!B$1:B$1001, MATCH(C943, customers!A$1:A$1001, 0)), "Not Found")</f>
        <v>Henderson Crowne</v>
      </c>
      <c r="G943" s="2" t="str">
        <f>IF(IFERROR(INDEX(customers!C$1:C$1001, MATCH(C943, customers!A$1:A$1001, 0)), "Not Found")=0,"",IFERROR(INDEX(customers!C$1:C$1001, MATCH(C943, customers!A$1:A$1001, 0)), "Not Found"))</f>
        <v>hcrowneq5@wufoo.com</v>
      </c>
      <c r="H943" s="2" t="str">
        <f>IFERROR(INDEX(customers!G$1:G$1001, MATCH(C943, customers!A$1:A$1001, 0)), "Not Found")</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L943*E943</f>
        <v>15.54</v>
      </c>
      <c r="N943" t="str">
        <f>IF(I943="Rob","Robusta",IF(I943="Exc","Excelsa",IF(I943="Ara","Arabica",IF(I943="Lib","Laberica",""))))</f>
        <v>Arabica</v>
      </c>
      <c r="O943" t="str">
        <f t="shared" si="14"/>
        <v>Light</v>
      </c>
      <c r="P943" t="str">
        <f>INDEX(customers!$I$1:$I$1001, MATCH(Orders[[#This Row],[Customer ID]], customers!$A$1:$A$1001, 0))</f>
        <v>Yes</v>
      </c>
    </row>
    <row r="944" spans="1:16" x14ac:dyDescent="0.25">
      <c r="A944" s="2" t="s">
        <v>5816</v>
      </c>
      <c r="B944" s="3">
        <v>44464</v>
      </c>
      <c r="C944" s="2" t="s">
        <v>5817</v>
      </c>
      <c r="D944" t="s">
        <v>6179</v>
      </c>
      <c r="E944" s="2">
        <v>3</v>
      </c>
      <c r="F944" s="2" t="str">
        <f>IFERROR(INDEX(customers!B$1:B$1001, MATCH(C944, customers!A$1:A$1001, 0)), "Not Found")</f>
        <v>Vernor Pawsey</v>
      </c>
      <c r="G944" s="2" t="str">
        <f>IF(IFERROR(INDEX(customers!C$1:C$1001, MATCH(C944, customers!A$1:A$1001, 0)), "Not Found")=0,"",IFERROR(INDEX(customers!C$1:C$1001, MATCH(C944, customers!A$1:A$1001, 0)), "Not Found"))</f>
        <v>vpawseyq6@tiny.cc</v>
      </c>
      <c r="H944" s="2" t="str">
        <f>IFERROR(INDEX(customers!G$1:G$1001, MATCH(C944, customers!A$1:A$1001, 0)), "Not Found")</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L944*E944</f>
        <v>35.849999999999994</v>
      </c>
      <c r="N944" t="str">
        <f>IF(I944="Rob","Robusta",IF(I944="Exc","Excelsa",IF(I944="Ara","Arabica",IF(I944="Lib","Laberica",""))))</f>
        <v>Robusta</v>
      </c>
      <c r="O944" t="str">
        <f t="shared" si="14"/>
        <v>Light</v>
      </c>
      <c r="P944" t="str">
        <f>INDEX(customers!$I$1:$I$1001, MATCH(Orders[[#This Row],[Customer ID]], customers!$A$1:$A$1001, 0))</f>
        <v>No</v>
      </c>
    </row>
    <row r="945" spans="1:16" x14ac:dyDescent="0.25">
      <c r="A945" s="2" t="s">
        <v>5822</v>
      </c>
      <c r="B945" s="3">
        <v>44719</v>
      </c>
      <c r="C945" s="2" t="s">
        <v>5823</v>
      </c>
      <c r="D945" t="s">
        <v>6180</v>
      </c>
      <c r="E945" s="2">
        <v>6</v>
      </c>
      <c r="F945" s="2" t="str">
        <f>IFERROR(INDEX(customers!B$1:B$1001, MATCH(C945, customers!A$1:A$1001, 0)), "Not Found")</f>
        <v>Augustin Waterhouse</v>
      </c>
      <c r="G945" s="2" t="str">
        <f>IF(IFERROR(INDEX(customers!C$1:C$1001, MATCH(C945, customers!A$1:A$1001, 0)), "Not Found")=0,"",IFERROR(INDEX(customers!C$1:C$1001, MATCH(C945, customers!A$1:A$1001, 0)), "Not Found"))</f>
        <v>awaterhouseq7@istockphoto.com</v>
      </c>
      <c r="H945" s="2" t="str">
        <f>IFERROR(INDEX(customers!G$1:G$1001, MATCH(C945, customers!A$1:A$1001, 0)), "Not Found")</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L945*E945</f>
        <v>46.62</v>
      </c>
      <c r="N945" t="str">
        <f>IF(I945="Rob","Robusta",IF(I945="Exc","Excelsa",IF(I945="Ara","Arabica",IF(I945="Lib","Laberica",""))))</f>
        <v>Arabica</v>
      </c>
      <c r="O945" t="str">
        <f t="shared" si="14"/>
        <v>Light</v>
      </c>
      <c r="P945" t="str">
        <f>INDEX(customers!$I$1:$I$1001, MATCH(Orders[[#This Row],[Customer ID]], customers!$A$1:$A$1001, 0))</f>
        <v>No</v>
      </c>
    </row>
    <row r="946" spans="1:16" x14ac:dyDescent="0.25">
      <c r="A946" s="2" t="s">
        <v>5828</v>
      </c>
      <c r="B946" s="3">
        <v>44054</v>
      </c>
      <c r="C946" s="2" t="s">
        <v>5829</v>
      </c>
      <c r="D946" t="s">
        <v>6173</v>
      </c>
      <c r="E946" s="2">
        <v>5</v>
      </c>
      <c r="F946" s="2" t="str">
        <f>IFERROR(INDEX(customers!B$1:B$1001, MATCH(C946, customers!A$1:A$1001, 0)), "Not Found")</f>
        <v>Fanchon Haughian</v>
      </c>
      <c r="G946" s="2" t="str">
        <f>IF(IFERROR(INDEX(customers!C$1:C$1001, MATCH(C946, customers!A$1:A$1001, 0)), "Not Found")=0,"",IFERROR(INDEX(customers!C$1:C$1001, MATCH(C946, customers!A$1:A$1001, 0)), "Not Found"))</f>
        <v>fhaughianq8@1688.com</v>
      </c>
      <c r="H946" s="2" t="str">
        <f>IFERROR(INDEX(customers!G$1:G$1001, MATCH(C946, customers!A$1:A$1001, 0)), "Not Found")</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L946*E946</f>
        <v>35.849999999999994</v>
      </c>
      <c r="N946" t="str">
        <f>IF(I946="Rob","Robusta",IF(I946="Exc","Excelsa",IF(I946="Ara","Arabica",IF(I946="Lib","Laberica",""))))</f>
        <v>Robusta</v>
      </c>
      <c r="O946" t="str">
        <f t="shared" si="14"/>
        <v>Light</v>
      </c>
      <c r="P946" t="str">
        <f>INDEX(customers!$I$1:$I$1001, MATCH(Orders[[#This Row],[Customer ID]], customers!$A$1:$A$1001, 0))</f>
        <v>No</v>
      </c>
    </row>
    <row r="947" spans="1:16" x14ac:dyDescent="0.25">
      <c r="A947" s="2" t="s">
        <v>5834</v>
      </c>
      <c r="B947" s="3">
        <v>43524</v>
      </c>
      <c r="C947" s="2" t="s">
        <v>5835</v>
      </c>
      <c r="D947" t="s">
        <v>6165</v>
      </c>
      <c r="E947" s="2">
        <v>4</v>
      </c>
      <c r="F947" s="2" t="str">
        <f>IFERROR(INDEX(customers!B$1:B$1001, MATCH(C947, customers!A$1:A$1001, 0)), "Not Found")</f>
        <v>Jaimie Hatz</v>
      </c>
      <c r="G947" s="2" t="str">
        <f>IF(IFERROR(INDEX(customers!C$1:C$1001, MATCH(C947, customers!A$1:A$1001, 0)), "Not Found")=0,"",IFERROR(INDEX(customers!C$1:C$1001, MATCH(C947, customers!A$1:A$1001, 0)), "Not Found"))</f>
        <v/>
      </c>
      <c r="H947" s="2" t="str">
        <f>IFERROR(INDEX(customers!G$1:G$1001, MATCH(C947, customers!A$1:A$1001, 0)), "Not Found")</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L947*E947</f>
        <v>119.13999999999999</v>
      </c>
      <c r="N947" t="str">
        <f>IF(I947="Rob","Robusta",IF(I947="Exc","Excelsa",IF(I947="Ara","Arabica",IF(I947="Lib","Laberica",""))))</f>
        <v>Laberica</v>
      </c>
      <c r="O947" t="str">
        <f t="shared" si="14"/>
        <v>Dark</v>
      </c>
      <c r="P947" t="str">
        <f>INDEX(customers!$I$1:$I$1001, MATCH(Orders[[#This Row],[Customer ID]], customers!$A$1:$A$1001, 0))</f>
        <v>No</v>
      </c>
    </row>
    <row r="948" spans="1:16" x14ac:dyDescent="0.25">
      <c r="A948" s="2" t="s">
        <v>5839</v>
      </c>
      <c r="B948" s="3">
        <v>43719</v>
      </c>
      <c r="C948" s="2" t="s">
        <v>5840</v>
      </c>
      <c r="D948" t="s">
        <v>6169</v>
      </c>
      <c r="E948" s="2">
        <v>3</v>
      </c>
      <c r="F948" s="2" t="str">
        <f>IFERROR(INDEX(customers!B$1:B$1001, MATCH(C948, customers!A$1:A$1001, 0)), "Not Found")</f>
        <v>Edeline Edney</v>
      </c>
      <c r="G948" s="2" t="str">
        <f>IF(IFERROR(INDEX(customers!C$1:C$1001, MATCH(C948, customers!A$1:A$1001, 0)), "Not Found")=0,"",IFERROR(INDEX(customers!C$1:C$1001, MATCH(C948, customers!A$1:A$1001, 0)), "Not Found"))</f>
        <v/>
      </c>
      <c r="H948" s="2" t="str">
        <f>IFERROR(INDEX(customers!G$1:G$1001, MATCH(C948, customers!A$1:A$1001, 0)), "Not Found")</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L948*E948</f>
        <v>23.31</v>
      </c>
      <c r="N948" t="str">
        <f>IF(I948="Rob","Robusta",IF(I948="Exc","Excelsa",IF(I948="Ara","Arabica",IF(I948="Lib","Laberica",""))))</f>
        <v>Laberica</v>
      </c>
      <c r="O948" t="str">
        <f t="shared" si="14"/>
        <v>Dark</v>
      </c>
      <c r="P948" t="str">
        <f>INDEX(customers!$I$1:$I$1001, MATCH(Orders[[#This Row],[Customer ID]], customers!$A$1:$A$1001, 0))</f>
        <v>No</v>
      </c>
    </row>
    <row r="949" spans="1:16" x14ac:dyDescent="0.25">
      <c r="A949" s="2" t="s">
        <v>5844</v>
      </c>
      <c r="B949" s="3">
        <v>44294</v>
      </c>
      <c r="C949" s="2" t="s">
        <v>5845</v>
      </c>
      <c r="D949" t="s">
        <v>6155</v>
      </c>
      <c r="E949" s="2">
        <v>1</v>
      </c>
      <c r="F949" s="2" t="str">
        <f>IFERROR(INDEX(customers!B$1:B$1001, MATCH(C949, customers!A$1:A$1001, 0)), "Not Found")</f>
        <v>Rickie Faltin</v>
      </c>
      <c r="G949" s="2" t="str">
        <f>IF(IFERROR(INDEX(customers!C$1:C$1001, MATCH(C949, customers!A$1:A$1001, 0)), "Not Found")=0,"",IFERROR(INDEX(customers!C$1:C$1001, MATCH(C949, customers!A$1:A$1001, 0)), "Not Found"))</f>
        <v>rfaltinqb@topsy.com</v>
      </c>
      <c r="H949" s="2" t="str">
        <f>IFERROR(INDEX(customers!G$1:G$1001, MATCH(C949, customers!A$1:A$1001, 0)), "Not Found")</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L949*E949</f>
        <v>11.25</v>
      </c>
      <c r="N949" t="str">
        <f>IF(I949="Rob","Robusta",IF(I949="Exc","Excelsa",IF(I949="Ara","Arabica",IF(I949="Lib","Laberica",""))))</f>
        <v>Arabica</v>
      </c>
      <c r="O949" t="str">
        <f t="shared" si="14"/>
        <v>Medium</v>
      </c>
      <c r="P949" t="str">
        <f>INDEX(customers!$I$1:$I$1001, MATCH(Orders[[#This Row],[Customer ID]], customers!$A$1:$A$1001, 0))</f>
        <v>No</v>
      </c>
    </row>
    <row r="950" spans="1:16" x14ac:dyDescent="0.25">
      <c r="A950" s="2" t="s">
        <v>5849</v>
      </c>
      <c r="B950" s="3">
        <v>44445</v>
      </c>
      <c r="C950" s="2" t="s">
        <v>5850</v>
      </c>
      <c r="D950" t="s">
        <v>6185</v>
      </c>
      <c r="E950" s="2">
        <v>3</v>
      </c>
      <c r="F950" s="2" t="str">
        <f>IFERROR(INDEX(customers!B$1:B$1001, MATCH(C950, customers!A$1:A$1001, 0)), "Not Found")</f>
        <v>Gnni Cheeke</v>
      </c>
      <c r="G950" s="2" t="str">
        <f>IF(IFERROR(INDEX(customers!C$1:C$1001, MATCH(C950, customers!A$1:A$1001, 0)), "Not Found")=0,"",IFERROR(INDEX(customers!C$1:C$1001, MATCH(C950, customers!A$1:A$1001, 0)), "Not Found"))</f>
        <v>gcheekeqc@sitemeter.com</v>
      </c>
      <c r="H950" s="2" t="str">
        <f>IFERROR(INDEX(customers!G$1:G$1001, MATCH(C950, customers!A$1:A$1001, 0)), "Not Found")</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L950*E950</f>
        <v>83.835000000000008</v>
      </c>
      <c r="N950" t="str">
        <f>IF(I950="Rob","Robusta",IF(I950="Exc","Excelsa",IF(I950="Ara","Arabica",IF(I950="Lib","Laberica",""))))</f>
        <v>Excelsa</v>
      </c>
      <c r="O950" t="str">
        <f t="shared" si="14"/>
        <v>Dark</v>
      </c>
      <c r="P950" t="str">
        <f>INDEX(customers!$I$1:$I$1001, MATCH(Orders[[#This Row],[Customer ID]], customers!$A$1:$A$1001, 0))</f>
        <v>Yes</v>
      </c>
    </row>
    <row r="951" spans="1:16" x14ac:dyDescent="0.25">
      <c r="A951" s="2" t="s">
        <v>5855</v>
      </c>
      <c r="B951" s="3">
        <v>44449</v>
      </c>
      <c r="C951" s="2" t="s">
        <v>5856</v>
      </c>
      <c r="D951" t="s">
        <v>6142</v>
      </c>
      <c r="E951" s="2">
        <v>4</v>
      </c>
      <c r="F951" s="2" t="str">
        <f>IFERROR(INDEX(customers!B$1:B$1001, MATCH(C951, customers!A$1:A$1001, 0)), "Not Found")</f>
        <v>Gwenni Ratt</v>
      </c>
      <c r="G951" s="2" t="str">
        <f>IF(IFERROR(INDEX(customers!C$1:C$1001, MATCH(C951, customers!A$1:A$1001, 0)), "Not Found")=0,"",IFERROR(INDEX(customers!C$1:C$1001, MATCH(C951, customers!A$1:A$1001, 0)), "Not Found"))</f>
        <v>grattqd@phpbb.com</v>
      </c>
      <c r="H951" s="2" t="str">
        <f>IFERROR(INDEX(customers!G$1:G$1001, MATCH(C951, customers!A$1:A$1001, 0)), "Not Found")</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L951*E951</f>
        <v>109.93999999999998</v>
      </c>
      <c r="N951" t="str">
        <f>IF(I951="Rob","Robusta",IF(I951="Exc","Excelsa",IF(I951="Ara","Arabica",IF(I951="Lib","Laberica",""))))</f>
        <v>Robusta</v>
      </c>
      <c r="O951" t="str">
        <f t="shared" si="14"/>
        <v>Light</v>
      </c>
      <c r="P951" t="str">
        <f>INDEX(customers!$I$1:$I$1001, MATCH(Orders[[#This Row],[Customer ID]], customers!$A$1:$A$1001, 0))</f>
        <v>No</v>
      </c>
    </row>
    <row r="952" spans="1:16" x14ac:dyDescent="0.25">
      <c r="A952" s="2" t="s">
        <v>5861</v>
      </c>
      <c r="B952" s="3">
        <v>44703</v>
      </c>
      <c r="C952" s="2" t="s">
        <v>5862</v>
      </c>
      <c r="D952" t="s">
        <v>6178</v>
      </c>
      <c r="E952" s="2">
        <v>4</v>
      </c>
      <c r="F952" s="2" t="str">
        <f>IFERROR(INDEX(customers!B$1:B$1001, MATCH(C952, customers!A$1:A$1001, 0)), "Not Found")</f>
        <v>Johnath Fairebrother</v>
      </c>
      <c r="G952" s="2" t="str">
        <f>IF(IFERROR(INDEX(customers!C$1:C$1001, MATCH(C952, customers!A$1:A$1001, 0)), "Not Found")=0,"",IFERROR(INDEX(customers!C$1:C$1001, MATCH(C952, customers!A$1:A$1001, 0)), "Not Found"))</f>
        <v/>
      </c>
      <c r="H952" s="2" t="str">
        <f>IFERROR(INDEX(customers!G$1:G$1001, MATCH(C952, customers!A$1:A$1001, 0)), "Not Found")</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L952*E952</f>
        <v>14.339999999999998</v>
      </c>
      <c r="N952" t="str">
        <f>IF(I952="Rob","Robusta",IF(I952="Exc","Excelsa",IF(I952="Ara","Arabica",IF(I952="Lib","Laberica",""))))</f>
        <v>Robusta</v>
      </c>
      <c r="O952" t="str">
        <f t="shared" si="14"/>
        <v>Light</v>
      </c>
      <c r="P952" t="str">
        <f>INDEX(customers!$I$1:$I$1001, MATCH(Orders[[#This Row],[Customer ID]], customers!$A$1:$A$1001, 0))</f>
        <v>Yes</v>
      </c>
    </row>
    <row r="953" spans="1:16" x14ac:dyDescent="0.25">
      <c r="A953" s="2" t="s">
        <v>5866</v>
      </c>
      <c r="B953" s="3">
        <v>44092</v>
      </c>
      <c r="C953" s="2" t="s">
        <v>5867</v>
      </c>
      <c r="D953" t="s">
        <v>6178</v>
      </c>
      <c r="E953" s="2">
        <v>6</v>
      </c>
      <c r="F953" s="2" t="str">
        <f>IFERROR(INDEX(customers!B$1:B$1001, MATCH(C953, customers!A$1:A$1001, 0)), "Not Found")</f>
        <v>Ingamar Eberlein</v>
      </c>
      <c r="G953" s="2" t="str">
        <f>IF(IFERROR(INDEX(customers!C$1:C$1001, MATCH(C953, customers!A$1:A$1001, 0)), "Not Found")=0,"",IFERROR(INDEX(customers!C$1:C$1001, MATCH(C953, customers!A$1:A$1001, 0)), "Not Found"))</f>
        <v>ieberleinqf@hc360.com</v>
      </c>
      <c r="H953" s="2" t="str">
        <f>IFERROR(INDEX(customers!G$1:G$1001, MATCH(C953, customers!A$1:A$1001, 0)), "Not Found")</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L953*E953</f>
        <v>21.509999999999998</v>
      </c>
      <c r="N953" t="str">
        <f>IF(I953="Rob","Robusta",IF(I953="Exc","Excelsa",IF(I953="Ara","Arabica",IF(I953="Lib","Laberica",""))))</f>
        <v>Robusta</v>
      </c>
      <c r="O953" t="str">
        <f t="shared" si="14"/>
        <v>Light</v>
      </c>
      <c r="P953" t="str">
        <f>INDEX(customers!$I$1:$I$1001, MATCH(Orders[[#This Row],[Customer ID]], customers!$A$1:$A$1001, 0))</f>
        <v>No</v>
      </c>
    </row>
    <row r="954" spans="1:16" x14ac:dyDescent="0.25">
      <c r="A954" s="2" t="s">
        <v>5872</v>
      </c>
      <c r="B954" s="3">
        <v>44439</v>
      </c>
      <c r="C954" s="2" t="s">
        <v>5873</v>
      </c>
      <c r="D954" t="s">
        <v>6155</v>
      </c>
      <c r="E954" s="2">
        <v>2</v>
      </c>
      <c r="F954" s="2" t="str">
        <f>IFERROR(INDEX(customers!B$1:B$1001, MATCH(C954, customers!A$1:A$1001, 0)), "Not Found")</f>
        <v>Jilly Dreng</v>
      </c>
      <c r="G954" s="2" t="str">
        <f>IF(IFERROR(INDEX(customers!C$1:C$1001, MATCH(C954, customers!A$1:A$1001, 0)), "Not Found")=0,"",IFERROR(INDEX(customers!C$1:C$1001, MATCH(C954, customers!A$1:A$1001, 0)), "Not Found"))</f>
        <v>jdrengqg@uiuc.edu</v>
      </c>
      <c r="H954" s="2" t="str">
        <f>IFERROR(INDEX(customers!G$1:G$1001, MATCH(C954, customers!A$1:A$1001, 0)), "Not Found")</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L954*E954</f>
        <v>22.5</v>
      </c>
      <c r="N954" t="str">
        <f>IF(I954="Rob","Robusta",IF(I954="Exc","Excelsa",IF(I954="Ara","Arabica",IF(I954="Lib","Laberica",""))))</f>
        <v>Arabica</v>
      </c>
      <c r="O954" t="str">
        <f t="shared" si="14"/>
        <v>Medium</v>
      </c>
      <c r="P954" t="str">
        <f>INDEX(customers!$I$1:$I$1001, MATCH(Orders[[#This Row],[Customer ID]], customers!$A$1:$A$1001, 0))</f>
        <v>Yes</v>
      </c>
    </row>
    <row r="955" spans="1:16" x14ac:dyDescent="0.25">
      <c r="A955" s="2" t="s">
        <v>5878</v>
      </c>
      <c r="B955" s="3">
        <v>44582</v>
      </c>
      <c r="C955" s="2" t="s">
        <v>5764</v>
      </c>
      <c r="D955" t="s">
        <v>6167</v>
      </c>
      <c r="E955" s="2">
        <v>1</v>
      </c>
      <c r="F955" s="2" t="str">
        <f>IFERROR(INDEX(customers!B$1:B$1001, MATCH(C955, customers!A$1:A$1001, 0)), "Not Found")</f>
        <v>Brenn Dundredge</v>
      </c>
      <c r="G955" s="2" t="str">
        <f>IF(IFERROR(INDEX(customers!C$1:C$1001, MATCH(C955, customers!A$1:A$1001, 0)), "Not Found")=0,"",IFERROR(INDEX(customers!C$1:C$1001, MATCH(C955, customers!A$1:A$1001, 0)), "Not Found"))</f>
        <v/>
      </c>
      <c r="H955" s="2" t="str">
        <f>IFERROR(INDEX(customers!G$1:G$1001, MATCH(C955, customers!A$1:A$1001, 0)), "Not Found")</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L955*E955</f>
        <v>3.8849999999999998</v>
      </c>
      <c r="N955" t="str">
        <f>IF(I955="Rob","Robusta",IF(I955="Exc","Excelsa",IF(I955="Ara","Arabica",IF(I955="Lib","Laberica",""))))</f>
        <v>Arabica</v>
      </c>
      <c r="O955" t="str">
        <f t="shared" si="14"/>
        <v>Light</v>
      </c>
      <c r="P955" t="str">
        <f>INDEX(customers!$I$1:$I$1001, MATCH(Orders[[#This Row],[Customer ID]], customers!$A$1:$A$1001, 0))</f>
        <v>Yes</v>
      </c>
    </row>
    <row r="956" spans="1:16" x14ac:dyDescent="0.25">
      <c r="A956" s="2" t="s">
        <v>5884</v>
      </c>
      <c r="B956" s="3">
        <v>44722</v>
      </c>
      <c r="C956" s="2" t="s">
        <v>5764</v>
      </c>
      <c r="D956" t="s">
        <v>6185</v>
      </c>
      <c r="E956" s="2">
        <v>1</v>
      </c>
      <c r="F956" s="2" t="str">
        <f>IFERROR(INDEX(customers!B$1:B$1001, MATCH(C956, customers!A$1:A$1001, 0)), "Not Found")</f>
        <v>Brenn Dundredge</v>
      </c>
      <c r="G956" s="2" t="str">
        <f>IF(IFERROR(INDEX(customers!C$1:C$1001, MATCH(C956, customers!A$1:A$1001, 0)), "Not Found")=0,"",IFERROR(INDEX(customers!C$1:C$1001, MATCH(C956, customers!A$1:A$1001, 0)), "Not Found"))</f>
        <v/>
      </c>
      <c r="H956" s="2" t="str">
        <f>IFERROR(INDEX(customers!G$1:G$1001, MATCH(C956, customers!A$1:A$1001, 0)), "Not Found")</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L956*E956</f>
        <v>27.945</v>
      </c>
      <c r="N956" t="str">
        <f>IF(I956="Rob","Robusta",IF(I956="Exc","Excelsa",IF(I956="Ara","Arabica",IF(I956="Lib","Laberica",""))))</f>
        <v>Excelsa</v>
      </c>
      <c r="O956" t="str">
        <f t="shared" si="14"/>
        <v>Dark</v>
      </c>
      <c r="P956" t="str">
        <f>INDEX(customers!$I$1:$I$1001, MATCH(Orders[[#This Row],[Customer ID]], customers!$A$1:$A$1001, 0))</f>
        <v>Yes</v>
      </c>
    </row>
    <row r="957" spans="1:16" x14ac:dyDescent="0.25">
      <c r="A957" s="2" t="s">
        <v>5890</v>
      </c>
      <c r="B957" s="3">
        <v>43582</v>
      </c>
      <c r="C957" s="2" t="s">
        <v>5764</v>
      </c>
      <c r="D957" t="s">
        <v>6148</v>
      </c>
      <c r="E957" s="2">
        <v>5</v>
      </c>
      <c r="F957" s="2" t="str">
        <f>IFERROR(INDEX(customers!B$1:B$1001, MATCH(C957, customers!A$1:A$1001, 0)), "Not Found")</f>
        <v>Brenn Dundredge</v>
      </c>
      <c r="G957" s="2" t="str">
        <f>IF(IFERROR(INDEX(customers!C$1:C$1001, MATCH(C957, customers!A$1:A$1001, 0)), "Not Found")=0,"",IFERROR(INDEX(customers!C$1:C$1001, MATCH(C957, customers!A$1:A$1001, 0)), "Not Found"))</f>
        <v/>
      </c>
      <c r="H957" s="2" t="str">
        <f>IFERROR(INDEX(customers!G$1:G$1001, MATCH(C957, customers!A$1:A$1001, 0)), "Not Found")</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L957*E957</f>
        <v>170.77499999999998</v>
      </c>
      <c r="N957" t="str">
        <f>IF(I957="Rob","Robusta",IF(I957="Exc","Excelsa",IF(I957="Ara","Arabica",IF(I957="Lib","Laberica",""))))</f>
        <v>Excelsa</v>
      </c>
      <c r="O957" t="str">
        <f t="shared" si="14"/>
        <v>Light</v>
      </c>
      <c r="P957" t="str">
        <f>INDEX(customers!$I$1:$I$1001, MATCH(Orders[[#This Row],[Customer ID]], customers!$A$1:$A$1001, 0))</f>
        <v>Yes</v>
      </c>
    </row>
    <row r="958" spans="1:16" x14ac:dyDescent="0.25">
      <c r="A958" s="2" t="s">
        <v>5890</v>
      </c>
      <c r="B958" s="3">
        <v>43582</v>
      </c>
      <c r="C958" s="2" t="s">
        <v>5764</v>
      </c>
      <c r="D958" t="s">
        <v>6142</v>
      </c>
      <c r="E958" s="2">
        <v>2</v>
      </c>
      <c r="F958" s="2" t="str">
        <f>IFERROR(INDEX(customers!B$1:B$1001, MATCH(C958, customers!A$1:A$1001, 0)), "Not Found")</f>
        <v>Brenn Dundredge</v>
      </c>
      <c r="G958" s="2" t="str">
        <f>IF(IFERROR(INDEX(customers!C$1:C$1001, MATCH(C958, customers!A$1:A$1001, 0)), "Not Found")=0,"",IFERROR(INDEX(customers!C$1:C$1001, MATCH(C958, customers!A$1:A$1001, 0)), "Not Found"))</f>
        <v/>
      </c>
      <c r="H958" s="2" t="str">
        <f>IFERROR(INDEX(customers!G$1:G$1001, MATCH(C958, customers!A$1:A$1001, 0)), "Not Found")</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L958*E958</f>
        <v>54.969999999999992</v>
      </c>
      <c r="N958" t="str">
        <f>IF(I958="Rob","Robusta",IF(I958="Exc","Excelsa",IF(I958="Ara","Arabica",IF(I958="Lib","Laberica",""))))</f>
        <v>Robusta</v>
      </c>
      <c r="O958" t="str">
        <f t="shared" si="14"/>
        <v>Light</v>
      </c>
      <c r="P958" t="str">
        <f>INDEX(customers!$I$1:$I$1001, MATCH(Orders[[#This Row],[Customer ID]], customers!$A$1:$A$1001, 0))</f>
        <v>Yes</v>
      </c>
    </row>
    <row r="959" spans="1:16" x14ac:dyDescent="0.25">
      <c r="A959" s="2" t="s">
        <v>5890</v>
      </c>
      <c r="B959" s="3">
        <v>43582</v>
      </c>
      <c r="C959" s="2" t="s">
        <v>5764</v>
      </c>
      <c r="D959" t="s">
        <v>6171</v>
      </c>
      <c r="E959" s="2">
        <v>1</v>
      </c>
      <c r="F959" s="2" t="str">
        <f>IFERROR(INDEX(customers!B$1:B$1001, MATCH(C959, customers!A$1:A$1001, 0)), "Not Found")</f>
        <v>Brenn Dundredge</v>
      </c>
      <c r="G959" s="2" t="str">
        <f>IF(IFERROR(INDEX(customers!C$1:C$1001, MATCH(C959, customers!A$1:A$1001, 0)), "Not Found")=0,"",IFERROR(INDEX(customers!C$1:C$1001, MATCH(C959, customers!A$1:A$1001, 0)), "Not Found"))</f>
        <v/>
      </c>
      <c r="H959" s="2" t="str">
        <f>IFERROR(INDEX(customers!G$1:G$1001, MATCH(C959, customers!A$1:A$1001, 0)), "Not Found")</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L959*E959</f>
        <v>14.85</v>
      </c>
      <c r="N959" t="str">
        <f>IF(I959="Rob","Robusta",IF(I959="Exc","Excelsa",IF(I959="Ara","Arabica",IF(I959="Lib","Laberica",""))))</f>
        <v>Excelsa</v>
      </c>
      <c r="O959" t="str">
        <f t="shared" si="14"/>
        <v>Light</v>
      </c>
      <c r="P959" t="str">
        <f>INDEX(customers!$I$1:$I$1001, MATCH(Orders[[#This Row],[Customer ID]], customers!$A$1:$A$1001, 0))</f>
        <v>Yes</v>
      </c>
    </row>
    <row r="960" spans="1:16" x14ac:dyDescent="0.25">
      <c r="A960" s="2" t="s">
        <v>5890</v>
      </c>
      <c r="B960" s="3">
        <v>43582</v>
      </c>
      <c r="C960" s="2" t="s">
        <v>5764</v>
      </c>
      <c r="D960" t="s">
        <v>6167</v>
      </c>
      <c r="E960" s="2">
        <v>2</v>
      </c>
      <c r="F960" s="2" t="str">
        <f>IFERROR(INDEX(customers!B$1:B$1001, MATCH(C960, customers!A$1:A$1001, 0)), "Not Found")</f>
        <v>Brenn Dundredge</v>
      </c>
      <c r="G960" s="2" t="str">
        <f>IF(IFERROR(INDEX(customers!C$1:C$1001, MATCH(C960, customers!A$1:A$1001, 0)), "Not Found")=0,"",IFERROR(INDEX(customers!C$1:C$1001, MATCH(C960, customers!A$1:A$1001, 0)), "Not Found"))</f>
        <v/>
      </c>
      <c r="H960" s="2" t="str">
        <f>IFERROR(INDEX(customers!G$1:G$1001, MATCH(C960, customers!A$1:A$1001, 0)), "Not Found")</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L960*E960</f>
        <v>7.77</v>
      </c>
      <c r="N960" t="str">
        <f>IF(I960="Rob","Robusta",IF(I960="Exc","Excelsa",IF(I960="Ara","Arabica",IF(I960="Lib","Laberica",""))))</f>
        <v>Arabica</v>
      </c>
      <c r="O960" t="str">
        <f t="shared" si="14"/>
        <v>Light</v>
      </c>
      <c r="P960" t="str">
        <f>INDEX(customers!$I$1:$I$1001, MATCH(Orders[[#This Row],[Customer ID]], customers!$A$1:$A$1001, 0))</f>
        <v>Yes</v>
      </c>
    </row>
    <row r="961" spans="1:16" x14ac:dyDescent="0.25">
      <c r="A961" s="2" t="s">
        <v>5910</v>
      </c>
      <c r="B961" s="3">
        <v>44598</v>
      </c>
      <c r="C961" s="2" t="s">
        <v>5911</v>
      </c>
      <c r="D961" t="s">
        <v>6145</v>
      </c>
      <c r="E961" s="2">
        <v>5</v>
      </c>
      <c r="F961" s="2" t="str">
        <f>IFERROR(INDEX(customers!B$1:B$1001, MATCH(C961, customers!A$1:A$1001, 0)), "Not Found")</f>
        <v>Rhodie Strathern</v>
      </c>
      <c r="G961" s="2" t="str">
        <f>IF(IFERROR(INDEX(customers!C$1:C$1001, MATCH(C961, customers!A$1:A$1001, 0)), "Not Found")=0,"",IFERROR(INDEX(customers!C$1:C$1001, MATCH(C961, customers!A$1:A$1001, 0)), "Not Found"))</f>
        <v>rstrathernqn@devhub.com</v>
      </c>
      <c r="H961" s="2" t="str">
        <f>IFERROR(INDEX(customers!G$1:G$1001, MATCH(C961, customers!A$1:A$1001, 0)), "Not Found")</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L961*E961</f>
        <v>23.774999999999999</v>
      </c>
      <c r="N961" t="str">
        <f>IF(I961="Rob","Robusta",IF(I961="Exc","Excelsa",IF(I961="Ara","Arabica",IF(I961="Lib","Laberica",""))))</f>
        <v>Laberica</v>
      </c>
      <c r="O961" t="str">
        <f t="shared" si="14"/>
        <v>Light</v>
      </c>
      <c r="P961" t="str">
        <f>INDEX(customers!$I$1:$I$1001, MATCH(Orders[[#This Row],[Customer ID]], customers!$A$1:$A$1001, 0))</f>
        <v>Yes</v>
      </c>
    </row>
    <row r="962" spans="1:16" x14ac:dyDescent="0.25">
      <c r="A962" s="2" t="s">
        <v>5915</v>
      </c>
      <c r="B962" s="3">
        <v>44591</v>
      </c>
      <c r="C962" s="2" t="s">
        <v>5916</v>
      </c>
      <c r="D962" t="s">
        <v>6170</v>
      </c>
      <c r="E962" s="2">
        <v>5</v>
      </c>
      <c r="F962" s="2" t="str">
        <f>IFERROR(INDEX(customers!B$1:B$1001, MATCH(C962, customers!A$1:A$1001, 0)), "Not Found")</f>
        <v>Chad Miguel</v>
      </c>
      <c r="G962" s="2" t="str">
        <f>IF(IFERROR(INDEX(customers!C$1:C$1001, MATCH(C962, customers!A$1:A$1001, 0)), "Not Found")=0,"",IFERROR(INDEX(customers!C$1:C$1001, MATCH(C962, customers!A$1:A$1001, 0)), "Not Found"))</f>
        <v>cmiguelqo@exblog.jp</v>
      </c>
      <c r="H962" s="2" t="str">
        <f>IFERROR(INDEX(customers!G$1:G$1001, MATCH(C962, customers!A$1:A$1001, 0)), "Not Found")</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L962*E962</f>
        <v>79.25</v>
      </c>
      <c r="N962" t="str">
        <f>IF(I962="Rob","Robusta",IF(I962="Exc","Excelsa",IF(I962="Ara","Arabica",IF(I962="Lib","Laberica",""))))</f>
        <v>Laberica</v>
      </c>
      <c r="O962" t="str">
        <f t="shared" si="14"/>
        <v>Light</v>
      </c>
      <c r="P962" t="str">
        <f>INDEX(customers!$I$1:$I$1001, MATCH(Orders[[#This Row],[Customer ID]], customers!$A$1:$A$1001, 0))</f>
        <v>Yes</v>
      </c>
    </row>
    <row r="963" spans="1:16" x14ac:dyDescent="0.25">
      <c r="A963" s="2" t="s">
        <v>5921</v>
      </c>
      <c r="B963" s="3">
        <v>44158</v>
      </c>
      <c r="C963" s="2" t="s">
        <v>5922</v>
      </c>
      <c r="D963" t="s">
        <v>6168</v>
      </c>
      <c r="E963" s="2">
        <v>2</v>
      </c>
      <c r="F963" s="2" t="str">
        <f>IFERROR(INDEX(customers!B$1:B$1001, MATCH(C963, customers!A$1:A$1001, 0)), "Not Found")</f>
        <v>Florinda Matusovsky</v>
      </c>
      <c r="G963" s="2" t="str">
        <f>IF(IFERROR(INDEX(customers!C$1:C$1001, MATCH(C963, customers!A$1:A$1001, 0)), "Not Found")=0,"",IFERROR(INDEX(customers!C$1:C$1001, MATCH(C963, customers!A$1:A$1001, 0)), "Not Found"))</f>
        <v/>
      </c>
      <c r="H963" s="2" t="str">
        <f>IFERROR(INDEX(customers!G$1:G$1001, MATCH(C963, customers!A$1:A$1001, 0)), "Not Found")</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L963*E963</f>
        <v>45.769999999999996</v>
      </c>
      <c r="N963" t="str">
        <f>IF(I963="Rob","Robusta",IF(I963="Exc","Excelsa",IF(I963="Ara","Arabica",IF(I963="Lib","Laberica",""))))</f>
        <v>Arabica</v>
      </c>
      <c r="O963" t="str">
        <f t="shared" ref="O963:O1001" si="15">IF(J963="M","Medium",IF(J963="L","Light",IF(J963="D","Dark","")))</f>
        <v>Dark</v>
      </c>
      <c r="P963" t="str">
        <f>INDEX(customers!$I$1:$I$1001, MATCH(Orders[[#This Row],[Customer ID]], customers!$A$1:$A$1001, 0))</f>
        <v>Yes</v>
      </c>
    </row>
    <row r="964" spans="1:16" x14ac:dyDescent="0.25">
      <c r="A964" s="2" t="s">
        <v>5926</v>
      </c>
      <c r="B964" s="3">
        <v>44664</v>
      </c>
      <c r="C964" s="2" t="s">
        <v>5927</v>
      </c>
      <c r="D964" t="s">
        <v>6177</v>
      </c>
      <c r="E964" s="2">
        <v>1</v>
      </c>
      <c r="F964" s="2" t="str">
        <f>IFERROR(INDEX(customers!B$1:B$1001, MATCH(C964, customers!A$1:A$1001, 0)), "Not Found")</f>
        <v>Morly Rocks</v>
      </c>
      <c r="G964" s="2" t="str">
        <f>IF(IFERROR(INDEX(customers!C$1:C$1001, MATCH(C964, customers!A$1:A$1001, 0)), "Not Found")=0,"",IFERROR(INDEX(customers!C$1:C$1001, MATCH(C964, customers!A$1:A$1001, 0)), "Not Found"))</f>
        <v>mrocksqq@exblog.jp</v>
      </c>
      <c r="H964" s="2" t="str">
        <f>IFERROR(INDEX(customers!G$1:G$1001, MATCH(C964, customers!A$1:A$1001, 0)), "Not Found")</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L964*E964</f>
        <v>8.9499999999999993</v>
      </c>
      <c r="N964" t="str">
        <f>IF(I964="Rob","Robusta",IF(I964="Exc","Excelsa",IF(I964="Ara","Arabica",IF(I964="Lib","Laberica",""))))</f>
        <v>Robusta</v>
      </c>
      <c r="O964" t="str">
        <f t="shared" si="15"/>
        <v>Dark</v>
      </c>
      <c r="P964" t="str">
        <f>INDEX(customers!$I$1:$I$1001, MATCH(Orders[[#This Row],[Customer ID]], customers!$A$1:$A$1001, 0))</f>
        <v>Yes</v>
      </c>
    </row>
    <row r="965" spans="1:16" x14ac:dyDescent="0.25">
      <c r="A965" s="2" t="s">
        <v>5932</v>
      </c>
      <c r="B965" s="3">
        <v>44203</v>
      </c>
      <c r="C965" s="2" t="s">
        <v>5933</v>
      </c>
      <c r="D965" t="s">
        <v>6146</v>
      </c>
      <c r="E965" s="2">
        <v>4</v>
      </c>
      <c r="F965" s="2" t="str">
        <f>IFERROR(INDEX(customers!B$1:B$1001, MATCH(C965, customers!A$1:A$1001, 0)), "Not Found")</f>
        <v>Yuri Burrells</v>
      </c>
      <c r="G965" s="2" t="str">
        <f>IF(IFERROR(INDEX(customers!C$1:C$1001, MATCH(C965, customers!A$1:A$1001, 0)), "Not Found")=0,"",IFERROR(INDEX(customers!C$1:C$1001, MATCH(C965, customers!A$1:A$1001, 0)), "Not Found"))</f>
        <v>yburrellsqr@vinaora.com</v>
      </c>
      <c r="H965" s="2" t="str">
        <f>IFERROR(INDEX(customers!G$1:G$1001, MATCH(C965, customers!A$1:A$1001, 0)), "Not Found")</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L965*E965</f>
        <v>23.88</v>
      </c>
      <c r="N965" t="str">
        <f>IF(I965="Rob","Robusta",IF(I965="Exc","Excelsa",IF(I965="Ara","Arabica",IF(I965="Lib","Laberica",""))))</f>
        <v>Robusta</v>
      </c>
      <c r="O965" t="str">
        <f t="shared" si="15"/>
        <v>Medium</v>
      </c>
      <c r="P965" t="str">
        <f>INDEX(customers!$I$1:$I$1001, MATCH(Orders[[#This Row],[Customer ID]], customers!$A$1:$A$1001, 0))</f>
        <v>Yes</v>
      </c>
    </row>
    <row r="966" spans="1:16" x14ac:dyDescent="0.25">
      <c r="A966" s="2" t="s">
        <v>5938</v>
      </c>
      <c r="B966" s="3">
        <v>43865</v>
      </c>
      <c r="C966" s="2" t="s">
        <v>5939</v>
      </c>
      <c r="D966" t="s">
        <v>6184</v>
      </c>
      <c r="E966" s="2">
        <v>5</v>
      </c>
      <c r="F966" s="2" t="str">
        <f>IFERROR(INDEX(customers!B$1:B$1001, MATCH(C966, customers!A$1:A$1001, 0)), "Not Found")</f>
        <v>Cleopatra Goodrum</v>
      </c>
      <c r="G966" s="2" t="str">
        <f>IF(IFERROR(INDEX(customers!C$1:C$1001, MATCH(C966, customers!A$1:A$1001, 0)), "Not Found")=0,"",IFERROR(INDEX(customers!C$1:C$1001, MATCH(C966, customers!A$1:A$1001, 0)), "Not Found"))</f>
        <v>cgoodrumqs@goodreads.com</v>
      </c>
      <c r="H966" s="2" t="str">
        <f>IFERROR(INDEX(customers!G$1:G$1001, MATCH(C966, customers!A$1:A$1001, 0)), "Not Found")</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L966*E966</f>
        <v>22.274999999999999</v>
      </c>
      <c r="N966" t="str">
        <f>IF(I966="Rob","Robusta",IF(I966="Exc","Excelsa",IF(I966="Ara","Arabica",IF(I966="Lib","Laberica",""))))</f>
        <v>Excelsa</v>
      </c>
      <c r="O966" t="str">
        <f t="shared" si="15"/>
        <v>Light</v>
      </c>
      <c r="P966" t="str">
        <f>INDEX(customers!$I$1:$I$1001, MATCH(Orders[[#This Row],[Customer ID]], customers!$A$1:$A$1001, 0))</f>
        <v>No</v>
      </c>
    </row>
    <row r="967" spans="1:16" x14ac:dyDescent="0.25">
      <c r="A967" s="2" t="s">
        <v>5944</v>
      </c>
      <c r="B967" s="3">
        <v>43724</v>
      </c>
      <c r="C967" s="2" t="s">
        <v>5945</v>
      </c>
      <c r="D967" t="s">
        <v>6138</v>
      </c>
      <c r="E967" s="2">
        <v>3</v>
      </c>
      <c r="F967" s="2" t="str">
        <f>IFERROR(INDEX(customers!B$1:B$1001, MATCH(C967, customers!A$1:A$1001, 0)), "Not Found")</f>
        <v>Joey Jefferys</v>
      </c>
      <c r="G967" s="2" t="str">
        <f>IF(IFERROR(INDEX(customers!C$1:C$1001, MATCH(C967, customers!A$1:A$1001, 0)), "Not Found")=0,"",IFERROR(INDEX(customers!C$1:C$1001, MATCH(C967, customers!A$1:A$1001, 0)), "Not Found"))</f>
        <v>jjefferysqt@blog.com</v>
      </c>
      <c r="H967" s="2" t="str">
        <f>IFERROR(INDEX(customers!G$1:G$1001, MATCH(C967, customers!A$1:A$1001, 0)), "Not Found")</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L967*E967</f>
        <v>29.849999999999998</v>
      </c>
      <c r="N967" t="str">
        <f>IF(I967="Rob","Robusta",IF(I967="Exc","Excelsa",IF(I967="Ara","Arabica",IF(I967="Lib","Laberica",""))))</f>
        <v>Robusta</v>
      </c>
      <c r="O967" t="str">
        <f t="shared" si="15"/>
        <v>Medium</v>
      </c>
      <c r="P967" t="str">
        <f>INDEX(customers!$I$1:$I$1001, MATCH(Orders[[#This Row],[Customer ID]], customers!$A$1:$A$1001, 0))</f>
        <v>Yes</v>
      </c>
    </row>
    <row r="968" spans="1:16" x14ac:dyDescent="0.25">
      <c r="A968" s="2" t="s">
        <v>5949</v>
      </c>
      <c r="B968" s="3">
        <v>43491</v>
      </c>
      <c r="C968" s="2" t="s">
        <v>5950</v>
      </c>
      <c r="D968" t="s">
        <v>6176</v>
      </c>
      <c r="E968" s="2">
        <v>6</v>
      </c>
      <c r="F968" s="2" t="str">
        <f>IFERROR(INDEX(customers!B$1:B$1001, MATCH(C968, customers!A$1:A$1001, 0)), "Not Found")</f>
        <v>Bearnard Wardell</v>
      </c>
      <c r="G968" s="2" t="str">
        <f>IF(IFERROR(INDEX(customers!C$1:C$1001, MATCH(C968, customers!A$1:A$1001, 0)), "Not Found")=0,"",IFERROR(INDEX(customers!C$1:C$1001, MATCH(C968, customers!A$1:A$1001, 0)), "Not Found"))</f>
        <v>bwardellqu@adobe.com</v>
      </c>
      <c r="H968" s="2" t="str">
        <f>IFERROR(INDEX(customers!G$1:G$1001, MATCH(C968, customers!A$1:A$1001, 0)), "Not Found")</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L968*E968</f>
        <v>53.46</v>
      </c>
      <c r="N968" t="str">
        <f>IF(I968="Rob","Robusta",IF(I968="Exc","Excelsa",IF(I968="Ara","Arabica",IF(I968="Lib","Laberica",""))))</f>
        <v>Excelsa</v>
      </c>
      <c r="O968" t="str">
        <f t="shared" si="15"/>
        <v>Light</v>
      </c>
      <c r="P968" t="str">
        <f>INDEX(customers!$I$1:$I$1001, MATCH(Orders[[#This Row],[Customer ID]], customers!$A$1:$A$1001, 0))</f>
        <v>Yes</v>
      </c>
    </row>
    <row r="969" spans="1:16" x14ac:dyDescent="0.25">
      <c r="A969" s="2" t="s">
        <v>5955</v>
      </c>
      <c r="B969" s="3">
        <v>44246</v>
      </c>
      <c r="C969" s="2" t="s">
        <v>5956</v>
      </c>
      <c r="D969" t="s">
        <v>6163</v>
      </c>
      <c r="E969" s="2">
        <v>1</v>
      </c>
      <c r="F969" s="2" t="str">
        <f>IFERROR(INDEX(customers!B$1:B$1001, MATCH(C969, customers!A$1:A$1001, 0)), "Not Found")</f>
        <v>Zeke Walisiak</v>
      </c>
      <c r="G969" s="2" t="str">
        <f>IF(IFERROR(INDEX(customers!C$1:C$1001, MATCH(C969, customers!A$1:A$1001, 0)), "Not Found")=0,"",IFERROR(INDEX(customers!C$1:C$1001, MATCH(C969, customers!A$1:A$1001, 0)), "Not Found"))</f>
        <v>zwalisiakqv@ucsd.edu</v>
      </c>
      <c r="H969" s="2" t="str">
        <f>IFERROR(INDEX(customers!G$1:G$1001, MATCH(C969, customers!A$1:A$1001, 0)), "Not Found")</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L969*E969</f>
        <v>2.6849999999999996</v>
      </c>
      <c r="N969" t="str">
        <f>IF(I969="Rob","Robusta",IF(I969="Exc","Excelsa",IF(I969="Ara","Arabica",IF(I969="Lib","Laberica",""))))</f>
        <v>Robusta</v>
      </c>
      <c r="O969" t="str">
        <f t="shared" si="15"/>
        <v>Dark</v>
      </c>
      <c r="P969" t="str">
        <f>INDEX(customers!$I$1:$I$1001, MATCH(Orders[[#This Row],[Customer ID]], customers!$A$1:$A$1001, 0))</f>
        <v>Yes</v>
      </c>
    </row>
    <row r="970" spans="1:16" x14ac:dyDescent="0.25">
      <c r="A970" s="2" t="s">
        <v>5961</v>
      </c>
      <c r="B970" s="3">
        <v>44642</v>
      </c>
      <c r="C970" s="2" t="s">
        <v>5962</v>
      </c>
      <c r="D970" t="s">
        <v>6174</v>
      </c>
      <c r="E970" s="2">
        <v>2</v>
      </c>
      <c r="F970" s="2" t="str">
        <f>IFERROR(INDEX(customers!B$1:B$1001, MATCH(C970, customers!A$1:A$1001, 0)), "Not Found")</f>
        <v>Wiley Leopold</v>
      </c>
      <c r="G970" s="2" t="str">
        <f>IF(IFERROR(INDEX(customers!C$1:C$1001, MATCH(C970, customers!A$1:A$1001, 0)), "Not Found")=0,"",IFERROR(INDEX(customers!C$1:C$1001, MATCH(C970, customers!A$1:A$1001, 0)), "Not Found"))</f>
        <v>wleopoldqw@blogspot.com</v>
      </c>
      <c r="H970" s="2" t="str">
        <f>IFERROR(INDEX(customers!G$1:G$1001, MATCH(C970, customers!A$1:A$1001, 0)), "Not Found")</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L970*E970</f>
        <v>5.97</v>
      </c>
      <c r="N970" t="str">
        <f>IF(I970="Rob","Robusta",IF(I970="Exc","Excelsa",IF(I970="Ara","Arabica",IF(I970="Lib","Laberica",""))))</f>
        <v>Robusta</v>
      </c>
      <c r="O970" t="str">
        <f t="shared" si="15"/>
        <v>Medium</v>
      </c>
      <c r="P970" t="str">
        <f>INDEX(customers!$I$1:$I$1001, MATCH(Orders[[#This Row],[Customer ID]], customers!$A$1:$A$1001, 0))</f>
        <v>No</v>
      </c>
    </row>
    <row r="971" spans="1:16" x14ac:dyDescent="0.25">
      <c r="A971" s="2" t="s">
        <v>5967</v>
      </c>
      <c r="B971" s="3">
        <v>43649</v>
      </c>
      <c r="C971" s="2" t="s">
        <v>5968</v>
      </c>
      <c r="D971" t="s">
        <v>6143</v>
      </c>
      <c r="E971" s="2">
        <v>1</v>
      </c>
      <c r="F971" s="2" t="str">
        <f>IFERROR(INDEX(customers!B$1:B$1001, MATCH(C971, customers!A$1:A$1001, 0)), "Not Found")</f>
        <v>Chiarra Shalders</v>
      </c>
      <c r="G971" s="2" t="str">
        <f>IF(IFERROR(INDEX(customers!C$1:C$1001, MATCH(C971, customers!A$1:A$1001, 0)), "Not Found")=0,"",IFERROR(INDEX(customers!C$1:C$1001, MATCH(C971, customers!A$1:A$1001, 0)), "Not Found"))</f>
        <v>cshaldersqx@cisco.com</v>
      </c>
      <c r="H971" s="2" t="str">
        <f>IFERROR(INDEX(customers!G$1:G$1001, MATCH(C971, customers!A$1:A$1001, 0)), "Not Found")</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L971*E971</f>
        <v>12.95</v>
      </c>
      <c r="N971" t="str">
        <f>IF(I971="Rob","Robusta",IF(I971="Exc","Excelsa",IF(I971="Ara","Arabica",IF(I971="Lib","Laberica",""))))</f>
        <v>Laberica</v>
      </c>
      <c r="O971" t="str">
        <f t="shared" si="15"/>
        <v>Dark</v>
      </c>
      <c r="P971" t="str">
        <f>INDEX(customers!$I$1:$I$1001, MATCH(Orders[[#This Row],[Customer ID]], customers!$A$1:$A$1001, 0))</f>
        <v>Yes</v>
      </c>
    </row>
    <row r="972" spans="1:16" x14ac:dyDescent="0.25">
      <c r="A972" s="2" t="s">
        <v>5973</v>
      </c>
      <c r="B972" s="3">
        <v>43729</v>
      </c>
      <c r="C972" s="2" t="s">
        <v>5974</v>
      </c>
      <c r="D972" t="s">
        <v>6139</v>
      </c>
      <c r="E972" s="2">
        <v>1</v>
      </c>
      <c r="F972" s="2" t="str">
        <f>IFERROR(INDEX(customers!B$1:B$1001, MATCH(C972, customers!A$1:A$1001, 0)), "Not Found")</f>
        <v>Sharl Southerill</v>
      </c>
      <c r="G972" s="2" t="str">
        <f>IF(IFERROR(INDEX(customers!C$1:C$1001, MATCH(C972, customers!A$1:A$1001, 0)), "Not Found")=0,"",IFERROR(INDEX(customers!C$1:C$1001, MATCH(C972, customers!A$1:A$1001, 0)), "Not Found"))</f>
        <v/>
      </c>
      <c r="H972" s="2" t="str">
        <f>IFERROR(INDEX(customers!G$1:G$1001, MATCH(C972, customers!A$1:A$1001, 0)), "Not Found")</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L972*E972</f>
        <v>8.25</v>
      </c>
      <c r="N972" t="str">
        <f>IF(I972="Rob","Robusta",IF(I972="Exc","Excelsa",IF(I972="Ara","Arabica",IF(I972="Lib","Laberica",""))))</f>
        <v>Excelsa</v>
      </c>
      <c r="O972" t="str">
        <f t="shared" si="15"/>
        <v>Medium</v>
      </c>
      <c r="P972" t="str">
        <f>INDEX(customers!$I$1:$I$1001, MATCH(Orders[[#This Row],[Customer ID]], customers!$A$1:$A$1001, 0))</f>
        <v>No</v>
      </c>
    </row>
    <row r="973" spans="1:16" x14ac:dyDescent="0.25">
      <c r="A973" s="2" t="s">
        <v>5978</v>
      </c>
      <c r="B973" s="3">
        <v>43703</v>
      </c>
      <c r="C973" s="2" t="s">
        <v>5979</v>
      </c>
      <c r="D973" t="s">
        <v>6182</v>
      </c>
      <c r="E973" s="2">
        <v>5</v>
      </c>
      <c r="F973" s="2" t="str">
        <f>IFERROR(INDEX(customers!B$1:B$1001, MATCH(C973, customers!A$1:A$1001, 0)), "Not Found")</f>
        <v>Noni Furber</v>
      </c>
      <c r="G973" s="2" t="str">
        <f>IF(IFERROR(INDEX(customers!C$1:C$1001, MATCH(C973, customers!A$1:A$1001, 0)), "Not Found")=0,"",IFERROR(INDEX(customers!C$1:C$1001, MATCH(C973, customers!A$1:A$1001, 0)), "Not Found"))</f>
        <v>nfurberqz@jugem.jp</v>
      </c>
      <c r="H973" s="2" t="str">
        <f>IFERROR(INDEX(customers!G$1:G$1001, MATCH(C973, customers!A$1:A$1001, 0)), "Not Found")</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L973*E973</f>
        <v>148.92499999999998</v>
      </c>
      <c r="N973" t="str">
        <f>IF(I973="Rob","Robusta",IF(I973="Exc","Excelsa",IF(I973="Ara","Arabica",IF(I973="Lib","Laberica",""))))</f>
        <v>Arabica</v>
      </c>
      <c r="O973" t="str">
        <f t="shared" si="15"/>
        <v>Light</v>
      </c>
      <c r="P973" t="str">
        <f>INDEX(customers!$I$1:$I$1001, MATCH(Orders[[#This Row],[Customer ID]], customers!$A$1:$A$1001, 0))</f>
        <v>No</v>
      </c>
    </row>
    <row r="974" spans="1:16" x14ac:dyDescent="0.25">
      <c r="A974" s="2" t="s">
        <v>5984</v>
      </c>
      <c r="B974" s="3">
        <v>44411</v>
      </c>
      <c r="C974" s="2" t="s">
        <v>5985</v>
      </c>
      <c r="D974" t="s">
        <v>6182</v>
      </c>
      <c r="E974" s="2">
        <v>3</v>
      </c>
      <c r="F974" s="2" t="str">
        <f>IFERROR(INDEX(customers!B$1:B$1001, MATCH(C974, customers!A$1:A$1001, 0)), "Not Found")</f>
        <v>Dinah Crutcher</v>
      </c>
      <c r="G974" s="2" t="str">
        <f>IF(IFERROR(INDEX(customers!C$1:C$1001, MATCH(C974, customers!A$1:A$1001, 0)), "Not Found")=0,"",IFERROR(INDEX(customers!C$1:C$1001, MATCH(C974, customers!A$1:A$1001, 0)), "Not Found"))</f>
        <v/>
      </c>
      <c r="H974" s="2" t="str">
        <f>IFERROR(INDEX(customers!G$1:G$1001, MATCH(C974, customers!A$1:A$1001, 0)), "Not Found")</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L974*E974</f>
        <v>89.35499999999999</v>
      </c>
      <c r="N974" t="str">
        <f>IF(I974="Rob","Robusta",IF(I974="Exc","Excelsa",IF(I974="Ara","Arabica",IF(I974="Lib","Laberica",""))))</f>
        <v>Arabica</v>
      </c>
      <c r="O974" t="str">
        <f t="shared" si="15"/>
        <v>Light</v>
      </c>
      <c r="P974" t="str">
        <f>INDEX(customers!$I$1:$I$1001, MATCH(Orders[[#This Row],[Customer ID]], customers!$A$1:$A$1001, 0))</f>
        <v>Yes</v>
      </c>
    </row>
    <row r="975" spans="1:16" x14ac:dyDescent="0.25">
      <c r="A975" s="2" t="s">
        <v>5989</v>
      </c>
      <c r="B975" s="3">
        <v>44493</v>
      </c>
      <c r="C975" s="2" t="s">
        <v>5990</v>
      </c>
      <c r="D975" t="s">
        <v>6162</v>
      </c>
      <c r="E975" s="2">
        <v>6</v>
      </c>
      <c r="F975" s="2" t="str">
        <f>IFERROR(INDEX(customers!B$1:B$1001, MATCH(C975, customers!A$1:A$1001, 0)), "Not Found")</f>
        <v>Charlean Keave</v>
      </c>
      <c r="G975" s="2" t="str">
        <f>IF(IFERROR(INDEX(customers!C$1:C$1001, MATCH(C975, customers!A$1:A$1001, 0)), "Not Found")=0,"",IFERROR(INDEX(customers!C$1:C$1001, MATCH(C975, customers!A$1:A$1001, 0)), "Not Found"))</f>
        <v>ckeaver1@ucoz.com</v>
      </c>
      <c r="H975" s="2" t="str">
        <f>IFERROR(INDEX(customers!G$1:G$1001, MATCH(C975, customers!A$1:A$1001, 0)), "Not Found")</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L975*E975</f>
        <v>87.300000000000011</v>
      </c>
      <c r="N975" t="str">
        <f>IF(I975="Rob","Robusta",IF(I975="Exc","Excelsa",IF(I975="Ara","Arabica",IF(I975="Lib","Laberica",""))))</f>
        <v>Laberica</v>
      </c>
      <c r="O975" t="str">
        <f t="shared" si="15"/>
        <v>Medium</v>
      </c>
      <c r="P975" t="str">
        <f>INDEX(customers!$I$1:$I$1001, MATCH(Orders[[#This Row],[Customer ID]], customers!$A$1:$A$1001, 0))</f>
        <v>No</v>
      </c>
    </row>
    <row r="976" spans="1:16" x14ac:dyDescent="0.25">
      <c r="A976" s="2" t="s">
        <v>5995</v>
      </c>
      <c r="B976" s="3">
        <v>43556</v>
      </c>
      <c r="C976" s="2" t="s">
        <v>5996</v>
      </c>
      <c r="D976" t="s">
        <v>6172</v>
      </c>
      <c r="E976" s="2">
        <v>1</v>
      </c>
      <c r="F976" s="2" t="str">
        <f>IFERROR(INDEX(customers!B$1:B$1001, MATCH(C976, customers!A$1:A$1001, 0)), "Not Found")</f>
        <v>Sada Roseborough</v>
      </c>
      <c r="G976" s="2" t="str">
        <f>IF(IFERROR(INDEX(customers!C$1:C$1001, MATCH(C976, customers!A$1:A$1001, 0)), "Not Found")=0,"",IFERROR(INDEX(customers!C$1:C$1001, MATCH(C976, customers!A$1:A$1001, 0)), "Not Found"))</f>
        <v>sroseboroughr2@virginia.edu</v>
      </c>
      <c r="H976" s="2" t="str">
        <f>IFERROR(INDEX(customers!G$1:G$1001, MATCH(C976, customers!A$1:A$1001, 0)), "Not Found")</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L976*E976</f>
        <v>5.3699999999999992</v>
      </c>
      <c r="N976" t="str">
        <f>IF(I976="Rob","Robusta",IF(I976="Exc","Excelsa",IF(I976="Ara","Arabica",IF(I976="Lib","Laberica",""))))</f>
        <v>Robusta</v>
      </c>
      <c r="O976" t="str">
        <f t="shared" si="15"/>
        <v>Dark</v>
      </c>
      <c r="P976" t="str">
        <f>INDEX(customers!$I$1:$I$1001, MATCH(Orders[[#This Row],[Customer ID]], customers!$A$1:$A$1001, 0))</f>
        <v>Yes</v>
      </c>
    </row>
    <row r="977" spans="1:16" x14ac:dyDescent="0.25">
      <c r="A977" s="2" t="s">
        <v>6001</v>
      </c>
      <c r="B977" s="3">
        <v>44538</v>
      </c>
      <c r="C977" s="2" t="s">
        <v>6002</v>
      </c>
      <c r="D977" t="s">
        <v>6154</v>
      </c>
      <c r="E977" s="2">
        <v>3</v>
      </c>
      <c r="F977" s="2" t="str">
        <f>IFERROR(INDEX(customers!B$1:B$1001, MATCH(C977, customers!A$1:A$1001, 0)), "Not Found")</f>
        <v>Clayton Kingwell</v>
      </c>
      <c r="G977" s="2" t="str">
        <f>IF(IFERROR(INDEX(customers!C$1:C$1001, MATCH(C977, customers!A$1:A$1001, 0)), "Not Found")=0,"",IFERROR(INDEX(customers!C$1:C$1001, MATCH(C977, customers!A$1:A$1001, 0)), "Not Found"))</f>
        <v>ckingwellr3@squarespace.com</v>
      </c>
      <c r="H977" s="2" t="str">
        <f>IFERROR(INDEX(customers!G$1:G$1001, MATCH(C977, customers!A$1:A$1001, 0)), "Not Found")</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L977*E977</f>
        <v>8.9550000000000001</v>
      </c>
      <c r="N977" t="str">
        <f>IF(I977="Rob","Robusta",IF(I977="Exc","Excelsa",IF(I977="Ara","Arabica",IF(I977="Lib","Laberica",""))))</f>
        <v>Arabica</v>
      </c>
      <c r="O977" t="str">
        <f t="shared" si="15"/>
        <v>Dark</v>
      </c>
      <c r="P977" t="str">
        <f>INDEX(customers!$I$1:$I$1001, MATCH(Orders[[#This Row],[Customer ID]], customers!$A$1:$A$1001, 0))</f>
        <v>Yes</v>
      </c>
    </row>
    <row r="978" spans="1:16" x14ac:dyDescent="0.25">
      <c r="A978" s="2" t="s">
        <v>6007</v>
      </c>
      <c r="B978" s="3">
        <v>43643</v>
      </c>
      <c r="C978" s="2" t="s">
        <v>6008</v>
      </c>
      <c r="D978" t="s">
        <v>6142</v>
      </c>
      <c r="E978" s="2">
        <v>5</v>
      </c>
      <c r="F978" s="2" t="str">
        <f>IFERROR(INDEX(customers!B$1:B$1001, MATCH(C978, customers!A$1:A$1001, 0)), "Not Found")</f>
        <v>Kacy Canto</v>
      </c>
      <c r="G978" s="2" t="str">
        <f>IF(IFERROR(INDEX(customers!C$1:C$1001, MATCH(C978, customers!A$1:A$1001, 0)), "Not Found")=0,"",IFERROR(INDEX(customers!C$1:C$1001, MATCH(C978, customers!A$1:A$1001, 0)), "Not Found"))</f>
        <v>kcantor4@gmpg.org</v>
      </c>
      <c r="H978" s="2" t="str">
        <f>IFERROR(INDEX(customers!G$1:G$1001, MATCH(C978, customers!A$1:A$1001, 0)), "Not Found")</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L978*E978</f>
        <v>137.42499999999998</v>
      </c>
      <c r="N978" t="str">
        <f>IF(I978="Rob","Robusta",IF(I978="Exc","Excelsa",IF(I978="Ara","Arabica",IF(I978="Lib","Laberica",""))))</f>
        <v>Robusta</v>
      </c>
      <c r="O978" t="str">
        <f t="shared" si="15"/>
        <v>Light</v>
      </c>
      <c r="P978" t="str">
        <f>INDEX(customers!$I$1:$I$1001, MATCH(Orders[[#This Row],[Customer ID]], customers!$A$1:$A$1001, 0))</f>
        <v>Yes</v>
      </c>
    </row>
    <row r="979" spans="1:16" x14ac:dyDescent="0.25">
      <c r="A979" s="2" t="s">
        <v>6013</v>
      </c>
      <c r="B979" s="3">
        <v>44026</v>
      </c>
      <c r="C979" s="2" t="s">
        <v>6014</v>
      </c>
      <c r="D979" t="s">
        <v>6179</v>
      </c>
      <c r="E979" s="2">
        <v>5</v>
      </c>
      <c r="F979" s="2" t="str">
        <f>IFERROR(INDEX(customers!B$1:B$1001, MATCH(C979, customers!A$1:A$1001, 0)), "Not Found")</f>
        <v>Mab Blakemore</v>
      </c>
      <c r="G979" s="2" t="str">
        <f>IF(IFERROR(INDEX(customers!C$1:C$1001, MATCH(C979, customers!A$1:A$1001, 0)), "Not Found")=0,"",IFERROR(INDEX(customers!C$1:C$1001, MATCH(C979, customers!A$1:A$1001, 0)), "Not Found"))</f>
        <v>mblakemorer5@nsw.gov.au</v>
      </c>
      <c r="H979" s="2" t="str">
        <f>IFERROR(INDEX(customers!G$1:G$1001, MATCH(C979, customers!A$1:A$1001, 0)), "Not Found")</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L979*E979</f>
        <v>59.75</v>
      </c>
      <c r="N979" t="str">
        <f>IF(I979="Rob","Robusta",IF(I979="Exc","Excelsa",IF(I979="Ara","Arabica",IF(I979="Lib","Laberica",""))))</f>
        <v>Robusta</v>
      </c>
      <c r="O979" t="str">
        <f t="shared" si="15"/>
        <v>Light</v>
      </c>
      <c r="P979" t="str">
        <f>INDEX(customers!$I$1:$I$1001, MATCH(Orders[[#This Row],[Customer ID]], customers!$A$1:$A$1001, 0))</f>
        <v>No</v>
      </c>
    </row>
    <row r="980" spans="1:16" x14ac:dyDescent="0.25">
      <c r="A980" s="2" t="s">
        <v>6019</v>
      </c>
      <c r="B980" s="3">
        <v>43913</v>
      </c>
      <c r="C980" s="2" t="s">
        <v>5990</v>
      </c>
      <c r="D980" t="s">
        <v>6180</v>
      </c>
      <c r="E980" s="2">
        <v>3</v>
      </c>
      <c r="F980" s="2" t="str">
        <f>IFERROR(INDEX(customers!B$1:B$1001, MATCH(C980, customers!A$1:A$1001, 0)), "Not Found")</f>
        <v>Charlean Keave</v>
      </c>
      <c r="G980" s="2" t="str">
        <f>IF(IFERROR(INDEX(customers!C$1:C$1001, MATCH(C980, customers!A$1:A$1001, 0)), "Not Found")=0,"",IFERROR(INDEX(customers!C$1:C$1001, MATCH(C980, customers!A$1:A$1001, 0)), "Not Found"))</f>
        <v>ckeaver1@ucoz.com</v>
      </c>
      <c r="H980" s="2" t="str">
        <f>IFERROR(INDEX(customers!G$1:G$1001, MATCH(C980, customers!A$1:A$1001, 0)), "Not Found")</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L980*E980</f>
        <v>23.31</v>
      </c>
      <c r="N980" t="str">
        <f>IF(I980="Rob","Robusta",IF(I980="Exc","Excelsa",IF(I980="Ara","Arabica",IF(I980="Lib","Laberica",""))))</f>
        <v>Arabica</v>
      </c>
      <c r="O980" t="str">
        <f t="shared" si="15"/>
        <v>Light</v>
      </c>
      <c r="P980" t="str">
        <f>INDEX(customers!$I$1:$I$1001, MATCH(Orders[[#This Row],[Customer ID]], customers!$A$1:$A$1001, 0))</f>
        <v>No</v>
      </c>
    </row>
    <row r="981" spans="1:16" x14ac:dyDescent="0.25">
      <c r="A981" s="2" t="s">
        <v>6025</v>
      </c>
      <c r="B981" s="3">
        <v>43856</v>
      </c>
      <c r="C981" s="2" t="s">
        <v>6026</v>
      </c>
      <c r="D981" t="s">
        <v>6172</v>
      </c>
      <c r="E981" s="2">
        <v>2</v>
      </c>
      <c r="F981" s="2" t="str">
        <f>IFERROR(INDEX(customers!B$1:B$1001, MATCH(C981, customers!A$1:A$1001, 0)), "Not Found")</f>
        <v>Javier Causnett</v>
      </c>
      <c r="G981" s="2" t="str">
        <f>IF(IFERROR(INDEX(customers!C$1:C$1001, MATCH(C981, customers!A$1:A$1001, 0)), "Not Found")=0,"",IFERROR(INDEX(customers!C$1:C$1001, MATCH(C981, customers!A$1:A$1001, 0)), "Not Found"))</f>
        <v/>
      </c>
      <c r="H981" s="2" t="str">
        <f>IFERROR(INDEX(customers!G$1:G$1001, MATCH(C981, customers!A$1:A$1001, 0)), "Not Found")</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L981*E981</f>
        <v>10.739999999999998</v>
      </c>
      <c r="N981" t="str">
        <f>IF(I981="Rob","Robusta",IF(I981="Exc","Excelsa",IF(I981="Ara","Arabica",IF(I981="Lib","Laberica",""))))</f>
        <v>Robusta</v>
      </c>
      <c r="O981" t="str">
        <f t="shared" si="15"/>
        <v>Dark</v>
      </c>
      <c r="P981" t="str">
        <f>INDEX(customers!$I$1:$I$1001, MATCH(Orders[[#This Row],[Customer ID]], customers!$A$1:$A$1001, 0))</f>
        <v>No</v>
      </c>
    </row>
    <row r="982" spans="1:16" x14ac:dyDescent="0.25">
      <c r="A982" s="2" t="s">
        <v>6030</v>
      </c>
      <c r="B982" s="3">
        <v>43982</v>
      </c>
      <c r="C982" s="2" t="s">
        <v>6031</v>
      </c>
      <c r="D982" t="s">
        <v>6185</v>
      </c>
      <c r="E982" s="2">
        <v>6</v>
      </c>
      <c r="F982" s="2" t="str">
        <f>IFERROR(INDEX(customers!B$1:B$1001, MATCH(C982, customers!A$1:A$1001, 0)), "Not Found")</f>
        <v>Demetris Micheli</v>
      </c>
      <c r="G982" s="2" t="str">
        <f>IF(IFERROR(INDEX(customers!C$1:C$1001, MATCH(C982, customers!A$1:A$1001, 0)), "Not Found")=0,"",IFERROR(INDEX(customers!C$1:C$1001, MATCH(C982, customers!A$1:A$1001, 0)), "Not Found"))</f>
        <v/>
      </c>
      <c r="H982" s="2" t="str">
        <f>IFERROR(INDEX(customers!G$1:G$1001, MATCH(C982, customers!A$1:A$1001, 0)), "Not Found")</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L982*E982</f>
        <v>167.67000000000002</v>
      </c>
      <c r="N982" t="str">
        <f>IF(I982="Rob","Robusta",IF(I982="Exc","Excelsa",IF(I982="Ara","Arabica",IF(I982="Lib","Laberica",""))))</f>
        <v>Excelsa</v>
      </c>
      <c r="O982" t="str">
        <f t="shared" si="15"/>
        <v>Dark</v>
      </c>
      <c r="P982" t="str">
        <f>INDEX(customers!$I$1:$I$1001, MATCH(Orders[[#This Row],[Customer ID]], customers!$A$1:$A$1001, 0))</f>
        <v>Yes</v>
      </c>
    </row>
    <row r="983" spans="1:16" x14ac:dyDescent="0.25">
      <c r="A983" s="2" t="s">
        <v>6035</v>
      </c>
      <c r="B983" s="3">
        <v>44397</v>
      </c>
      <c r="C983" s="2" t="s">
        <v>6036</v>
      </c>
      <c r="D983" t="s">
        <v>6153</v>
      </c>
      <c r="E983" s="2">
        <v>6</v>
      </c>
      <c r="F983" s="2" t="str">
        <f>IFERROR(INDEX(customers!B$1:B$1001, MATCH(C983, customers!A$1:A$1001, 0)), "Not Found")</f>
        <v>Chloette Bernardot</v>
      </c>
      <c r="G983" s="2" t="str">
        <f>IF(IFERROR(INDEX(customers!C$1:C$1001, MATCH(C983, customers!A$1:A$1001, 0)), "Not Found")=0,"",IFERROR(INDEX(customers!C$1:C$1001, MATCH(C983, customers!A$1:A$1001, 0)), "Not Found"))</f>
        <v>cbernardotr9@wix.com</v>
      </c>
      <c r="H983" s="2" t="str">
        <f>IFERROR(INDEX(customers!G$1:G$1001, MATCH(C983, customers!A$1:A$1001, 0)), "Not Found")</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L983*E983</f>
        <v>21.87</v>
      </c>
      <c r="N983" t="str">
        <f>IF(I983="Rob","Robusta",IF(I983="Exc","Excelsa",IF(I983="Ara","Arabica",IF(I983="Lib","Laberica",""))))</f>
        <v>Excelsa</v>
      </c>
      <c r="O983" t="str">
        <f t="shared" si="15"/>
        <v>Dark</v>
      </c>
      <c r="P983" t="str">
        <f>INDEX(customers!$I$1:$I$1001, MATCH(Orders[[#This Row],[Customer ID]], customers!$A$1:$A$1001, 0))</f>
        <v>Yes</v>
      </c>
    </row>
    <row r="984" spans="1:16" x14ac:dyDescent="0.25">
      <c r="A984" s="2" t="s">
        <v>6041</v>
      </c>
      <c r="B984" s="3">
        <v>44785</v>
      </c>
      <c r="C984" s="2" t="s">
        <v>6042</v>
      </c>
      <c r="D984" t="s">
        <v>6179</v>
      </c>
      <c r="E984" s="2">
        <v>2</v>
      </c>
      <c r="F984" s="2" t="str">
        <f>IFERROR(INDEX(customers!B$1:B$1001, MATCH(C984, customers!A$1:A$1001, 0)), "Not Found")</f>
        <v>Kim Kemery</v>
      </c>
      <c r="G984" s="2" t="str">
        <f>IF(IFERROR(INDEX(customers!C$1:C$1001, MATCH(C984, customers!A$1:A$1001, 0)), "Not Found")=0,"",IFERROR(INDEX(customers!C$1:C$1001, MATCH(C984, customers!A$1:A$1001, 0)), "Not Found"))</f>
        <v>kkemeryra@t.co</v>
      </c>
      <c r="H984" s="2" t="str">
        <f>IFERROR(INDEX(customers!G$1:G$1001, MATCH(C984, customers!A$1:A$1001, 0)), "Not Found")</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L984*E984</f>
        <v>23.9</v>
      </c>
      <c r="N984" t="str">
        <f>IF(I984="Rob","Robusta",IF(I984="Exc","Excelsa",IF(I984="Ara","Arabica",IF(I984="Lib","Laberica",""))))</f>
        <v>Robusta</v>
      </c>
      <c r="O984" t="str">
        <f t="shared" si="15"/>
        <v>Light</v>
      </c>
      <c r="P984" t="str">
        <f>INDEX(customers!$I$1:$I$1001, MATCH(Orders[[#This Row],[Customer ID]], customers!$A$1:$A$1001, 0))</f>
        <v>Yes</v>
      </c>
    </row>
    <row r="985" spans="1:16" x14ac:dyDescent="0.25">
      <c r="A985" s="2" t="s">
        <v>6047</v>
      </c>
      <c r="B985" s="3">
        <v>43831</v>
      </c>
      <c r="C985" s="2" t="s">
        <v>6048</v>
      </c>
      <c r="D985" t="s">
        <v>6152</v>
      </c>
      <c r="E985" s="2">
        <v>2</v>
      </c>
      <c r="F985" s="2" t="str">
        <f>IFERROR(INDEX(customers!B$1:B$1001, MATCH(C985, customers!A$1:A$1001, 0)), "Not Found")</f>
        <v>Fanchette Parlot</v>
      </c>
      <c r="G985" s="2" t="str">
        <f>IF(IFERROR(INDEX(customers!C$1:C$1001, MATCH(C985, customers!A$1:A$1001, 0)), "Not Found")=0,"",IFERROR(INDEX(customers!C$1:C$1001, MATCH(C985, customers!A$1:A$1001, 0)), "Not Found"))</f>
        <v>fparlotrb@forbes.com</v>
      </c>
      <c r="H985" s="2" t="str">
        <f>IFERROR(INDEX(customers!G$1:G$1001, MATCH(C985, customers!A$1:A$1001, 0)), "Not Found")</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L985*E985</f>
        <v>6.75</v>
      </c>
      <c r="N985" t="str">
        <f>IF(I985="Rob","Robusta",IF(I985="Exc","Excelsa",IF(I985="Ara","Arabica",IF(I985="Lib","Laberica",""))))</f>
        <v>Arabica</v>
      </c>
      <c r="O985" t="str">
        <f t="shared" si="15"/>
        <v>Medium</v>
      </c>
      <c r="P985" t="str">
        <f>INDEX(customers!$I$1:$I$1001, MATCH(Orders[[#This Row],[Customer ID]], customers!$A$1:$A$1001, 0))</f>
        <v>Yes</v>
      </c>
    </row>
    <row r="986" spans="1:16" x14ac:dyDescent="0.25">
      <c r="A986" s="2" t="s">
        <v>6053</v>
      </c>
      <c r="B986" s="3">
        <v>44214</v>
      </c>
      <c r="C986" s="2" t="s">
        <v>6054</v>
      </c>
      <c r="D986" t="s">
        <v>6166</v>
      </c>
      <c r="E986" s="2">
        <v>1</v>
      </c>
      <c r="F986" s="2" t="str">
        <f>IFERROR(INDEX(customers!B$1:B$1001, MATCH(C986, customers!A$1:A$1001, 0)), "Not Found")</f>
        <v>Ramon Cheak</v>
      </c>
      <c r="G986" s="2" t="str">
        <f>IF(IFERROR(INDEX(customers!C$1:C$1001, MATCH(C986, customers!A$1:A$1001, 0)), "Not Found")=0,"",IFERROR(INDEX(customers!C$1:C$1001, MATCH(C986, customers!A$1:A$1001, 0)), "Not Found"))</f>
        <v>rcheakrc@tripadvisor.com</v>
      </c>
      <c r="H986" s="2" t="str">
        <f>IFERROR(INDEX(customers!G$1:G$1001, MATCH(C986, customers!A$1:A$1001, 0)), "Not Found")</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L986*E986</f>
        <v>31.624999999999996</v>
      </c>
      <c r="N986" t="str">
        <f>IF(I986="Rob","Robusta",IF(I986="Exc","Excelsa",IF(I986="Ara","Arabica",IF(I986="Lib","Laberica",""))))</f>
        <v>Excelsa</v>
      </c>
      <c r="O986" t="str">
        <f t="shared" si="15"/>
        <v>Medium</v>
      </c>
      <c r="P986" t="str">
        <f>INDEX(customers!$I$1:$I$1001, MATCH(Orders[[#This Row],[Customer ID]], customers!$A$1:$A$1001, 0))</f>
        <v>Yes</v>
      </c>
    </row>
    <row r="987" spans="1:16" x14ac:dyDescent="0.25">
      <c r="A987" s="2" t="s">
        <v>6058</v>
      </c>
      <c r="B987" s="3">
        <v>44561</v>
      </c>
      <c r="C987" s="2" t="s">
        <v>6059</v>
      </c>
      <c r="D987" t="s">
        <v>6179</v>
      </c>
      <c r="E987" s="2">
        <v>4</v>
      </c>
      <c r="F987" s="2" t="str">
        <f>IFERROR(INDEX(customers!B$1:B$1001, MATCH(C987, customers!A$1:A$1001, 0)), "Not Found")</f>
        <v>Koressa O'Geneay</v>
      </c>
      <c r="G987" s="2" t="str">
        <f>IF(IFERROR(INDEX(customers!C$1:C$1001, MATCH(C987, customers!A$1:A$1001, 0)), "Not Found")=0,"",IFERROR(INDEX(customers!C$1:C$1001, MATCH(C987, customers!A$1:A$1001, 0)), "Not Found"))</f>
        <v>kogeneayrd@utexas.edu</v>
      </c>
      <c r="H987" s="2" t="str">
        <f>IFERROR(INDEX(customers!G$1:G$1001, MATCH(C987, customers!A$1:A$1001, 0)), "Not Found")</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L987*E987</f>
        <v>47.8</v>
      </c>
      <c r="N987" t="str">
        <f>IF(I987="Rob","Robusta",IF(I987="Exc","Excelsa",IF(I987="Ara","Arabica",IF(I987="Lib","Laberica",""))))</f>
        <v>Robusta</v>
      </c>
      <c r="O987" t="str">
        <f t="shared" si="15"/>
        <v>Light</v>
      </c>
      <c r="P987" t="str">
        <f>INDEX(customers!$I$1:$I$1001, MATCH(Orders[[#This Row],[Customer ID]], customers!$A$1:$A$1001, 0))</f>
        <v>No</v>
      </c>
    </row>
    <row r="988" spans="1:16" x14ac:dyDescent="0.25">
      <c r="A988" s="2" t="s">
        <v>6064</v>
      </c>
      <c r="B988" s="3">
        <v>43955</v>
      </c>
      <c r="C988" s="2" t="s">
        <v>6065</v>
      </c>
      <c r="D988" t="s">
        <v>6181</v>
      </c>
      <c r="E988" s="2">
        <v>1</v>
      </c>
      <c r="F988" s="2" t="str">
        <f>IFERROR(INDEX(customers!B$1:B$1001, MATCH(C988, customers!A$1:A$1001, 0)), "Not Found")</f>
        <v>Claudell Ayre</v>
      </c>
      <c r="G988" s="2" t="str">
        <f>IF(IFERROR(INDEX(customers!C$1:C$1001, MATCH(C988, customers!A$1:A$1001, 0)), "Not Found")=0,"",IFERROR(INDEX(customers!C$1:C$1001, MATCH(C988, customers!A$1:A$1001, 0)), "Not Found"))</f>
        <v>cayrere@symantec.com</v>
      </c>
      <c r="H988" s="2" t="str">
        <f>IFERROR(INDEX(customers!G$1:G$1001, MATCH(C988, customers!A$1:A$1001, 0)), "Not Found")</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L988*E988</f>
        <v>33.464999999999996</v>
      </c>
      <c r="N988" t="str">
        <f>IF(I988="Rob","Robusta",IF(I988="Exc","Excelsa",IF(I988="Ara","Arabica",IF(I988="Lib","Laberica",""))))</f>
        <v>Laberica</v>
      </c>
      <c r="O988" t="str">
        <f t="shared" si="15"/>
        <v>Medium</v>
      </c>
      <c r="P988" t="str">
        <f>INDEX(customers!$I$1:$I$1001, MATCH(Orders[[#This Row],[Customer ID]], customers!$A$1:$A$1001, 0))</f>
        <v>No</v>
      </c>
    </row>
    <row r="989" spans="1:16" x14ac:dyDescent="0.25">
      <c r="A989" s="2" t="s">
        <v>6070</v>
      </c>
      <c r="B989" s="3">
        <v>44247</v>
      </c>
      <c r="C989" s="2" t="s">
        <v>6071</v>
      </c>
      <c r="D989" t="s">
        <v>6158</v>
      </c>
      <c r="E989" s="2">
        <v>5</v>
      </c>
      <c r="F989" s="2" t="str">
        <f>IFERROR(INDEX(customers!B$1:B$1001, MATCH(C989, customers!A$1:A$1001, 0)), "Not Found")</f>
        <v>Lorianne Kyneton</v>
      </c>
      <c r="G989" s="2" t="str">
        <f>IF(IFERROR(INDEX(customers!C$1:C$1001, MATCH(C989, customers!A$1:A$1001, 0)), "Not Found")=0,"",IFERROR(INDEX(customers!C$1:C$1001, MATCH(C989, customers!A$1:A$1001, 0)), "Not Found"))</f>
        <v>lkynetonrf@macromedia.com</v>
      </c>
      <c r="H989" s="2" t="str">
        <f>IFERROR(INDEX(customers!G$1:G$1001, MATCH(C989, customers!A$1:A$1001, 0)), "Not Found")</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L989*E989</f>
        <v>29.849999999999998</v>
      </c>
      <c r="N989" t="str">
        <f>IF(I989="Rob","Robusta",IF(I989="Exc","Excelsa",IF(I989="Ara","Arabica",IF(I989="Lib","Laberica",""))))</f>
        <v>Arabica</v>
      </c>
      <c r="O989" t="str">
        <f t="shared" si="15"/>
        <v>Dark</v>
      </c>
      <c r="P989" t="str">
        <f>INDEX(customers!$I$1:$I$1001, MATCH(Orders[[#This Row],[Customer ID]], customers!$A$1:$A$1001, 0))</f>
        <v>Yes</v>
      </c>
    </row>
    <row r="990" spans="1:16" x14ac:dyDescent="0.25">
      <c r="A990" s="2" t="s">
        <v>6076</v>
      </c>
      <c r="B990" s="3">
        <v>43897</v>
      </c>
      <c r="C990" s="2" t="s">
        <v>6077</v>
      </c>
      <c r="D990" t="s">
        <v>6138</v>
      </c>
      <c r="E990" s="2">
        <v>3</v>
      </c>
      <c r="F990" s="2" t="str">
        <f>IFERROR(INDEX(customers!B$1:B$1001, MATCH(C990, customers!A$1:A$1001, 0)), "Not Found")</f>
        <v>Adele McFayden</v>
      </c>
      <c r="G990" s="2" t="str">
        <f>IF(IFERROR(INDEX(customers!C$1:C$1001, MATCH(C990, customers!A$1:A$1001, 0)), "Not Found")=0,"",IFERROR(INDEX(customers!C$1:C$1001, MATCH(C990, customers!A$1:A$1001, 0)), "Not Found"))</f>
        <v/>
      </c>
      <c r="H990" s="2" t="str">
        <f>IFERROR(INDEX(customers!G$1:G$1001, MATCH(C990, customers!A$1:A$1001, 0)), "Not Found")</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L990*E990</f>
        <v>29.849999999999998</v>
      </c>
      <c r="N990" t="str">
        <f>IF(I990="Rob","Robusta",IF(I990="Exc","Excelsa",IF(I990="Ara","Arabica",IF(I990="Lib","Laberica",""))))</f>
        <v>Robusta</v>
      </c>
      <c r="O990" t="str">
        <f t="shared" si="15"/>
        <v>Medium</v>
      </c>
      <c r="P990" t="str">
        <f>INDEX(customers!$I$1:$I$1001, MATCH(Orders[[#This Row],[Customer ID]], customers!$A$1:$A$1001, 0))</f>
        <v>Yes</v>
      </c>
    </row>
    <row r="991" spans="1:16" x14ac:dyDescent="0.25">
      <c r="A991" s="2" t="s">
        <v>6081</v>
      </c>
      <c r="B991" s="3">
        <v>43560</v>
      </c>
      <c r="C991" s="2" t="s">
        <v>6082</v>
      </c>
      <c r="D991" t="s">
        <v>6175</v>
      </c>
      <c r="E991" s="2">
        <v>6</v>
      </c>
      <c r="F991" s="2" t="str">
        <f>IFERROR(INDEX(customers!B$1:B$1001, MATCH(C991, customers!A$1:A$1001, 0)), "Not Found")</f>
        <v>Herta Layne</v>
      </c>
      <c r="G991" s="2" t="str">
        <f>IF(IFERROR(INDEX(customers!C$1:C$1001, MATCH(C991, customers!A$1:A$1001, 0)), "Not Found")=0,"",IFERROR(INDEX(customers!C$1:C$1001, MATCH(C991, customers!A$1:A$1001, 0)), "Not Found"))</f>
        <v/>
      </c>
      <c r="H991" s="2" t="str">
        <f>IFERROR(INDEX(customers!G$1:G$1001, MATCH(C991, customers!A$1:A$1001, 0)), "Not Found")</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L991*E991</f>
        <v>155.24999999999997</v>
      </c>
      <c r="N991" t="str">
        <f>IF(I991="Rob","Robusta",IF(I991="Exc","Excelsa",IF(I991="Ara","Arabica",IF(I991="Lib","Laberica",""))))</f>
        <v>Arabica</v>
      </c>
      <c r="O991" t="str">
        <f t="shared" si="15"/>
        <v>Medium</v>
      </c>
      <c r="P991" t="str">
        <f>INDEX(customers!$I$1:$I$1001, MATCH(Orders[[#This Row],[Customer ID]], customers!$A$1:$A$1001, 0))</f>
        <v>Yes</v>
      </c>
    </row>
    <row r="992" spans="1:16" x14ac:dyDescent="0.25">
      <c r="A992" s="2" t="s">
        <v>6086</v>
      </c>
      <c r="B992" s="3">
        <v>44718</v>
      </c>
      <c r="C992" s="2" t="s">
        <v>6118</v>
      </c>
      <c r="D992" t="s">
        <v>6153</v>
      </c>
      <c r="E992" s="2">
        <v>5</v>
      </c>
      <c r="F992" s="2" t="str">
        <f>IFERROR(INDEX(customers!B$1:B$1001, MATCH(C992, customers!A$1:A$1001, 0)), "Not Found")</f>
        <v>Marguerite Graves</v>
      </c>
      <c r="G992" s="2" t="str">
        <f>IF(IFERROR(INDEX(customers!C$1:C$1001, MATCH(C992, customers!A$1:A$1001, 0)), "Not Found")=0,"",IFERROR(INDEX(customers!C$1:C$1001, MATCH(C992, customers!A$1:A$1001, 0)), "Not Found"))</f>
        <v/>
      </c>
      <c r="H992" s="2" t="str">
        <f>IFERROR(INDEX(customers!G$1:G$1001, MATCH(C992, customers!A$1:A$1001, 0)), "Not Found")</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L992*E992</f>
        <v>18.225000000000001</v>
      </c>
      <c r="N992" t="str">
        <f>IF(I992="Rob","Robusta",IF(I992="Exc","Excelsa",IF(I992="Ara","Arabica",IF(I992="Lib","Laberica",""))))</f>
        <v>Excelsa</v>
      </c>
      <c r="O992" t="str">
        <f t="shared" si="15"/>
        <v>Dark</v>
      </c>
      <c r="P992" t="str">
        <f>INDEX(customers!$I$1:$I$1001, MATCH(Orders[[#This Row],[Customer ID]], customers!$A$1:$A$1001, 0))</f>
        <v>No</v>
      </c>
    </row>
    <row r="993" spans="1:16" x14ac:dyDescent="0.25">
      <c r="A993" s="2" t="s">
        <v>6086</v>
      </c>
      <c r="B993" s="3">
        <v>44718</v>
      </c>
      <c r="C993" s="2" t="s">
        <v>6118</v>
      </c>
      <c r="D993" t="s">
        <v>6169</v>
      </c>
      <c r="E993" s="2">
        <v>2</v>
      </c>
      <c r="F993" s="2" t="str">
        <f>IFERROR(INDEX(customers!B$1:B$1001, MATCH(C993, customers!A$1:A$1001, 0)), "Not Found")</f>
        <v>Marguerite Graves</v>
      </c>
      <c r="G993" s="2" t="str">
        <f>IF(IFERROR(INDEX(customers!C$1:C$1001, MATCH(C993, customers!A$1:A$1001, 0)), "Not Found")=0,"",IFERROR(INDEX(customers!C$1:C$1001, MATCH(C993, customers!A$1:A$1001, 0)), "Not Found"))</f>
        <v/>
      </c>
      <c r="H993" s="2" t="str">
        <f>IFERROR(INDEX(customers!G$1:G$1001, MATCH(C993, customers!A$1:A$1001, 0)), "Not Found")</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L993*E993</f>
        <v>15.54</v>
      </c>
      <c r="N993" t="str">
        <f>IF(I993="Rob","Robusta",IF(I993="Exc","Excelsa",IF(I993="Ara","Arabica",IF(I993="Lib","Laberica",""))))</f>
        <v>Laberica</v>
      </c>
      <c r="O993" t="str">
        <f t="shared" si="15"/>
        <v>Dark</v>
      </c>
      <c r="P993" t="str">
        <f>INDEX(customers!$I$1:$I$1001, MATCH(Orders[[#This Row],[Customer ID]], customers!$A$1:$A$1001, 0))</f>
        <v>No</v>
      </c>
    </row>
    <row r="994" spans="1:16" x14ac:dyDescent="0.25">
      <c r="A994" s="2" t="s">
        <v>6096</v>
      </c>
      <c r="B994" s="3">
        <v>44276</v>
      </c>
      <c r="C994" s="2" t="s">
        <v>6097</v>
      </c>
      <c r="D994" t="s">
        <v>6164</v>
      </c>
      <c r="E994" s="2">
        <v>3</v>
      </c>
      <c r="F994" s="2" t="str">
        <f>IFERROR(INDEX(customers!B$1:B$1001, MATCH(C994, customers!A$1:A$1001, 0)), "Not Found")</f>
        <v>Desdemona Eye</v>
      </c>
      <c r="G994" s="2" t="str">
        <f>IF(IFERROR(INDEX(customers!C$1:C$1001, MATCH(C994, customers!A$1:A$1001, 0)), "Not Found")=0,"",IFERROR(INDEX(customers!C$1:C$1001, MATCH(C994, customers!A$1:A$1001, 0)), "Not Found"))</f>
        <v/>
      </c>
      <c r="H994" s="2" t="str">
        <f>IFERROR(INDEX(customers!G$1:G$1001, MATCH(C994, customers!A$1:A$1001, 0)), "Not Found")</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L994*E994</f>
        <v>109.36499999999999</v>
      </c>
      <c r="N994" t="str">
        <f>IF(I994="Rob","Robusta",IF(I994="Exc","Excelsa",IF(I994="Ara","Arabica",IF(I994="Lib","Laberica",""))))</f>
        <v>Laberica</v>
      </c>
      <c r="O994" t="str">
        <f t="shared" si="15"/>
        <v>Light</v>
      </c>
      <c r="P994" t="str">
        <f>INDEX(customers!$I$1:$I$1001, MATCH(Orders[[#This Row],[Customer ID]], customers!$A$1:$A$1001, 0))</f>
        <v>No</v>
      </c>
    </row>
    <row r="995" spans="1:16" x14ac:dyDescent="0.25">
      <c r="A995" s="2" t="s">
        <v>6101</v>
      </c>
      <c r="B995" s="3">
        <v>44549</v>
      </c>
      <c r="C995" s="2" t="s">
        <v>6102</v>
      </c>
      <c r="D995" t="s">
        <v>6140</v>
      </c>
      <c r="E995" s="2">
        <v>6</v>
      </c>
      <c r="F995" s="2" t="str">
        <f>IFERROR(INDEX(customers!B$1:B$1001, MATCH(C995, customers!A$1:A$1001, 0)), "Not Found")</f>
        <v>Margarette Sterland</v>
      </c>
      <c r="G995" s="2" t="str">
        <f>IF(IFERROR(INDEX(customers!C$1:C$1001, MATCH(C995, customers!A$1:A$1001, 0)), "Not Found")=0,"",IFERROR(INDEX(customers!C$1:C$1001, MATCH(C995, customers!A$1:A$1001, 0)), "Not Found"))</f>
        <v/>
      </c>
      <c r="H995" s="2" t="str">
        <f>IFERROR(INDEX(customers!G$1:G$1001, MATCH(C995, customers!A$1:A$1001, 0)), "Not Found")</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L995*E995</f>
        <v>77.699999999999989</v>
      </c>
      <c r="N995" t="str">
        <f>IF(I995="Rob","Robusta",IF(I995="Exc","Excelsa",IF(I995="Ara","Arabica",IF(I995="Lib","Laberica",""))))</f>
        <v>Arabica</v>
      </c>
      <c r="O995" t="str">
        <f t="shared" si="15"/>
        <v>Light</v>
      </c>
      <c r="P995" t="str">
        <f>INDEX(customers!$I$1:$I$1001, MATCH(Orders[[#This Row],[Customer ID]], customers!$A$1:$A$1001, 0))</f>
        <v>No</v>
      </c>
    </row>
    <row r="996" spans="1:16" x14ac:dyDescent="0.25">
      <c r="A996" s="2" t="s">
        <v>6106</v>
      </c>
      <c r="B996" s="3">
        <v>44244</v>
      </c>
      <c r="C996" s="2" t="s">
        <v>6107</v>
      </c>
      <c r="D996" t="s">
        <v>6154</v>
      </c>
      <c r="E996" s="2">
        <v>3</v>
      </c>
      <c r="F996" s="2" t="str">
        <f>IFERROR(INDEX(customers!B$1:B$1001, MATCH(C996, customers!A$1:A$1001, 0)), "Not Found")</f>
        <v>Catharine Scoines</v>
      </c>
      <c r="G996" s="2" t="str">
        <f>IF(IFERROR(INDEX(customers!C$1:C$1001, MATCH(C996, customers!A$1:A$1001, 0)), "Not Found")=0,"",IFERROR(INDEX(customers!C$1:C$1001, MATCH(C996, customers!A$1:A$1001, 0)), "Not Found"))</f>
        <v/>
      </c>
      <c r="H996" s="2" t="str">
        <f>IFERROR(INDEX(customers!G$1:G$1001, MATCH(C996, customers!A$1:A$1001, 0)), "Not Found")</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L996*E996</f>
        <v>8.9550000000000001</v>
      </c>
      <c r="N996" t="str">
        <f>IF(I996="Rob","Robusta",IF(I996="Exc","Excelsa",IF(I996="Ara","Arabica",IF(I996="Lib","Laberica",""))))</f>
        <v>Arabica</v>
      </c>
      <c r="O996" t="str">
        <f t="shared" si="15"/>
        <v>Dark</v>
      </c>
      <c r="P996" t="str">
        <f>INDEX(customers!$I$1:$I$1001, MATCH(Orders[[#This Row],[Customer ID]], customers!$A$1:$A$1001, 0))</f>
        <v>No</v>
      </c>
    </row>
    <row r="997" spans="1:16" x14ac:dyDescent="0.25">
      <c r="A997" s="2" t="s">
        <v>6111</v>
      </c>
      <c r="B997" s="3">
        <v>43836</v>
      </c>
      <c r="C997" s="2" t="s">
        <v>6112</v>
      </c>
      <c r="D997" t="s">
        <v>6142</v>
      </c>
      <c r="E997" s="2">
        <v>1</v>
      </c>
      <c r="F997" s="2" t="str">
        <f>IFERROR(INDEX(customers!B$1:B$1001, MATCH(C997, customers!A$1:A$1001, 0)), "Not Found")</f>
        <v>Jennica Tewelson</v>
      </c>
      <c r="G997" s="2" t="str">
        <f>IF(IFERROR(INDEX(customers!C$1:C$1001, MATCH(C997, customers!A$1:A$1001, 0)), "Not Found")=0,"",IFERROR(INDEX(customers!C$1:C$1001, MATCH(C997, customers!A$1:A$1001, 0)), "Not Found"))</f>
        <v>jtewelsonrn@samsung.com</v>
      </c>
      <c r="H997" s="2" t="str">
        <f>IFERROR(INDEX(customers!G$1:G$1001, MATCH(C997, customers!A$1:A$1001, 0)), "Not Found")</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L997*E997</f>
        <v>27.484999999999996</v>
      </c>
      <c r="N997" t="str">
        <f>IF(I997="Rob","Robusta",IF(I997="Exc","Excelsa",IF(I997="Ara","Arabica",IF(I997="Lib","Laberica",""))))</f>
        <v>Robusta</v>
      </c>
      <c r="O997" t="str">
        <f t="shared" si="15"/>
        <v>Light</v>
      </c>
      <c r="P997" t="str">
        <f>INDEX(customers!$I$1:$I$1001, MATCH(Orders[[#This Row],[Customer ID]], customers!$A$1:$A$1001, 0))</f>
        <v>No</v>
      </c>
    </row>
    <row r="998" spans="1:16" x14ac:dyDescent="0.25">
      <c r="A998" s="2" t="s">
        <v>6117</v>
      </c>
      <c r="B998" s="3">
        <v>44685</v>
      </c>
      <c r="C998" s="2" t="s">
        <v>6118</v>
      </c>
      <c r="D998" t="s">
        <v>6146</v>
      </c>
      <c r="E998" s="2">
        <v>5</v>
      </c>
      <c r="F998" s="2" t="str">
        <f>IFERROR(INDEX(customers!B$1:B$1001, MATCH(C998, customers!A$1:A$1001, 0)), "Not Found")</f>
        <v>Marguerite Graves</v>
      </c>
      <c r="G998" s="2" t="str">
        <f>IF(IFERROR(INDEX(customers!C$1:C$1001, MATCH(C998, customers!A$1:A$1001, 0)), "Not Found")=0,"",IFERROR(INDEX(customers!C$1:C$1001, MATCH(C998, customers!A$1:A$1001, 0)), "Not Found"))</f>
        <v/>
      </c>
      <c r="H998" s="2" t="str">
        <f>IFERROR(INDEX(customers!G$1:G$1001, MATCH(C998, customers!A$1:A$1001, 0)), "Not Found")</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L998*E998</f>
        <v>29.849999999999998</v>
      </c>
      <c r="N998" t="str">
        <f>IF(I998="Rob","Robusta",IF(I998="Exc","Excelsa",IF(I998="Ara","Arabica",IF(I998="Lib","Laberica",""))))</f>
        <v>Robusta</v>
      </c>
      <c r="O998" t="str">
        <f t="shared" si="15"/>
        <v>Medium</v>
      </c>
      <c r="P998" t="str">
        <f>INDEX(customers!$I$1:$I$1001, MATCH(Orders[[#This Row],[Customer ID]], customers!$A$1:$A$1001, 0))</f>
        <v>No</v>
      </c>
    </row>
    <row r="999" spans="1:16" x14ac:dyDescent="0.25">
      <c r="A999" s="2" t="s">
        <v>6122</v>
      </c>
      <c r="B999" s="3">
        <v>43749</v>
      </c>
      <c r="C999" s="2" t="s">
        <v>6118</v>
      </c>
      <c r="D999" t="s">
        <v>6157</v>
      </c>
      <c r="E999" s="2">
        <v>4</v>
      </c>
      <c r="F999" s="2" t="str">
        <f>IFERROR(INDEX(customers!B$1:B$1001, MATCH(C999, customers!A$1:A$1001, 0)), "Not Found")</f>
        <v>Marguerite Graves</v>
      </c>
      <c r="G999" s="2" t="str">
        <f>IF(IFERROR(INDEX(customers!C$1:C$1001, MATCH(C999, customers!A$1:A$1001, 0)), "Not Found")=0,"",IFERROR(INDEX(customers!C$1:C$1001, MATCH(C999, customers!A$1:A$1001, 0)), "Not Found"))</f>
        <v/>
      </c>
      <c r="H999" s="2" t="str">
        <f>IFERROR(INDEX(customers!G$1:G$1001, MATCH(C999, customers!A$1:A$1001, 0)), "Not Found")</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L999*E999</f>
        <v>27</v>
      </c>
      <c r="N999" t="str">
        <f>IF(I999="Rob","Robusta",IF(I999="Exc","Excelsa",IF(I999="Ara","Arabica",IF(I999="Lib","Laberica",""))))</f>
        <v>Arabica</v>
      </c>
      <c r="O999" t="str">
        <f t="shared" si="15"/>
        <v>Medium</v>
      </c>
      <c r="P999" t="str">
        <f>INDEX(customers!$I$1:$I$1001, MATCH(Orders[[#This Row],[Customer ID]], customers!$A$1:$A$1001, 0))</f>
        <v>No</v>
      </c>
    </row>
    <row r="1000" spans="1:16" x14ac:dyDescent="0.25">
      <c r="A1000" s="2" t="s">
        <v>6127</v>
      </c>
      <c r="B1000" s="3">
        <v>44411</v>
      </c>
      <c r="C1000" s="2" t="s">
        <v>6128</v>
      </c>
      <c r="D1000" t="s">
        <v>6147</v>
      </c>
      <c r="E1000" s="2">
        <v>1</v>
      </c>
      <c r="F1000" s="2" t="str">
        <f>IFERROR(INDEX(customers!B$1:B$1001, MATCH(C1000, customers!A$1:A$1001, 0)), "Not Found")</f>
        <v>Nicolina Jenny</v>
      </c>
      <c r="G1000" s="2" t="str">
        <f>IF(IFERROR(INDEX(customers!C$1:C$1001, MATCH(C1000, customers!A$1:A$1001, 0)), "Not Found")=0,"",IFERROR(INDEX(customers!C$1:C$1001, MATCH(C1000, customers!A$1:A$1001, 0)), "Not Found"))</f>
        <v>njennyrq@bigcartel.com</v>
      </c>
      <c r="H1000" s="2" t="str">
        <f>IFERROR(INDEX(customers!G$1:G$1001, MATCH(C1000, customers!A$1:A$1001, 0)), "Not Found")</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L1000*E1000</f>
        <v>9.9499999999999993</v>
      </c>
      <c r="N1000" t="str">
        <f>IF(I1000="Rob","Robusta",IF(I1000="Exc","Excelsa",IF(I1000="Ara","Arabica",IF(I1000="Lib","Laberica",""))))</f>
        <v>Arabica</v>
      </c>
      <c r="O1000" t="str">
        <f t="shared" si="15"/>
        <v>Dark</v>
      </c>
      <c r="P1000" t="str">
        <f>INDEX(customers!$I$1:$I$1001, MATCH(Orders[[#This Row],[Customer ID]], customers!$A$1:$A$1001, 0))</f>
        <v>No</v>
      </c>
    </row>
    <row r="1001" spans="1:16" x14ac:dyDescent="0.25">
      <c r="A1001" s="2" t="s">
        <v>6133</v>
      </c>
      <c r="B1001" s="3">
        <v>44119</v>
      </c>
      <c r="C1001" s="2" t="s">
        <v>6134</v>
      </c>
      <c r="D1001" t="s">
        <v>6156</v>
      </c>
      <c r="E1001" s="2">
        <v>3</v>
      </c>
      <c r="F1001" s="2" t="str">
        <f>IFERROR(INDEX(customers!B$1:B$1001, MATCH(C1001, customers!A$1:A$1001, 0)), "Not Found")</f>
        <v>Vidovic Antonelli</v>
      </c>
      <c r="G1001" s="2" t="str">
        <f>IF(IFERROR(INDEX(customers!C$1:C$1001, MATCH(C1001, customers!A$1:A$1001, 0)), "Not Found")=0,"",IFERROR(INDEX(customers!C$1:C$1001, MATCH(C1001, customers!A$1:A$1001, 0)), "Not Found"))</f>
        <v/>
      </c>
      <c r="H1001" s="2" t="str">
        <f>IFERROR(INDEX(customers!G$1:G$1001, MATCH(C1001, customers!A$1:A$1001, 0)), "Not Found")</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L1001*E1001</f>
        <v>12.375</v>
      </c>
      <c r="N1001" t="str">
        <f>IF(I1001="Rob","Robusta",IF(I1001="Exc","Excelsa",IF(I1001="Ara","Arabica",IF(I1001="Lib","Laberica",""))))</f>
        <v>Excelsa</v>
      </c>
      <c r="O1001" t="str">
        <f t="shared" si="15"/>
        <v>Medium</v>
      </c>
      <c r="P1001" t="str">
        <f>INDEX(customers!$I$1:$I$1001, MATCH(Orders[[#This Row],[Customer ID]], customers!$A$1:$A$1001, 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01"/>
  <sheetViews>
    <sheetView zoomScale="70" zoomScaleNormal="70" workbookViewId="0">
      <selection activeCell="D8" sqref="D8"/>
    </sheetView>
  </sheetViews>
  <sheetFormatPr defaultRowHeight="15" x14ac:dyDescent="0.25"/>
  <cols>
    <col min="1" max="1" width="19.5703125" bestFit="1" customWidth="1"/>
    <col min="2" max="2" width="25.85546875" bestFit="1" customWidth="1"/>
    <col min="3" max="3" width="40.7109375" bestFit="1" customWidth="1"/>
    <col min="4" max="4" width="22" bestFit="1" customWidth="1"/>
    <col min="5" max="5" width="29.140625" bestFit="1" customWidth="1"/>
    <col min="6" max="6" width="22" bestFit="1" customWidth="1"/>
    <col min="7" max="7" width="16.42578125" bestFit="1" customWidth="1"/>
    <col min="8" max="8" width="13.85546875" bestFit="1" customWidth="1"/>
    <col min="9" max="9" width="16.28515625" bestFit="1" customWidth="1"/>
  </cols>
  <sheetData>
    <row r="1" spans="1:9" x14ac:dyDescent="0.25">
      <c r="A1" s="2" t="s">
        <v>3</v>
      </c>
      <c r="B1" s="2" t="s">
        <v>4</v>
      </c>
      <c r="C1" s="2" t="s">
        <v>2</v>
      </c>
      <c r="D1" s="2" t="s">
        <v>317</v>
      </c>
      <c r="E1" s="2" t="s">
        <v>5</v>
      </c>
      <c r="F1" s="2" t="s">
        <v>6</v>
      </c>
      <c r="G1" s="2" t="s">
        <v>7</v>
      </c>
      <c r="H1" s="2" t="s">
        <v>8</v>
      </c>
      <c r="I1" s="2" t="s">
        <v>6189</v>
      </c>
    </row>
    <row r="2" spans="1:9" x14ac:dyDescent="0.25">
      <c r="A2" s="2" t="s">
        <v>491</v>
      </c>
      <c r="B2" s="2" t="s">
        <v>492</v>
      </c>
      <c r="C2" s="2" t="s">
        <v>493</v>
      </c>
      <c r="D2" s="2" t="s">
        <v>494</v>
      </c>
      <c r="E2" s="2" t="s">
        <v>495</v>
      </c>
      <c r="F2" s="2" t="s">
        <v>266</v>
      </c>
      <c r="G2" s="2" t="s">
        <v>19</v>
      </c>
      <c r="H2" s="2">
        <v>7505</v>
      </c>
      <c r="I2" t="s">
        <v>6190</v>
      </c>
    </row>
    <row r="3" spans="1:9" x14ac:dyDescent="0.25">
      <c r="A3" s="2" t="s">
        <v>496</v>
      </c>
      <c r="B3" s="2" t="s">
        <v>497</v>
      </c>
      <c r="C3" s="2" t="s">
        <v>498</v>
      </c>
      <c r="D3" s="2" t="s">
        <v>499</v>
      </c>
      <c r="E3" s="2" t="s">
        <v>500</v>
      </c>
      <c r="F3" s="2" t="s">
        <v>329</v>
      </c>
      <c r="G3" s="2" t="s">
        <v>318</v>
      </c>
      <c r="H3" s="2" t="s">
        <v>330</v>
      </c>
      <c r="I3" t="s">
        <v>6191</v>
      </c>
    </row>
    <row r="4" spans="1:9" x14ac:dyDescent="0.25">
      <c r="A4" s="2" t="s">
        <v>502</v>
      </c>
      <c r="B4" s="2" t="s">
        <v>503</v>
      </c>
      <c r="C4" s="2" t="s">
        <v>504</v>
      </c>
      <c r="D4" s="2" t="s">
        <v>505</v>
      </c>
      <c r="E4" s="2" t="s">
        <v>506</v>
      </c>
      <c r="F4" s="2" t="s">
        <v>125</v>
      </c>
      <c r="G4" s="2" t="s">
        <v>19</v>
      </c>
      <c r="H4" s="2">
        <v>78205</v>
      </c>
      <c r="I4" t="s">
        <v>6190</v>
      </c>
    </row>
    <row r="5" spans="1:9" x14ac:dyDescent="0.25">
      <c r="A5" s="2" t="s">
        <v>507</v>
      </c>
      <c r="B5" s="2" t="s">
        <v>508</v>
      </c>
      <c r="C5" s="2" t="s">
        <v>509</v>
      </c>
      <c r="D5" s="2" t="s">
        <v>510</v>
      </c>
      <c r="E5" s="2" t="s">
        <v>511</v>
      </c>
      <c r="F5" s="2" t="s">
        <v>83</v>
      </c>
      <c r="G5" s="2" t="s">
        <v>19</v>
      </c>
      <c r="H5" s="2">
        <v>62711</v>
      </c>
      <c r="I5" t="s">
        <v>6190</v>
      </c>
    </row>
    <row r="6" spans="1:9" x14ac:dyDescent="0.25">
      <c r="A6" s="2" t="s">
        <v>513</v>
      </c>
      <c r="B6" s="2" t="s">
        <v>514</v>
      </c>
      <c r="C6" s="2"/>
      <c r="D6" s="2" t="s">
        <v>515</v>
      </c>
      <c r="E6" s="2" t="s">
        <v>516</v>
      </c>
      <c r="F6" s="2" t="s">
        <v>517</v>
      </c>
      <c r="G6" s="2" t="s">
        <v>318</v>
      </c>
      <c r="H6" s="2" t="s">
        <v>518</v>
      </c>
      <c r="I6" t="s">
        <v>6191</v>
      </c>
    </row>
    <row r="7" spans="1:9" x14ac:dyDescent="0.25">
      <c r="A7" s="2" t="s">
        <v>520</v>
      </c>
      <c r="B7" s="2" t="s">
        <v>521</v>
      </c>
      <c r="C7" s="2"/>
      <c r="D7" s="2" t="s">
        <v>522</v>
      </c>
      <c r="E7" s="2" t="s">
        <v>523</v>
      </c>
      <c r="F7" s="2" t="s">
        <v>110</v>
      </c>
      <c r="G7" s="2" t="s">
        <v>19</v>
      </c>
      <c r="H7" s="2">
        <v>18505</v>
      </c>
      <c r="I7" t="s">
        <v>6191</v>
      </c>
    </row>
    <row r="8" spans="1:9" x14ac:dyDescent="0.25">
      <c r="A8" s="2" t="s">
        <v>525</v>
      </c>
      <c r="B8" s="2" t="s">
        <v>526</v>
      </c>
      <c r="C8" s="2" t="s">
        <v>527</v>
      </c>
      <c r="D8" s="2" t="s">
        <v>528</v>
      </c>
      <c r="E8" s="2" t="s">
        <v>529</v>
      </c>
      <c r="F8" s="2" t="s">
        <v>203</v>
      </c>
      <c r="G8" s="2" t="s">
        <v>19</v>
      </c>
      <c r="H8" s="2">
        <v>45440</v>
      </c>
      <c r="I8" t="s">
        <v>6190</v>
      </c>
    </row>
    <row r="9" spans="1:9" x14ac:dyDescent="0.25">
      <c r="A9" s="2" t="s">
        <v>531</v>
      </c>
      <c r="B9" s="2" t="s">
        <v>532</v>
      </c>
      <c r="C9" s="2"/>
      <c r="D9" s="2" t="s">
        <v>533</v>
      </c>
      <c r="E9" s="2" t="s">
        <v>534</v>
      </c>
      <c r="F9" s="2" t="s">
        <v>386</v>
      </c>
      <c r="G9" s="2" t="s">
        <v>318</v>
      </c>
      <c r="H9" s="2" t="s">
        <v>322</v>
      </c>
      <c r="I9" t="s">
        <v>6190</v>
      </c>
    </row>
    <row r="10" spans="1:9" x14ac:dyDescent="0.25">
      <c r="A10" s="2" t="s">
        <v>536</v>
      </c>
      <c r="B10" s="2" t="s">
        <v>537</v>
      </c>
      <c r="C10" s="2" t="s">
        <v>538</v>
      </c>
      <c r="D10" s="2" t="s">
        <v>539</v>
      </c>
      <c r="E10" s="2" t="s">
        <v>540</v>
      </c>
      <c r="F10" s="2" t="s">
        <v>27</v>
      </c>
      <c r="G10" s="2" t="s">
        <v>19</v>
      </c>
      <c r="H10" s="2">
        <v>90045</v>
      </c>
      <c r="I10" t="s">
        <v>6191</v>
      </c>
    </row>
    <row r="11" spans="1:9" x14ac:dyDescent="0.25">
      <c r="A11" s="2" t="s">
        <v>542</v>
      </c>
      <c r="B11" s="2" t="s">
        <v>543</v>
      </c>
      <c r="C11" s="2" t="s">
        <v>544</v>
      </c>
      <c r="D11" s="2" t="s">
        <v>545</v>
      </c>
      <c r="E11" s="2" t="s">
        <v>546</v>
      </c>
      <c r="F11" s="2" t="s">
        <v>27</v>
      </c>
      <c r="G11" s="2" t="s">
        <v>19</v>
      </c>
      <c r="H11" s="2">
        <v>90065</v>
      </c>
      <c r="I11" t="s">
        <v>6191</v>
      </c>
    </row>
    <row r="12" spans="1:9" x14ac:dyDescent="0.25">
      <c r="A12" s="2" t="s">
        <v>548</v>
      </c>
      <c r="B12" s="2" t="s">
        <v>549</v>
      </c>
      <c r="C12" s="2" t="s">
        <v>550</v>
      </c>
      <c r="D12" s="2" t="s">
        <v>551</v>
      </c>
      <c r="E12" s="2" t="s">
        <v>552</v>
      </c>
      <c r="F12" s="2" t="s">
        <v>98</v>
      </c>
      <c r="G12" s="2" t="s">
        <v>19</v>
      </c>
      <c r="H12" s="2">
        <v>95160</v>
      </c>
      <c r="I12" t="s">
        <v>6191</v>
      </c>
    </row>
    <row r="13" spans="1:9" x14ac:dyDescent="0.25">
      <c r="A13" s="2" t="s">
        <v>554</v>
      </c>
      <c r="B13" s="2" t="s">
        <v>555</v>
      </c>
      <c r="C13" s="2" t="s">
        <v>556</v>
      </c>
      <c r="D13" s="2" t="s">
        <v>557</v>
      </c>
      <c r="E13" s="2" t="s">
        <v>558</v>
      </c>
      <c r="F13" s="2" t="s">
        <v>98</v>
      </c>
      <c r="G13" s="2" t="s">
        <v>19</v>
      </c>
      <c r="H13" s="2">
        <v>95194</v>
      </c>
      <c r="I13" t="s">
        <v>6190</v>
      </c>
    </row>
    <row r="14" spans="1:9" x14ac:dyDescent="0.25">
      <c r="A14" s="2" t="s">
        <v>560</v>
      </c>
      <c r="B14" s="2" t="s">
        <v>561</v>
      </c>
      <c r="C14" s="2" t="s">
        <v>562</v>
      </c>
      <c r="D14" s="2" t="s">
        <v>563</v>
      </c>
      <c r="E14" s="2" t="s">
        <v>564</v>
      </c>
      <c r="F14" s="2" t="s">
        <v>38</v>
      </c>
      <c r="G14" s="2" t="s">
        <v>19</v>
      </c>
      <c r="H14" s="2">
        <v>23285</v>
      </c>
      <c r="I14" t="s">
        <v>6191</v>
      </c>
    </row>
    <row r="15" spans="1:9" x14ac:dyDescent="0.25">
      <c r="A15" s="2" t="s">
        <v>566</v>
      </c>
      <c r="B15" s="2" t="s">
        <v>567</v>
      </c>
      <c r="C15" s="2" t="s">
        <v>568</v>
      </c>
      <c r="D15" s="2"/>
      <c r="E15" s="2" t="s">
        <v>569</v>
      </c>
      <c r="F15" s="2" t="s">
        <v>269</v>
      </c>
      <c r="G15" s="2" t="s">
        <v>19</v>
      </c>
      <c r="H15" s="2">
        <v>41905</v>
      </c>
      <c r="I15" t="s">
        <v>6191</v>
      </c>
    </row>
    <row r="16" spans="1:9" x14ac:dyDescent="0.25">
      <c r="A16" s="2" t="s">
        <v>571</v>
      </c>
      <c r="B16" s="2" t="s">
        <v>572</v>
      </c>
      <c r="C16" s="2" t="s">
        <v>573</v>
      </c>
      <c r="D16" s="2" t="s">
        <v>574</v>
      </c>
      <c r="E16" s="2" t="s">
        <v>575</v>
      </c>
      <c r="F16" s="2" t="s">
        <v>104</v>
      </c>
      <c r="G16" s="2" t="s">
        <v>19</v>
      </c>
      <c r="H16" s="2">
        <v>63131</v>
      </c>
      <c r="I16" t="s">
        <v>6190</v>
      </c>
    </row>
    <row r="17" spans="1:9" x14ac:dyDescent="0.25">
      <c r="A17" s="2" t="s">
        <v>577</v>
      </c>
      <c r="B17" s="2" t="s">
        <v>578</v>
      </c>
      <c r="C17" s="2" t="s">
        <v>579</v>
      </c>
      <c r="D17" s="2"/>
      <c r="E17" s="2" t="s">
        <v>580</v>
      </c>
      <c r="F17" s="2" t="s">
        <v>46</v>
      </c>
      <c r="G17" s="2" t="s">
        <v>19</v>
      </c>
      <c r="H17" s="2">
        <v>19172</v>
      </c>
      <c r="I17" t="s">
        <v>6191</v>
      </c>
    </row>
    <row r="18" spans="1:9" x14ac:dyDescent="0.25">
      <c r="A18" s="2" t="s">
        <v>582</v>
      </c>
      <c r="B18" s="2" t="s">
        <v>583</v>
      </c>
      <c r="C18" s="2" t="s">
        <v>584</v>
      </c>
      <c r="D18" s="2" t="s">
        <v>585</v>
      </c>
      <c r="E18" s="2" t="s">
        <v>586</v>
      </c>
      <c r="F18" s="2" t="s">
        <v>189</v>
      </c>
      <c r="G18" s="2" t="s">
        <v>19</v>
      </c>
      <c r="H18" s="2">
        <v>97271</v>
      </c>
      <c r="I18" t="s">
        <v>6191</v>
      </c>
    </row>
    <row r="19" spans="1:9" x14ac:dyDescent="0.25">
      <c r="A19" s="2" t="s">
        <v>588</v>
      </c>
      <c r="B19" s="2" t="s">
        <v>589</v>
      </c>
      <c r="C19" s="2" t="s">
        <v>590</v>
      </c>
      <c r="D19" s="2" t="s">
        <v>591</v>
      </c>
      <c r="E19" s="2" t="s">
        <v>592</v>
      </c>
      <c r="F19" s="2" t="s">
        <v>63</v>
      </c>
      <c r="G19" s="2" t="s">
        <v>19</v>
      </c>
      <c r="H19" s="2">
        <v>77240</v>
      </c>
      <c r="I19" t="s">
        <v>6191</v>
      </c>
    </row>
    <row r="20" spans="1:9" x14ac:dyDescent="0.25">
      <c r="A20" s="2" t="s">
        <v>594</v>
      </c>
      <c r="B20" s="2" t="s">
        <v>595</v>
      </c>
      <c r="C20" s="2" t="s">
        <v>596</v>
      </c>
      <c r="D20" s="2"/>
      <c r="E20" s="2" t="s">
        <v>597</v>
      </c>
      <c r="F20" s="2" t="s">
        <v>474</v>
      </c>
      <c r="G20" s="2" t="s">
        <v>318</v>
      </c>
      <c r="H20" s="2" t="s">
        <v>416</v>
      </c>
      <c r="I20" t="s">
        <v>6190</v>
      </c>
    </row>
    <row r="21" spans="1:9" x14ac:dyDescent="0.25">
      <c r="A21" s="2" t="s">
        <v>599</v>
      </c>
      <c r="B21" s="2" t="s">
        <v>600</v>
      </c>
      <c r="C21" s="2" t="s">
        <v>601</v>
      </c>
      <c r="D21" s="2" t="s">
        <v>602</v>
      </c>
      <c r="E21" s="2" t="s">
        <v>603</v>
      </c>
      <c r="F21" s="2" t="s">
        <v>57</v>
      </c>
      <c r="G21" s="2" t="s">
        <v>19</v>
      </c>
      <c r="H21" s="2">
        <v>10060</v>
      </c>
      <c r="I21" t="s">
        <v>6190</v>
      </c>
    </row>
    <row r="22" spans="1:9" x14ac:dyDescent="0.25">
      <c r="A22" s="2" t="s">
        <v>604</v>
      </c>
      <c r="B22" s="2" t="s">
        <v>605</v>
      </c>
      <c r="C22" s="2"/>
      <c r="D22" s="2" t="s">
        <v>606</v>
      </c>
      <c r="E22" s="2" t="s">
        <v>607</v>
      </c>
      <c r="F22" s="2" t="s">
        <v>435</v>
      </c>
      <c r="G22" s="2" t="s">
        <v>318</v>
      </c>
      <c r="H22" s="2" t="s">
        <v>334</v>
      </c>
      <c r="I22" t="s">
        <v>6190</v>
      </c>
    </row>
    <row r="23" spans="1:9" x14ac:dyDescent="0.25">
      <c r="A23" s="2" t="s">
        <v>609</v>
      </c>
      <c r="B23" s="2" t="s">
        <v>610</v>
      </c>
      <c r="C23" s="2" t="s">
        <v>611</v>
      </c>
      <c r="D23" s="2" t="s">
        <v>612</v>
      </c>
      <c r="E23" s="2" t="s">
        <v>613</v>
      </c>
      <c r="F23" s="2" t="s">
        <v>183</v>
      </c>
      <c r="G23" s="2" t="s">
        <v>19</v>
      </c>
      <c r="H23" s="2">
        <v>49560</v>
      </c>
      <c r="I23" t="s">
        <v>6191</v>
      </c>
    </row>
    <row r="24" spans="1:9" x14ac:dyDescent="0.25">
      <c r="A24" s="2" t="s">
        <v>615</v>
      </c>
      <c r="B24" s="2" t="s">
        <v>616</v>
      </c>
      <c r="C24" s="2" t="s">
        <v>617</v>
      </c>
      <c r="D24" s="2" t="s">
        <v>618</v>
      </c>
      <c r="E24" s="2" t="s">
        <v>619</v>
      </c>
      <c r="F24" s="2" t="s">
        <v>211</v>
      </c>
      <c r="G24" s="2" t="s">
        <v>19</v>
      </c>
      <c r="H24" s="2">
        <v>33982</v>
      </c>
      <c r="I24" t="s">
        <v>6190</v>
      </c>
    </row>
    <row r="25" spans="1:9" x14ac:dyDescent="0.25">
      <c r="A25" s="2" t="s">
        <v>621</v>
      </c>
      <c r="B25" s="2" t="s">
        <v>622</v>
      </c>
      <c r="C25" s="2" t="s">
        <v>623</v>
      </c>
      <c r="D25" s="2" t="s">
        <v>624</v>
      </c>
      <c r="E25" s="2" t="s">
        <v>625</v>
      </c>
      <c r="F25" s="2" t="s">
        <v>91</v>
      </c>
      <c r="G25" s="2" t="s">
        <v>19</v>
      </c>
      <c r="H25" s="2">
        <v>98682</v>
      </c>
      <c r="I25" t="s">
        <v>6190</v>
      </c>
    </row>
    <row r="26" spans="1:9" x14ac:dyDescent="0.25">
      <c r="A26" s="2" t="s">
        <v>627</v>
      </c>
      <c r="B26" s="2" t="s">
        <v>628</v>
      </c>
      <c r="C26" s="2" t="s">
        <v>629</v>
      </c>
      <c r="D26" s="2" t="s">
        <v>630</v>
      </c>
      <c r="E26" s="2" t="s">
        <v>631</v>
      </c>
      <c r="F26" s="2" t="s">
        <v>157</v>
      </c>
      <c r="G26" s="2" t="s">
        <v>19</v>
      </c>
      <c r="H26" s="2">
        <v>80150</v>
      </c>
      <c r="I26" t="s">
        <v>6191</v>
      </c>
    </row>
    <row r="27" spans="1:9" x14ac:dyDescent="0.25">
      <c r="A27" s="2" t="s">
        <v>633</v>
      </c>
      <c r="B27" s="2" t="s">
        <v>634</v>
      </c>
      <c r="C27" s="2"/>
      <c r="D27" s="2" t="s">
        <v>635</v>
      </c>
      <c r="E27" s="2" t="s">
        <v>636</v>
      </c>
      <c r="F27" s="2" t="s">
        <v>211</v>
      </c>
      <c r="G27" s="2" t="s">
        <v>19</v>
      </c>
      <c r="H27" s="2">
        <v>33982</v>
      </c>
      <c r="I27" t="s">
        <v>6190</v>
      </c>
    </row>
    <row r="28" spans="1:9" x14ac:dyDescent="0.25">
      <c r="A28" s="2" t="s">
        <v>638</v>
      </c>
      <c r="B28" s="2" t="s">
        <v>639</v>
      </c>
      <c r="C28" s="2" t="s">
        <v>640</v>
      </c>
      <c r="D28" s="2" t="s">
        <v>641</v>
      </c>
      <c r="E28" s="2" t="s">
        <v>642</v>
      </c>
      <c r="F28" s="2" t="s">
        <v>40</v>
      </c>
      <c r="G28" s="2" t="s">
        <v>19</v>
      </c>
      <c r="H28" s="2">
        <v>94975</v>
      </c>
      <c r="I28" t="s">
        <v>6190</v>
      </c>
    </row>
    <row r="29" spans="1:9" x14ac:dyDescent="0.25">
      <c r="A29" s="2" t="s">
        <v>644</v>
      </c>
      <c r="B29" s="2" t="s">
        <v>645</v>
      </c>
      <c r="C29" s="2" t="s">
        <v>646</v>
      </c>
      <c r="D29" s="2" t="s">
        <v>647</v>
      </c>
      <c r="E29" s="2" t="s">
        <v>648</v>
      </c>
      <c r="F29" s="2" t="s">
        <v>433</v>
      </c>
      <c r="G29" s="2" t="s">
        <v>318</v>
      </c>
      <c r="H29" s="2" t="s">
        <v>434</v>
      </c>
      <c r="I29" t="s">
        <v>6191</v>
      </c>
    </row>
    <row r="30" spans="1:9" x14ac:dyDescent="0.25">
      <c r="A30" s="2" t="s">
        <v>650</v>
      </c>
      <c r="B30" s="2" t="s">
        <v>651</v>
      </c>
      <c r="C30" s="2" t="s">
        <v>652</v>
      </c>
      <c r="D30" s="2" t="s">
        <v>653</v>
      </c>
      <c r="E30" s="2" t="s">
        <v>654</v>
      </c>
      <c r="F30" s="2" t="s">
        <v>347</v>
      </c>
      <c r="G30" s="2" t="s">
        <v>318</v>
      </c>
      <c r="H30" s="2" t="s">
        <v>348</v>
      </c>
      <c r="I30" t="s">
        <v>6191</v>
      </c>
    </row>
    <row r="31" spans="1:9" x14ac:dyDescent="0.25">
      <c r="A31" s="2" t="s">
        <v>656</v>
      </c>
      <c r="B31" s="2" t="s">
        <v>657</v>
      </c>
      <c r="C31" s="2" t="s">
        <v>658</v>
      </c>
      <c r="D31" s="2" t="s">
        <v>659</v>
      </c>
      <c r="E31" s="2" t="s">
        <v>660</v>
      </c>
      <c r="F31" s="2" t="s">
        <v>423</v>
      </c>
      <c r="G31" s="2" t="s">
        <v>318</v>
      </c>
      <c r="H31" s="2" t="s">
        <v>402</v>
      </c>
      <c r="I31" t="s">
        <v>6190</v>
      </c>
    </row>
    <row r="32" spans="1:9" x14ac:dyDescent="0.25">
      <c r="A32" s="2" t="s">
        <v>662</v>
      </c>
      <c r="B32" s="2" t="s">
        <v>663</v>
      </c>
      <c r="C32" s="2"/>
      <c r="D32" s="2" t="s">
        <v>664</v>
      </c>
      <c r="E32" s="2" t="s">
        <v>665</v>
      </c>
      <c r="F32" s="2" t="s">
        <v>133</v>
      </c>
      <c r="G32" s="2" t="s">
        <v>19</v>
      </c>
      <c r="H32" s="2">
        <v>80044</v>
      </c>
      <c r="I32" t="s">
        <v>6191</v>
      </c>
    </row>
    <row r="33" spans="1:9" x14ac:dyDescent="0.25">
      <c r="A33" s="2" t="s">
        <v>666</v>
      </c>
      <c r="B33" s="2" t="s">
        <v>667</v>
      </c>
      <c r="C33" s="2" t="s">
        <v>668</v>
      </c>
      <c r="D33" s="2" t="s">
        <v>669</v>
      </c>
      <c r="E33" s="2" t="s">
        <v>670</v>
      </c>
      <c r="F33" s="2" t="s">
        <v>132</v>
      </c>
      <c r="G33" s="2" t="s">
        <v>19</v>
      </c>
      <c r="H33" s="2">
        <v>11407</v>
      </c>
      <c r="I33" t="s">
        <v>6191</v>
      </c>
    </row>
    <row r="34" spans="1:9" x14ac:dyDescent="0.25">
      <c r="A34" s="2" t="s">
        <v>671</v>
      </c>
      <c r="B34" s="2" t="s">
        <v>672</v>
      </c>
      <c r="C34" s="2" t="s">
        <v>673</v>
      </c>
      <c r="D34" s="2" t="s">
        <v>674</v>
      </c>
      <c r="E34" s="2" t="s">
        <v>675</v>
      </c>
      <c r="F34" s="2" t="s">
        <v>349</v>
      </c>
      <c r="G34" s="2" t="s">
        <v>318</v>
      </c>
      <c r="H34" s="2" t="s">
        <v>350</v>
      </c>
      <c r="I34" t="s">
        <v>6190</v>
      </c>
    </row>
    <row r="35" spans="1:9" x14ac:dyDescent="0.25">
      <c r="A35" s="2" t="s">
        <v>677</v>
      </c>
      <c r="B35" s="2" t="s">
        <v>678</v>
      </c>
      <c r="C35" s="2" t="s">
        <v>679</v>
      </c>
      <c r="D35" s="2"/>
      <c r="E35" s="2" t="s">
        <v>680</v>
      </c>
      <c r="F35" s="2" t="s">
        <v>141</v>
      </c>
      <c r="G35" s="2" t="s">
        <v>19</v>
      </c>
      <c r="H35" s="2">
        <v>58207</v>
      </c>
      <c r="I35" t="s">
        <v>6191</v>
      </c>
    </row>
    <row r="36" spans="1:9" x14ac:dyDescent="0.25">
      <c r="A36" s="2" t="s">
        <v>682</v>
      </c>
      <c r="B36" s="2" t="s">
        <v>683</v>
      </c>
      <c r="C36" s="2" t="s">
        <v>684</v>
      </c>
      <c r="D36" s="2" t="s">
        <v>685</v>
      </c>
      <c r="E36" s="2" t="s">
        <v>686</v>
      </c>
      <c r="F36" s="2" t="s">
        <v>81</v>
      </c>
      <c r="G36" s="2" t="s">
        <v>28</v>
      </c>
      <c r="H36" s="2" t="s">
        <v>258</v>
      </c>
      <c r="I36" t="s">
        <v>6190</v>
      </c>
    </row>
    <row r="37" spans="1:9" x14ac:dyDescent="0.25">
      <c r="A37" s="2" t="s">
        <v>688</v>
      </c>
      <c r="B37" s="2" t="s">
        <v>689</v>
      </c>
      <c r="C37" s="2" t="s">
        <v>690</v>
      </c>
      <c r="D37" s="2" t="s">
        <v>691</v>
      </c>
      <c r="E37" s="2" t="s">
        <v>692</v>
      </c>
      <c r="F37" s="2" t="s">
        <v>48</v>
      </c>
      <c r="G37" s="2" t="s">
        <v>19</v>
      </c>
      <c r="H37" s="2">
        <v>25362</v>
      </c>
      <c r="I37" t="s">
        <v>6191</v>
      </c>
    </row>
    <row r="38" spans="1:9" x14ac:dyDescent="0.25">
      <c r="A38" s="2" t="s">
        <v>694</v>
      </c>
      <c r="B38" s="2" t="s">
        <v>695</v>
      </c>
      <c r="C38" s="2" t="s">
        <v>696</v>
      </c>
      <c r="D38" s="2" t="s">
        <v>697</v>
      </c>
      <c r="E38" s="2" t="s">
        <v>698</v>
      </c>
      <c r="F38" s="2" t="s">
        <v>88</v>
      </c>
      <c r="G38" s="2" t="s">
        <v>19</v>
      </c>
      <c r="H38" s="2">
        <v>72204</v>
      </c>
      <c r="I38" t="s">
        <v>6191</v>
      </c>
    </row>
    <row r="39" spans="1:9" x14ac:dyDescent="0.25">
      <c r="A39" s="2" t="s">
        <v>700</v>
      </c>
      <c r="B39" s="2" t="s">
        <v>701</v>
      </c>
      <c r="C39" s="2" t="s">
        <v>702</v>
      </c>
      <c r="D39" s="2" t="s">
        <v>703</v>
      </c>
      <c r="E39" s="2" t="s">
        <v>704</v>
      </c>
      <c r="F39" s="2" t="s">
        <v>42</v>
      </c>
      <c r="G39" s="2" t="s">
        <v>19</v>
      </c>
      <c r="H39" s="2">
        <v>80291</v>
      </c>
      <c r="I39" t="s">
        <v>6191</v>
      </c>
    </row>
    <row r="40" spans="1:9" x14ac:dyDescent="0.25">
      <c r="A40" s="2" t="s">
        <v>706</v>
      </c>
      <c r="B40" s="2" t="s">
        <v>707</v>
      </c>
      <c r="C40" s="2" t="s">
        <v>708</v>
      </c>
      <c r="D40" s="2" t="s">
        <v>709</v>
      </c>
      <c r="E40" s="2" t="s">
        <v>710</v>
      </c>
      <c r="F40" s="2" t="s">
        <v>33</v>
      </c>
      <c r="G40" s="2" t="s">
        <v>19</v>
      </c>
      <c r="H40" s="2">
        <v>55458</v>
      </c>
      <c r="I40" t="s">
        <v>6191</v>
      </c>
    </row>
    <row r="41" spans="1:9" x14ac:dyDescent="0.25">
      <c r="A41" s="2" t="s">
        <v>712</v>
      </c>
      <c r="B41" s="2" t="s">
        <v>713</v>
      </c>
      <c r="C41" s="2"/>
      <c r="D41" s="2"/>
      <c r="E41" s="2" t="s">
        <v>714</v>
      </c>
      <c r="F41" s="2" t="s">
        <v>126</v>
      </c>
      <c r="G41" s="2" t="s">
        <v>19</v>
      </c>
      <c r="H41" s="2">
        <v>85715</v>
      </c>
      <c r="I41" t="s">
        <v>6190</v>
      </c>
    </row>
    <row r="42" spans="1:9" x14ac:dyDescent="0.25">
      <c r="A42" s="2" t="s">
        <v>716</v>
      </c>
      <c r="B42" s="2" t="s">
        <v>717</v>
      </c>
      <c r="C42" s="2"/>
      <c r="D42" s="2" t="s">
        <v>718</v>
      </c>
      <c r="E42" s="2" t="s">
        <v>719</v>
      </c>
      <c r="F42" s="2" t="s">
        <v>69</v>
      </c>
      <c r="G42" s="2" t="s">
        <v>19</v>
      </c>
      <c r="H42" s="2">
        <v>70116</v>
      </c>
      <c r="I42" t="s">
        <v>6191</v>
      </c>
    </row>
    <row r="43" spans="1:9" x14ac:dyDescent="0.25">
      <c r="A43" s="2" t="s">
        <v>721</v>
      </c>
      <c r="B43" s="2" t="s">
        <v>722</v>
      </c>
      <c r="C43" s="2" t="s">
        <v>723</v>
      </c>
      <c r="D43" s="2" t="s">
        <v>724</v>
      </c>
      <c r="E43" s="2" t="s">
        <v>725</v>
      </c>
      <c r="F43" s="2" t="s">
        <v>71</v>
      </c>
      <c r="G43" s="2" t="s">
        <v>19</v>
      </c>
      <c r="H43" s="2">
        <v>6183</v>
      </c>
      <c r="I43" t="s">
        <v>6190</v>
      </c>
    </row>
    <row r="44" spans="1:9" x14ac:dyDescent="0.25">
      <c r="A44" s="2" t="s">
        <v>727</v>
      </c>
      <c r="B44" s="2" t="s">
        <v>728</v>
      </c>
      <c r="C44" s="2" t="s">
        <v>729</v>
      </c>
      <c r="D44" s="2" t="s">
        <v>730</v>
      </c>
      <c r="E44" s="2" t="s">
        <v>731</v>
      </c>
      <c r="F44" s="2" t="s">
        <v>732</v>
      </c>
      <c r="G44" s="2" t="s">
        <v>19</v>
      </c>
      <c r="H44" s="2">
        <v>84409</v>
      </c>
      <c r="I44" t="s">
        <v>6190</v>
      </c>
    </row>
    <row r="45" spans="1:9" x14ac:dyDescent="0.25">
      <c r="A45" s="2" t="s">
        <v>734</v>
      </c>
      <c r="B45" s="2" t="s">
        <v>735</v>
      </c>
      <c r="C45" s="2"/>
      <c r="D45" s="2" t="s">
        <v>736</v>
      </c>
      <c r="E45" s="2" t="s">
        <v>737</v>
      </c>
      <c r="F45" s="2" t="s">
        <v>241</v>
      </c>
      <c r="G45" s="2" t="s">
        <v>19</v>
      </c>
      <c r="H45" s="2">
        <v>2216</v>
      </c>
      <c r="I45" t="s">
        <v>6191</v>
      </c>
    </row>
    <row r="46" spans="1:9" x14ac:dyDescent="0.25">
      <c r="A46" s="2" t="s">
        <v>739</v>
      </c>
      <c r="B46" s="2" t="s">
        <v>740</v>
      </c>
      <c r="C46" s="2" t="s">
        <v>741</v>
      </c>
      <c r="D46" s="2" t="s">
        <v>742</v>
      </c>
      <c r="E46" s="2" t="s">
        <v>743</v>
      </c>
      <c r="F46" s="2" t="s">
        <v>219</v>
      </c>
      <c r="G46" s="2" t="s">
        <v>19</v>
      </c>
      <c r="H46" s="2">
        <v>14604</v>
      </c>
      <c r="I46" t="s">
        <v>6190</v>
      </c>
    </row>
    <row r="47" spans="1:9" x14ac:dyDescent="0.25">
      <c r="A47" s="2" t="s">
        <v>745</v>
      </c>
      <c r="B47" s="2" t="s">
        <v>746</v>
      </c>
      <c r="C47" s="2" t="s">
        <v>747</v>
      </c>
      <c r="D47" s="2" t="s">
        <v>748</v>
      </c>
      <c r="E47" s="2" t="s">
        <v>749</v>
      </c>
      <c r="F47" s="2" t="s">
        <v>94</v>
      </c>
      <c r="G47" s="2" t="s">
        <v>19</v>
      </c>
      <c r="H47" s="2">
        <v>10469</v>
      </c>
      <c r="I47" t="s">
        <v>6191</v>
      </c>
    </row>
    <row r="48" spans="1:9" x14ac:dyDescent="0.25">
      <c r="A48" s="2" t="s">
        <v>751</v>
      </c>
      <c r="B48" s="2" t="s">
        <v>752</v>
      </c>
      <c r="C48" s="2"/>
      <c r="D48" s="2" t="s">
        <v>753</v>
      </c>
      <c r="E48" s="2" t="s">
        <v>754</v>
      </c>
      <c r="F48" s="2" t="s">
        <v>144</v>
      </c>
      <c r="G48" s="2" t="s">
        <v>19</v>
      </c>
      <c r="H48" s="2">
        <v>35205</v>
      </c>
      <c r="I48" t="s">
        <v>6190</v>
      </c>
    </row>
    <row r="49" spans="1:9" x14ac:dyDescent="0.25">
      <c r="A49" s="2" t="s">
        <v>756</v>
      </c>
      <c r="B49" s="2" t="s">
        <v>757</v>
      </c>
      <c r="C49" s="2" t="s">
        <v>758</v>
      </c>
      <c r="D49" s="2" t="s">
        <v>759</v>
      </c>
      <c r="E49" s="2" t="s">
        <v>760</v>
      </c>
      <c r="F49" s="2" t="s">
        <v>272</v>
      </c>
      <c r="G49" s="2" t="s">
        <v>19</v>
      </c>
      <c r="H49" s="2">
        <v>92415</v>
      </c>
      <c r="I49" t="s">
        <v>6190</v>
      </c>
    </row>
    <row r="50" spans="1:9" x14ac:dyDescent="0.25">
      <c r="A50" s="2" t="s">
        <v>762</v>
      </c>
      <c r="B50" s="2" t="s">
        <v>763</v>
      </c>
      <c r="C50" s="2" t="s">
        <v>764</v>
      </c>
      <c r="D50" s="2"/>
      <c r="E50" s="2" t="s">
        <v>765</v>
      </c>
      <c r="F50" s="2" t="s">
        <v>128</v>
      </c>
      <c r="G50" s="2" t="s">
        <v>19</v>
      </c>
      <c r="H50" s="2">
        <v>23514</v>
      </c>
      <c r="I50" t="s">
        <v>6191</v>
      </c>
    </row>
    <row r="51" spans="1:9" x14ac:dyDescent="0.25">
      <c r="A51" s="2" t="s">
        <v>767</v>
      </c>
      <c r="B51" s="2" t="s">
        <v>768</v>
      </c>
      <c r="C51" s="2" t="s">
        <v>769</v>
      </c>
      <c r="D51" s="2" t="s">
        <v>770</v>
      </c>
      <c r="E51" s="2" t="s">
        <v>771</v>
      </c>
      <c r="F51" s="2" t="s">
        <v>47</v>
      </c>
      <c r="G51" s="2" t="s">
        <v>19</v>
      </c>
      <c r="H51" s="2">
        <v>20409</v>
      </c>
      <c r="I51" t="s">
        <v>6191</v>
      </c>
    </row>
    <row r="52" spans="1:9" x14ac:dyDescent="0.25">
      <c r="A52" s="2" t="s">
        <v>773</v>
      </c>
      <c r="B52" s="2" t="s">
        <v>774</v>
      </c>
      <c r="C52" s="2" t="s">
        <v>775</v>
      </c>
      <c r="D52" s="2" t="s">
        <v>776</v>
      </c>
      <c r="E52" s="2" t="s">
        <v>777</v>
      </c>
      <c r="F52" s="2" t="s">
        <v>271</v>
      </c>
      <c r="G52" s="2" t="s">
        <v>19</v>
      </c>
      <c r="H52" s="2">
        <v>33355</v>
      </c>
      <c r="I52" t="s">
        <v>6191</v>
      </c>
    </row>
    <row r="53" spans="1:9" x14ac:dyDescent="0.25">
      <c r="A53" s="2" t="s">
        <v>779</v>
      </c>
      <c r="B53" s="2" t="s">
        <v>780</v>
      </c>
      <c r="C53" s="2" t="s">
        <v>781</v>
      </c>
      <c r="D53" s="2" t="s">
        <v>782</v>
      </c>
      <c r="E53" s="2" t="s">
        <v>783</v>
      </c>
      <c r="F53" s="2" t="s">
        <v>329</v>
      </c>
      <c r="G53" s="2" t="s">
        <v>318</v>
      </c>
      <c r="H53" s="2" t="s">
        <v>330</v>
      </c>
      <c r="I53" t="s">
        <v>6190</v>
      </c>
    </row>
    <row r="54" spans="1:9" x14ac:dyDescent="0.25">
      <c r="A54" s="2" t="s">
        <v>785</v>
      </c>
      <c r="B54" s="2" t="s">
        <v>786</v>
      </c>
      <c r="C54" s="2" t="s">
        <v>787</v>
      </c>
      <c r="D54" s="2"/>
      <c r="E54" s="2" t="s">
        <v>788</v>
      </c>
      <c r="F54" s="2" t="s">
        <v>248</v>
      </c>
      <c r="G54" s="2" t="s">
        <v>28</v>
      </c>
      <c r="H54" s="2" t="s">
        <v>249</v>
      </c>
      <c r="I54" t="s">
        <v>6191</v>
      </c>
    </row>
    <row r="55" spans="1:9" x14ac:dyDescent="0.25">
      <c r="A55" s="2" t="s">
        <v>789</v>
      </c>
      <c r="B55" s="2" t="s">
        <v>790</v>
      </c>
      <c r="C55" s="2" t="s">
        <v>791</v>
      </c>
      <c r="D55" s="2" t="s">
        <v>792</v>
      </c>
      <c r="E55" s="2" t="s">
        <v>793</v>
      </c>
      <c r="F55" s="2" t="s">
        <v>138</v>
      </c>
      <c r="G55" s="2" t="s">
        <v>19</v>
      </c>
      <c r="H55" s="2">
        <v>84605</v>
      </c>
      <c r="I55" t="s">
        <v>6191</v>
      </c>
    </row>
    <row r="56" spans="1:9" x14ac:dyDescent="0.25">
      <c r="A56" s="2" t="s">
        <v>795</v>
      </c>
      <c r="B56" s="2" t="s">
        <v>796</v>
      </c>
      <c r="C56" s="2" t="s">
        <v>797</v>
      </c>
      <c r="D56" s="2" t="s">
        <v>798</v>
      </c>
      <c r="E56" s="2" t="s">
        <v>799</v>
      </c>
      <c r="F56" s="2" t="s">
        <v>260</v>
      </c>
      <c r="G56" s="2" t="s">
        <v>19</v>
      </c>
      <c r="H56" s="2">
        <v>43666</v>
      </c>
      <c r="I56" t="s">
        <v>6191</v>
      </c>
    </row>
    <row r="57" spans="1:9" x14ac:dyDescent="0.25">
      <c r="A57" s="2" t="s">
        <v>801</v>
      </c>
      <c r="B57" s="2" t="s">
        <v>802</v>
      </c>
      <c r="C57" s="2"/>
      <c r="D57" s="2" t="s">
        <v>803</v>
      </c>
      <c r="E57" s="2" t="s">
        <v>804</v>
      </c>
      <c r="F57" s="2" t="s">
        <v>135</v>
      </c>
      <c r="G57" s="2" t="s">
        <v>19</v>
      </c>
      <c r="H57" s="2">
        <v>8650</v>
      </c>
      <c r="I57" t="s">
        <v>6191</v>
      </c>
    </row>
    <row r="58" spans="1:9" x14ac:dyDescent="0.25">
      <c r="A58" s="2" t="s">
        <v>806</v>
      </c>
      <c r="B58" s="2" t="s">
        <v>807</v>
      </c>
      <c r="C58" s="2" t="s">
        <v>808</v>
      </c>
      <c r="D58" s="2" t="s">
        <v>809</v>
      </c>
      <c r="E58" s="2" t="s">
        <v>810</v>
      </c>
      <c r="F58" s="2" t="s">
        <v>137</v>
      </c>
      <c r="G58" s="2" t="s">
        <v>19</v>
      </c>
      <c r="H58" s="2">
        <v>33686</v>
      </c>
      <c r="I58" t="s">
        <v>6190</v>
      </c>
    </row>
    <row r="59" spans="1:9" x14ac:dyDescent="0.25">
      <c r="A59" s="2" t="s">
        <v>812</v>
      </c>
      <c r="B59" s="2" t="s">
        <v>813</v>
      </c>
      <c r="C59" s="2" t="s">
        <v>814</v>
      </c>
      <c r="D59" s="2" t="s">
        <v>815</v>
      </c>
      <c r="E59" s="2" t="s">
        <v>816</v>
      </c>
      <c r="F59" s="2" t="s">
        <v>250</v>
      </c>
      <c r="G59" s="2" t="s">
        <v>19</v>
      </c>
      <c r="H59" s="2">
        <v>32590</v>
      </c>
      <c r="I59" t="s">
        <v>6191</v>
      </c>
    </row>
    <row r="60" spans="1:9" x14ac:dyDescent="0.25">
      <c r="A60" s="2" t="s">
        <v>818</v>
      </c>
      <c r="B60" s="2" t="s">
        <v>819</v>
      </c>
      <c r="C60" s="2"/>
      <c r="D60" s="2" t="s">
        <v>820</v>
      </c>
      <c r="E60" s="2" t="s">
        <v>821</v>
      </c>
      <c r="F60" s="2" t="s">
        <v>234</v>
      </c>
      <c r="G60" s="2" t="s">
        <v>19</v>
      </c>
      <c r="H60" s="2">
        <v>33543</v>
      </c>
      <c r="I60" t="s">
        <v>6190</v>
      </c>
    </row>
    <row r="61" spans="1:9" x14ac:dyDescent="0.25">
      <c r="A61" s="2" t="s">
        <v>823</v>
      </c>
      <c r="B61" s="2" t="s">
        <v>824</v>
      </c>
      <c r="C61" s="2" t="s">
        <v>825</v>
      </c>
      <c r="D61" s="2"/>
      <c r="E61" s="2" t="s">
        <v>826</v>
      </c>
      <c r="F61" s="2" t="s">
        <v>173</v>
      </c>
      <c r="G61" s="2" t="s">
        <v>19</v>
      </c>
      <c r="H61" s="2">
        <v>55123</v>
      </c>
      <c r="I61" t="s">
        <v>6190</v>
      </c>
    </row>
    <row r="62" spans="1:9" x14ac:dyDescent="0.25">
      <c r="A62" s="2" t="s">
        <v>828</v>
      </c>
      <c r="B62" s="2" t="s">
        <v>829</v>
      </c>
      <c r="C62" s="2" t="s">
        <v>830</v>
      </c>
      <c r="D62" s="2" t="s">
        <v>831</v>
      </c>
      <c r="E62" s="2" t="s">
        <v>832</v>
      </c>
      <c r="F62" s="2" t="s">
        <v>66</v>
      </c>
      <c r="G62" s="2" t="s">
        <v>19</v>
      </c>
      <c r="H62" s="2">
        <v>46862</v>
      </c>
      <c r="I62" t="s">
        <v>6191</v>
      </c>
    </row>
    <row r="63" spans="1:9" x14ac:dyDescent="0.25">
      <c r="A63" s="2" t="s">
        <v>834</v>
      </c>
      <c r="B63" s="2" t="s">
        <v>835</v>
      </c>
      <c r="C63" s="2"/>
      <c r="D63" s="2" t="s">
        <v>836</v>
      </c>
      <c r="E63" s="2" t="s">
        <v>837</v>
      </c>
      <c r="F63" s="2" t="s">
        <v>151</v>
      </c>
      <c r="G63" s="2" t="s">
        <v>28</v>
      </c>
      <c r="H63" s="2" t="s">
        <v>152</v>
      </c>
      <c r="I63" t="s">
        <v>6190</v>
      </c>
    </row>
    <row r="64" spans="1:9" x14ac:dyDescent="0.25">
      <c r="A64" s="2" t="s">
        <v>839</v>
      </c>
      <c r="B64" s="2" t="s">
        <v>840</v>
      </c>
      <c r="C64" s="2"/>
      <c r="D64" s="2" t="s">
        <v>841</v>
      </c>
      <c r="E64" s="2" t="s">
        <v>842</v>
      </c>
      <c r="F64" s="2" t="s">
        <v>267</v>
      </c>
      <c r="G64" s="2" t="s">
        <v>19</v>
      </c>
      <c r="H64" s="2">
        <v>34114</v>
      </c>
      <c r="I64" t="s">
        <v>6190</v>
      </c>
    </row>
    <row r="65" spans="1:9" x14ac:dyDescent="0.25">
      <c r="A65" s="2" t="s">
        <v>844</v>
      </c>
      <c r="B65" s="2" t="s">
        <v>845</v>
      </c>
      <c r="C65" s="2" t="s">
        <v>846</v>
      </c>
      <c r="D65" s="2" t="s">
        <v>847</v>
      </c>
      <c r="E65" s="2" t="s">
        <v>848</v>
      </c>
      <c r="F65" s="2" t="s">
        <v>56</v>
      </c>
      <c r="G65" s="2" t="s">
        <v>19</v>
      </c>
      <c r="H65" s="2">
        <v>60681</v>
      </c>
      <c r="I65" t="s">
        <v>6191</v>
      </c>
    </row>
    <row r="66" spans="1:9" x14ac:dyDescent="0.25">
      <c r="A66" s="2" t="s">
        <v>850</v>
      </c>
      <c r="B66" s="2" t="s">
        <v>851</v>
      </c>
      <c r="C66" s="2"/>
      <c r="D66" s="2" t="s">
        <v>852</v>
      </c>
      <c r="E66" s="2" t="s">
        <v>853</v>
      </c>
      <c r="F66" s="2" t="s">
        <v>199</v>
      </c>
      <c r="G66" s="2" t="s">
        <v>19</v>
      </c>
      <c r="H66" s="2">
        <v>7104</v>
      </c>
      <c r="I66" t="s">
        <v>6190</v>
      </c>
    </row>
    <row r="67" spans="1:9" x14ac:dyDescent="0.25">
      <c r="A67" s="2" t="s">
        <v>855</v>
      </c>
      <c r="B67" s="2" t="s">
        <v>856</v>
      </c>
      <c r="C67" s="2" t="s">
        <v>857</v>
      </c>
      <c r="D67" s="2" t="s">
        <v>858</v>
      </c>
      <c r="E67" s="2" t="s">
        <v>859</v>
      </c>
      <c r="F67" s="2" t="s">
        <v>364</v>
      </c>
      <c r="G67" s="2" t="s">
        <v>19</v>
      </c>
      <c r="H67" s="2">
        <v>22184</v>
      </c>
      <c r="I67" t="s">
        <v>6190</v>
      </c>
    </row>
    <row r="68" spans="1:9" x14ac:dyDescent="0.25">
      <c r="A68" s="2" t="s">
        <v>861</v>
      </c>
      <c r="B68" s="2" t="s">
        <v>862</v>
      </c>
      <c r="C68" s="2" t="s">
        <v>863</v>
      </c>
      <c r="D68" s="2" t="s">
        <v>864</v>
      </c>
      <c r="E68" s="2" t="s">
        <v>865</v>
      </c>
      <c r="F68" s="2" t="s">
        <v>106</v>
      </c>
      <c r="G68" s="2" t="s">
        <v>19</v>
      </c>
      <c r="H68" s="2">
        <v>76178</v>
      </c>
      <c r="I68" t="s">
        <v>6190</v>
      </c>
    </row>
    <row r="69" spans="1:9" x14ac:dyDescent="0.25">
      <c r="A69" s="2" t="s">
        <v>867</v>
      </c>
      <c r="B69" s="2" t="s">
        <v>868</v>
      </c>
      <c r="C69" s="2" t="s">
        <v>869</v>
      </c>
      <c r="D69" s="2" t="s">
        <v>870</v>
      </c>
      <c r="E69" s="2" t="s">
        <v>871</v>
      </c>
      <c r="F69" s="2" t="s">
        <v>118</v>
      </c>
      <c r="G69" s="2" t="s">
        <v>19</v>
      </c>
      <c r="H69" s="2">
        <v>91505</v>
      </c>
      <c r="I69" t="s">
        <v>6191</v>
      </c>
    </row>
    <row r="70" spans="1:9" x14ac:dyDescent="0.25">
      <c r="A70" s="2" t="s">
        <v>873</v>
      </c>
      <c r="B70" s="2" t="s">
        <v>874</v>
      </c>
      <c r="C70" s="2" t="s">
        <v>875</v>
      </c>
      <c r="D70" s="2" t="s">
        <v>876</v>
      </c>
      <c r="E70" s="2" t="s">
        <v>877</v>
      </c>
      <c r="F70" s="2" t="s">
        <v>268</v>
      </c>
      <c r="G70" s="2" t="s">
        <v>19</v>
      </c>
      <c r="H70" s="2">
        <v>37665</v>
      </c>
      <c r="I70" t="s">
        <v>6191</v>
      </c>
    </row>
    <row r="71" spans="1:9" x14ac:dyDescent="0.25">
      <c r="A71" s="2" t="s">
        <v>879</v>
      </c>
      <c r="B71" s="2" t="s">
        <v>880</v>
      </c>
      <c r="C71" s="2" t="s">
        <v>881</v>
      </c>
      <c r="D71" s="2" t="s">
        <v>882</v>
      </c>
      <c r="E71" s="2" t="s">
        <v>883</v>
      </c>
      <c r="F71" s="2" t="s">
        <v>284</v>
      </c>
      <c r="G71" s="2" t="s">
        <v>28</v>
      </c>
      <c r="H71" s="2" t="s">
        <v>884</v>
      </c>
      <c r="I71" t="s">
        <v>6190</v>
      </c>
    </row>
    <row r="72" spans="1:9" x14ac:dyDescent="0.25">
      <c r="A72" s="2" t="s">
        <v>886</v>
      </c>
      <c r="B72" s="2" t="s">
        <v>887</v>
      </c>
      <c r="C72" s="2" t="s">
        <v>888</v>
      </c>
      <c r="D72" s="2" t="s">
        <v>889</v>
      </c>
      <c r="E72" s="2" t="s">
        <v>890</v>
      </c>
      <c r="F72" s="2" t="s">
        <v>39</v>
      </c>
      <c r="G72" s="2" t="s">
        <v>19</v>
      </c>
      <c r="H72" s="2">
        <v>43231</v>
      </c>
      <c r="I72" t="s">
        <v>6191</v>
      </c>
    </row>
    <row r="73" spans="1:9" x14ac:dyDescent="0.25">
      <c r="A73" s="2" t="s">
        <v>892</v>
      </c>
      <c r="B73" s="2" t="s">
        <v>893</v>
      </c>
      <c r="C73" s="2" t="s">
        <v>894</v>
      </c>
      <c r="D73" s="2" t="s">
        <v>895</v>
      </c>
      <c r="E73" s="2" t="s">
        <v>896</v>
      </c>
      <c r="F73" s="2" t="s">
        <v>408</v>
      </c>
      <c r="G73" s="2" t="s">
        <v>318</v>
      </c>
      <c r="H73" s="2" t="s">
        <v>343</v>
      </c>
      <c r="I73" t="s">
        <v>6191</v>
      </c>
    </row>
    <row r="74" spans="1:9" x14ac:dyDescent="0.25">
      <c r="A74" s="2" t="s">
        <v>898</v>
      </c>
      <c r="B74" s="2" t="s">
        <v>899</v>
      </c>
      <c r="C74" s="2"/>
      <c r="D74" s="2" t="s">
        <v>900</v>
      </c>
      <c r="E74" s="2" t="s">
        <v>901</v>
      </c>
      <c r="F74" s="2" t="s">
        <v>69</v>
      </c>
      <c r="G74" s="2" t="s">
        <v>19</v>
      </c>
      <c r="H74" s="2">
        <v>70183</v>
      </c>
      <c r="I74" t="s">
        <v>6191</v>
      </c>
    </row>
    <row r="75" spans="1:9" x14ac:dyDescent="0.25">
      <c r="A75" s="2" t="s">
        <v>903</v>
      </c>
      <c r="B75" s="2" t="s">
        <v>904</v>
      </c>
      <c r="C75" s="2"/>
      <c r="D75" s="2" t="s">
        <v>905</v>
      </c>
      <c r="E75" s="2" t="s">
        <v>906</v>
      </c>
      <c r="F75" s="2" t="s">
        <v>35</v>
      </c>
      <c r="G75" s="2" t="s">
        <v>19</v>
      </c>
      <c r="H75" s="2">
        <v>28230</v>
      </c>
      <c r="I75" t="s">
        <v>6190</v>
      </c>
    </row>
    <row r="76" spans="1:9" x14ac:dyDescent="0.25">
      <c r="A76" s="2" t="s">
        <v>908</v>
      </c>
      <c r="B76" s="2" t="s">
        <v>909</v>
      </c>
      <c r="C76" s="2" t="s">
        <v>910</v>
      </c>
      <c r="D76" s="2" t="s">
        <v>911</v>
      </c>
      <c r="E76" s="2" t="s">
        <v>912</v>
      </c>
      <c r="F76" s="2" t="s">
        <v>83</v>
      </c>
      <c r="G76" s="2" t="s">
        <v>19</v>
      </c>
      <c r="H76" s="2">
        <v>1114</v>
      </c>
      <c r="I76" t="s">
        <v>6190</v>
      </c>
    </row>
    <row r="77" spans="1:9" x14ac:dyDescent="0.25">
      <c r="A77" s="2" t="s">
        <v>914</v>
      </c>
      <c r="B77" s="2" t="s">
        <v>915</v>
      </c>
      <c r="C77" s="2" t="s">
        <v>916</v>
      </c>
      <c r="D77" s="2" t="s">
        <v>917</v>
      </c>
      <c r="E77" s="2" t="s">
        <v>918</v>
      </c>
      <c r="F77" s="2" t="s">
        <v>327</v>
      </c>
      <c r="G77" s="2" t="s">
        <v>318</v>
      </c>
      <c r="H77" s="2" t="s">
        <v>321</v>
      </c>
      <c r="I77" t="s">
        <v>6190</v>
      </c>
    </row>
    <row r="78" spans="1:9" x14ac:dyDescent="0.25">
      <c r="A78" s="2" t="s">
        <v>920</v>
      </c>
      <c r="B78" s="2" t="s">
        <v>921</v>
      </c>
      <c r="C78" s="2"/>
      <c r="D78" s="2" t="s">
        <v>922</v>
      </c>
      <c r="E78" s="2" t="s">
        <v>923</v>
      </c>
      <c r="F78" s="2" t="s">
        <v>482</v>
      </c>
      <c r="G78" s="2" t="s">
        <v>318</v>
      </c>
      <c r="H78" s="2" t="s">
        <v>359</v>
      </c>
      <c r="I78" t="s">
        <v>6190</v>
      </c>
    </row>
    <row r="79" spans="1:9" x14ac:dyDescent="0.25">
      <c r="A79" s="2" t="s">
        <v>925</v>
      </c>
      <c r="B79" s="2" t="s">
        <v>926</v>
      </c>
      <c r="C79" s="2" t="s">
        <v>927</v>
      </c>
      <c r="D79" s="2" t="s">
        <v>928</v>
      </c>
      <c r="E79" s="2" t="s">
        <v>929</v>
      </c>
      <c r="F79" s="2" t="s">
        <v>212</v>
      </c>
      <c r="G79" s="2" t="s">
        <v>19</v>
      </c>
      <c r="H79" s="2">
        <v>79705</v>
      </c>
      <c r="I79" t="s">
        <v>6191</v>
      </c>
    </row>
    <row r="80" spans="1:9" x14ac:dyDescent="0.25">
      <c r="A80" s="2" t="s">
        <v>931</v>
      </c>
      <c r="B80" s="2" t="s">
        <v>932</v>
      </c>
      <c r="C80" s="2" t="s">
        <v>933</v>
      </c>
      <c r="D80" s="2" t="s">
        <v>934</v>
      </c>
      <c r="E80" s="2" t="s">
        <v>935</v>
      </c>
      <c r="F80" s="2" t="s">
        <v>52</v>
      </c>
      <c r="G80" s="2" t="s">
        <v>19</v>
      </c>
      <c r="H80" s="2">
        <v>75323</v>
      </c>
      <c r="I80" t="s">
        <v>6190</v>
      </c>
    </row>
    <row r="81" spans="1:9" x14ac:dyDescent="0.25">
      <c r="A81" s="2" t="s">
        <v>937</v>
      </c>
      <c r="B81" s="2" t="s">
        <v>938</v>
      </c>
      <c r="C81" s="2" t="s">
        <v>939</v>
      </c>
      <c r="D81" s="2" t="s">
        <v>940</v>
      </c>
      <c r="E81" s="2" t="s">
        <v>941</v>
      </c>
      <c r="F81" s="2" t="s">
        <v>288</v>
      </c>
      <c r="G81" s="2" t="s">
        <v>19</v>
      </c>
      <c r="H81" s="2">
        <v>20189</v>
      </c>
      <c r="I81" t="s">
        <v>6191</v>
      </c>
    </row>
    <row r="82" spans="1:9" x14ac:dyDescent="0.25">
      <c r="A82" s="2" t="s">
        <v>943</v>
      </c>
      <c r="B82" s="2" t="s">
        <v>944</v>
      </c>
      <c r="C82" s="2" t="s">
        <v>945</v>
      </c>
      <c r="D82" s="2" t="s">
        <v>946</v>
      </c>
      <c r="E82" s="2" t="s">
        <v>947</v>
      </c>
      <c r="F82" s="2" t="s">
        <v>149</v>
      </c>
      <c r="G82" s="2" t="s">
        <v>19</v>
      </c>
      <c r="H82" s="2">
        <v>94627</v>
      </c>
      <c r="I82" t="s">
        <v>6190</v>
      </c>
    </row>
    <row r="83" spans="1:9" x14ac:dyDescent="0.25">
      <c r="A83" s="2" t="s">
        <v>949</v>
      </c>
      <c r="B83" s="2" t="s">
        <v>950</v>
      </c>
      <c r="C83" s="2" t="s">
        <v>951</v>
      </c>
      <c r="D83" s="2" t="s">
        <v>952</v>
      </c>
      <c r="E83" s="2" t="s">
        <v>953</v>
      </c>
      <c r="F83" s="2" t="s">
        <v>78</v>
      </c>
      <c r="G83" s="2" t="s">
        <v>19</v>
      </c>
      <c r="H83" s="2">
        <v>80930</v>
      </c>
      <c r="I83" t="s">
        <v>6190</v>
      </c>
    </row>
    <row r="84" spans="1:9" x14ac:dyDescent="0.25">
      <c r="A84" s="2" t="s">
        <v>955</v>
      </c>
      <c r="B84" s="2" t="s">
        <v>956</v>
      </c>
      <c r="C84" s="2" t="s">
        <v>957</v>
      </c>
      <c r="D84" s="2" t="s">
        <v>958</v>
      </c>
      <c r="E84" s="2" t="s">
        <v>959</v>
      </c>
      <c r="F84" s="2" t="s">
        <v>456</v>
      </c>
      <c r="G84" s="2" t="s">
        <v>318</v>
      </c>
      <c r="H84" s="2" t="s">
        <v>457</v>
      </c>
      <c r="I84" t="s">
        <v>6190</v>
      </c>
    </row>
    <row r="85" spans="1:9" x14ac:dyDescent="0.25">
      <c r="A85" s="2" t="s">
        <v>961</v>
      </c>
      <c r="B85" s="2" t="s">
        <v>962</v>
      </c>
      <c r="C85" s="2"/>
      <c r="D85" s="2" t="s">
        <v>963</v>
      </c>
      <c r="E85" s="2" t="s">
        <v>964</v>
      </c>
      <c r="F85" s="2" t="s">
        <v>120</v>
      </c>
      <c r="G85" s="2" t="s">
        <v>19</v>
      </c>
      <c r="H85" s="2">
        <v>14205</v>
      </c>
      <c r="I85" t="s">
        <v>6190</v>
      </c>
    </row>
    <row r="86" spans="1:9" x14ac:dyDescent="0.25">
      <c r="A86" s="2" t="s">
        <v>966</v>
      </c>
      <c r="B86" s="2" t="s">
        <v>967</v>
      </c>
      <c r="C86" s="2" t="s">
        <v>968</v>
      </c>
      <c r="D86" s="2" t="s">
        <v>969</v>
      </c>
      <c r="E86" s="2" t="s">
        <v>970</v>
      </c>
      <c r="F86" s="2" t="s">
        <v>30</v>
      </c>
      <c r="G86" s="2" t="s">
        <v>19</v>
      </c>
      <c r="H86" s="2">
        <v>93715</v>
      </c>
      <c r="I86" t="s">
        <v>6191</v>
      </c>
    </row>
    <row r="87" spans="1:9" x14ac:dyDescent="0.25">
      <c r="A87" s="2" t="s">
        <v>972</v>
      </c>
      <c r="B87" s="2" t="s">
        <v>973</v>
      </c>
      <c r="C87" s="2" t="s">
        <v>974</v>
      </c>
      <c r="D87" s="2"/>
      <c r="E87" s="2" t="s">
        <v>975</v>
      </c>
      <c r="F87" s="2" t="s">
        <v>106</v>
      </c>
      <c r="G87" s="2" t="s">
        <v>19</v>
      </c>
      <c r="H87" s="2">
        <v>76121</v>
      </c>
      <c r="I87" t="s">
        <v>6191</v>
      </c>
    </row>
    <row r="88" spans="1:9" x14ac:dyDescent="0.25">
      <c r="A88" s="2" t="s">
        <v>976</v>
      </c>
      <c r="B88" s="2" t="s">
        <v>977</v>
      </c>
      <c r="C88" s="2" t="s">
        <v>978</v>
      </c>
      <c r="D88" s="2"/>
      <c r="E88" s="2" t="s">
        <v>979</v>
      </c>
      <c r="F88" s="2" t="s">
        <v>77</v>
      </c>
      <c r="G88" s="2" t="s">
        <v>19</v>
      </c>
      <c r="H88" s="2">
        <v>73179</v>
      </c>
      <c r="I88" t="s">
        <v>6190</v>
      </c>
    </row>
    <row r="89" spans="1:9" x14ac:dyDescent="0.25">
      <c r="A89" s="2" t="s">
        <v>981</v>
      </c>
      <c r="B89" s="2" t="s">
        <v>982</v>
      </c>
      <c r="C89" s="2" t="s">
        <v>983</v>
      </c>
      <c r="D89" s="2"/>
      <c r="E89" s="2" t="s">
        <v>984</v>
      </c>
      <c r="F89" s="2" t="s">
        <v>289</v>
      </c>
      <c r="G89" s="2" t="s">
        <v>19</v>
      </c>
      <c r="H89" s="2">
        <v>77705</v>
      </c>
      <c r="I89" t="s">
        <v>6191</v>
      </c>
    </row>
    <row r="90" spans="1:9" x14ac:dyDescent="0.25">
      <c r="A90" s="2" t="s">
        <v>986</v>
      </c>
      <c r="B90" s="2" t="s">
        <v>987</v>
      </c>
      <c r="C90" s="2" t="s">
        <v>988</v>
      </c>
      <c r="D90" s="2"/>
      <c r="E90" s="2" t="s">
        <v>989</v>
      </c>
      <c r="F90" s="2" t="s">
        <v>122</v>
      </c>
      <c r="G90" s="2" t="s">
        <v>19</v>
      </c>
      <c r="H90" s="2">
        <v>89519</v>
      </c>
      <c r="I90" t="s">
        <v>6191</v>
      </c>
    </row>
    <row r="91" spans="1:9" x14ac:dyDescent="0.25">
      <c r="A91" s="2" t="s">
        <v>991</v>
      </c>
      <c r="B91" s="2" t="s">
        <v>992</v>
      </c>
      <c r="C91" s="2" t="s">
        <v>993</v>
      </c>
      <c r="D91" s="2" t="s">
        <v>994</v>
      </c>
      <c r="E91" s="2" t="s">
        <v>995</v>
      </c>
      <c r="F91" s="2" t="s">
        <v>116</v>
      </c>
      <c r="G91" s="2" t="s">
        <v>19</v>
      </c>
      <c r="H91" s="2">
        <v>64136</v>
      </c>
      <c r="I91" t="s">
        <v>6191</v>
      </c>
    </row>
    <row r="92" spans="1:9" x14ac:dyDescent="0.25">
      <c r="A92" s="2" t="s">
        <v>997</v>
      </c>
      <c r="B92" s="2" t="s">
        <v>998</v>
      </c>
      <c r="C92" s="2"/>
      <c r="D92" s="2" t="s">
        <v>999</v>
      </c>
      <c r="E92" s="2" t="s">
        <v>1000</v>
      </c>
      <c r="F92" s="2" t="s">
        <v>329</v>
      </c>
      <c r="G92" s="2" t="s">
        <v>318</v>
      </c>
      <c r="H92" s="2" t="s">
        <v>330</v>
      </c>
      <c r="I92" t="s">
        <v>6190</v>
      </c>
    </row>
    <row r="93" spans="1:9" x14ac:dyDescent="0.25">
      <c r="A93" s="2" t="s">
        <v>1002</v>
      </c>
      <c r="B93" s="2" t="s">
        <v>1003</v>
      </c>
      <c r="C93" s="2" t="s">
        <v>1004</v>
      </c>
      <c r="D93" s="2" t="s">
        <v>1005</v>
      </c>
      <c r="E93" s="2" t="s">
        <v>1006</v>
      </c>
      <c r="F93" s="2" t="s">
        <v>153</v>
      </c>
      <c r="G93" s="2" t="s">
        <v>19</v>
      </c>
      <c r="H93" s="2">
        <v>92878</v>
      </c>
      <c r="I93" t="s">
        <v>6191</v>
      </c>
    </row>
    <row r="94" spans="1:9" x14ac:dyDescent="0.25">
      <c r="A94" s="2" t="s">
        <v>1008</v>
      </c>
      <c r="B94" s="2" t="s">
        <v>1009</v>
      </c>
      <c r="C94" s="2"/>
      <c r="D94" s="2" t="s">
        <v>1010</v>
      </c>
      <c r="E94" s="2" t="s">
        <v>1011</v>
      </c>
      <c r="F94" s="2" t="s">
        <v>123</v>
      </c>
      <c r="G94" s="2" t="s">
        <v>19</v>
      </c>
      <c r="H94" s="2">
        <v>78759</v>
      </c>
      <c r="I94" t="s">
        <v>6190</v>
      </c>
    </row>
    <row r="95" spans="1:9" x14ac:dyDescent="0.25">
      <c r="A95" s="2" t="s">
        <v>1013</v>
      </c>
      <c r="B95" s="2" t="s">
        <v>1014</v>
      </c>
      <c r="C95" s="2" t="s">
        <v>1015</v>
      </c>
      <c r="D95" s="2" t="s">
        <v>1016</v>
      </c>
      <c r="E95" s="2" t="s">
        <v>1017</v>
      </c>
      <c r="F95" s="2" t="s">
        <v>113</v>
      </c>
      <c r="G95" s="2" t="s">
        <v>28</v>
      </c>
      <c r="H95" s="2" t="s">
        <v>114</v>
      </c>
      <c r="I95" t="s">
        <v>6190</v>
      </c>
    </row>
    <row r="96" spans="1:9" x14ac:dyDescent="0.25">
      <c r="A96" s="2" t="s">
        <v>1019</v>
      </c>
      <c r="B96" s="2" t="s">
        <v>1020</v>
      </c>
      <c r="C96" s="2"/>
      <c r="D96" s="2"/>
      <c r="E96" s="2" t="s">
        <v>1021</v>
      </c>
      <c r="F96" s="2" t="s">
        <v>387</v>
      </c>
      <c r="G96" s="2" t="s">
        <v>318</v>
      </c>
      <c r="H96" s="2" t="s">
        <v>388</v>
      </c>
      <c r="I96" t="s">
        <v>6190</v>
      </c>
    </row>
    <row r="97" spans="1:9" x14ac:dyDescent="0.25">
      <c r="A97" s="2" t="s">
        <v>1023</v>
      </c>
      <c r="B97" s="2" t="s">
        <v>1024</v>
      </c>
      <c r="C97" s="2" t="s">
        <v>1025</v>
      </c>
      <c r="D97" s="2"/>
      <c r="E97" s="2" t="s">
        <v>1026</v>
      </c>
      <c r="F97" s="2" t="s">
        <v>30</v>
      </c>
      <c r="G97" s="2" t="s">
        <v>19</v>
      </c>
      <c r="H97" s="2">
        <v>93762</v>
      </c>
      <c r="I97" t="s">
        <v>6191</v>
      </c>
    </row>
    <row r="98" spans="1:9" x14ac:dyDescent="0.25">
      <c r="A98" s="2" t="s">
        <v>1028</v>
      </c>
      <c r="B98" s="2" t="s">
        <v>1029</v>
      </c>
      <c r="C98" s="2" t="s">
        <v>1030</v>
      </c>
      <c r="D98" s="2"/>
      <c r="E98" s="2" t="s">
        <v>1031</v>
      </c>
      <c r="F98" s="2" t="s">
        <v>104</v>
      </c>
      <c r="G98" s="2" t="s">
        <v>19</v>
      </c>
      <c r="H98" s="2">
        <v>63150</v>
      </c>
      <c r="I98" t="s">
        <v>6191</v>
      </c>
    </row>
    <row r="99" spans="1:9" x14ac:dyDescent="0.25">
      <c r="A99" s="2" t="s">
        <v>1033</v>
      </c>
      <c r="B99" s="2" t="s">
        <v>1034</v>
      </c>
      <c r="C99" s="2" t="s">
        <v>1035</v>
      </c>
      <c r="D99" s="2" t="s">
        <v>1036</v>
      </c>
      <c r="E99" s="2" t="s">
        <v>1037</v>
      </c>
      <c r="F99" s="2" t="s">
        <v>30</v>
      </c>
      <c r="G99" s="2" t="s">
        <v>19</v>
      </c>
      <c r="H99" s="2">
        <v>93726</v>
      </c>
      <c r="I99" t="s">
        <v>6191</v>
      </c>
    </row>
    <row r="100" spans="1:9" x14ac:dyDescent="0.25">
      <c r="A100" s="2" t="s">
        <v>1039</v>
      </c>
      <c r="B100" s="2" t="s">
        <v>1040</v>
      </c>
      <c r="C100" s="2"/>
      <c r="D100" s="2" t="s">
        <v>1041</v>
      </c>
      <c r="E100" s="2" t="s">
        <v>1042</v>
      </c>
      <c r="F100" s="2" t="s">
        <v>384</v>
      </c>
      <c r="G100" s="2" t="s">
        <v>318</v>
      </c>
      <c r="H100" s="2" t="s">
        <v>369</v>
      </c>
      <c r="I100" t="s">
        <v>6191</v>
      </c>
    </row>
    <row r="101" spans="1:9" x14ac:dyDescent="0.25">
      <c r="A101" s="2" t="s">
        <v>1044</v>
      </c>
      <c r="B101" s="2" t="s">
        <v>1045</v>
      </c>
      <c r="C101" s="2"/>
      <c r="D101" s="2" t="s">
        <v>1046</v>
      </c>
      <c r="E101" s="2" t="s">
        <v>1047</v>
      </c>
      <c r="F101" s="2" t="s">
        <v>39</v>
      </c>
      <c r="G101" s="2" t="s">
        <v>19</v>
      </c>
      <c r="H101" s="2">
        <v>43210</v>
      </c>
      <c r="I101" t="s">
        <v>6190</v>
      </c>
    </row>
    <row r="102" spans="1:9" x14ac:dyDescent="0.25">
      <c r="A102" s="2" t="s">
        <v>1049</v>
      </c>
      <c r="B102" s="2" t="s">
        <v>1050</v>
      </c>
      <c r="C102" s="2"/>
      <c r="D102" s="2" t="s">
        <v>1051</v>
      </c>
      <c r="E102" s="2" t="s">
        <v>1052</v>
      </c>
      <c r="F102" s="2" t="s">
        <v>291</v>
      </c>
      <c r="G102" s="2" t="s">
        <v>19</v>
      </c>
      <c r="H102" s="2">
        <v>95205</v>
      </c>
      <c r="I102" t="s">
        <v>6190</v>
      </c>
    </row>
    <row r="103" spans="1:9" x14ac:dyDescent="0.25">
      <c r="A103" s="2" t="s">
        <v>1054</v>
      </c>
      <c r="B103" s="2" t="s">
        <v>1055</v>
      </c>
      <c r="C103" s="2" t="s">
        <v>1056</v>
      </c>
      <c r="D103" s="2" t="s">
        <v>1057</v>
      </c>
      <c r="E103" s="2" t="s">
        <v>1058</v>
      </c>
      <c r="F103" s="2" t="s">
        <v>437</v>
      </c>
      <c r="G103" s="2" t="s">
        <v>318</v>
      </c>
      <c r="H103" s="2" t="s">
        <v>438</v>
      </c>
      <c r="I103" t="s">
        <v>6190</v>
      </c>
    </row>
    <row r="104" spans="1:9" x14ac:dyDescent="0.25">
      <c r="A104" s="2" t="s">
        <v>1060</v>
      </c>
      <c r="B104" s="2" t="s">
        <v>1061</v>
      </c>
      <c r="C104" s="2" t="s">
        <v>1062</v>
      </c>
      <c r="D104" s="2" t="s">
        <v>1063</v>
      </c>
      <c r="E104" s="2" t="s">
        <v>1064</v>
      </c>
      <c r="F104" s="2" t="s">
        <v>417</v>
      </c>
      <c r="G104" s="2" t="s">
        <v>318</v>
      </c>
      <c r="H104" s="2" t="s">
        <v>369</v>
      </c>
      <c r="I104" t="s">
        <v>6190</v>
      </c>
    </row>
    <row r="105" spans="1:9" x14ac:dyDescent="0.25">
      <c r="A105" s="2" t="s">
        <v>1066</v>
      </c>
      <c r="B105" s="2" t="s">
        <v>1067</v>
      </c>
      <c r="C105" s="2" t="s">
        <v>1068</v>
      </c>
      <c r="D105" s="2" t="s">
        <v>1069</v>
      </c>
      <c r="E105" s="2" t="s">
        <v>1070</v>
      </c>
      <c r="F105" s="2" t="s">
        <v>219</v>
      </c>
      <c r="G105" s="2" t="s">
        <v>19</v>
      </c>
      <c r="H105" s="2">
        <v>14652</v>
      </c>
      <c r="I105" t="s">
        <v>6191</v>
      </c>
    </row>
    <row r="106" spans="1:9" x14ac:dyDescent="0.25">
      <c r="A106" s="2" t="s">
        <v>1072</v>
      </c>
      <c r="B106" s="2" t="s">
        <v>1073</v>
      </c>
      <c r="C106" s="2" t="s">
        <v>1074</v>
      </c>
      <c r="D106" s="2" t="s">
        <v>1075</v>
      </c>
      <c r="E106" s="2" t="s">
        <v>1076</v>
      </c>
      <c r="F106" s="2" t="s">
        <v>142</v>
      </c>
      <c r="G106" s="2" t="s">
        <v>19</v>
      </c>
      <c r="H106" s="2">
        <v>35487</v>
      </c>
      <c r="I106" t="s">
        <v>6191</v>
      </c>
    </row>
    <row r="107" spans="1:9" x14ac:dyDescent="0.25">
      <c r="A107" s="2" t="s">
        <v>1078</v>
      </c>
      <c r="B107" s="2" t="s">
        <v>1079</v>
      </c>
      <c r="C107" s="2" t="s">
        <v>1080</v>
      </c>
      <c r="D107" s="2" t="s">
        <v>1081</v>
      </c>
      <c r="E107" s="2" t="s">
        <v>1082</v>
      </c>
      <c r="F107" s="2" t="s">
        <v>63</v>
      </c>
      <c r="G107" s="2" t="s">
        <v>19</v>
      </c>
      <c r="H107" s="2">
        <v>77260</v>
      </c>
      <c r="I107" t="s">
        <v>6190</v>
      </c>
    </row>
    <row r="108" spans="1:9" x14ac:dyDescent="0.25">
      <c r="A108" s="2" t="s">
        <v>1084</v>
      </c>
      <c r="B108" s="2" t="s">
        <v>1085</v>
      </c>
      <c r="C108" s="2" t="s">
        <v>1086</v>
      </c>
      <c r="D108" s="2" t="s">
        <v>1087</v>
      </c>
      <c r="E108" s="2" t="s">
        <v>1088</v>
      </c>
      <c r="F108" s="2" t="s">
        <v>50</v>
      </c>
      <c r="G108" s="2" t="s">
        <v>19</v>
      </c>
      <c r="H108" s="2">
        <v>88514</v>
      </c>
      <c r="I108" t="s">
        <v>6191</v>
      </c>
    </row>
    <row r="109" spans="1:9" x14ac:dyDescent="0.25">
      <c r="A109" s="2" t="s">
        <v>1090</v>
      </c>
      <c r="B109" s="2" t="s">
        <v>1091</v>
      </c>
      <c r="C109" s="2" t="s">
        <v>1092</v>
      </c>
      <c r="D109" s="2" t="s">
        <v>1093</v>
      </c>
      <c r="E109" s="2" t="s">
        <v>1094</v>
      </c>
      <c r="F109" s="2" t="s">
        <v>78</v>
      </c>
      <c r="G109" s="2" t="s">
        <v>19</v>
      </c>
      <c r="H109" s="2">
        <v>80935</v>
      </c>
      <c r="I109" t="s">
        <v>6190</v>
      </c>
    </row>
    <row r="110" spans="1:9" x14ac:dyDescent="0.25">
      <c r="A110" s="2" t="s">
        <v>1096</v>
      </c>
      <c r="B110" s="2" t="s">
        <v>1097</v>
      </c>
      <c r="C110" s="2"/>
      <c r="D110" s="2" t="s">
        <v>1098</v>
      </c>
      <c r="E110" s="2" t="s">
        <v>1099</v>
      </c>
      <c r="F110" s="2" t="s">
        <v>66</v>
      </c>
      <c r="G110" s="2" t="s">
        <v>19</v>
      </c>
      <c r="H110" s="2">
        <v>46862</v>
      </c>
      <c r="I110" t="s">
        <v>6191</v>
      </c>
    </row>
    <row r="111" spans="1:9" x14ac:dyDescent="0.25">
      <c r="A111" s="2" t="s">
        <v>1101</v>
      </c>
      <c r="B111" s="2" t="s">
        <v>1102</v>
      </c>
      <c r="C111" s="2" t="s">
        <v>1103</v>
      </c>
      <c r="D111" s="2" t="s">
        <v>1104</v>
      </c>
      <c r="E111" s="2" t="s">
        <v>1105</v>
      </c>
      <c r="F111" s="2" t="s">
        <v>235</v>
      </c>
      <c r="G111" s="2" t="s">
        <v>19</v>
      </c>
      <c r="H111" s="2">
        <v>11054</v>
      </c>
      <c r="I111" t="s">
        <v>6190</v>
      </c>
    </row>
    <row r="112" spans="1:9" x14ac:dyDescent="0.25">
      <c r="A112" s="2" t="s">
        <v>1107</v>
      </c>
      <c r="B112" s="2" t="s">
        <v>1108</v>
      </c>
      <c r="C112" s="2" t="s">
        <v>1109</v>
      </c>
      <c r="D112" s="2" t="s">
        <v>1110</v>
      </c>
      <c r="E112" s="2" t="s">
        <v>1111</v>
      </c>
      <c r="F112" s="2" t="s">
        <v>83</v>
      </c>
      <c r="G112" s="2" t="s">
        <v>19</v>
      </c>
      <c r="H112" s="2">
        <v>1105</v>
      </c>
      <c r="I112" t="s">
        <v>6190</v>
      </c>
    </row>
    <row r="113" spans="1:9" x14ac:dyDescent="0.25">
      <c r="A113" s="2" t="s">
        <v>1113</v>
      </c>
      <c r="B113" s="2" t="s">
        <v>1114</v>
      </c>
      <c r="C113" s="2" t="s">
        <v>1115</v>
      </c>
      <c r="D113" s="2"/>
      <c r="E113" s="2" t="s">
        <v>1116</v>
      </c>
      <c r="F113" s="2" t="s">
        <v>250</v>
      </c>
      <c r="G113" s="2" t="s">
        <v>19</v>
      </c>
      <c r="H113" s="2">
        <v>32575</v>
      </c>
      <c r="I113" t="s">
        <v>6191</v>
      </c>
    </row>
    <row r="114" spans="1:9" x14ac:dyDescent="0.25">
      <c r="A114" s="2" t="s">
        <v>1118</v>
      </c>
      <c r="B114" s="2" t="s">
        <v>1119</v>
      </c>
      <c r="C114" s="2" t="s">
        <v>1120</v>
      </c>
      <c r="D114" s="2" t="s">
        <v>1121</v>
      </c>
      <c r="E114" s="2" t="s">
        <v>1122</v>
      </c>
      <c r="F114" s="2" t="s">
        <v>38</v>
      </c>
      <c r="G114" s="2" t="s">
        <v>19</v>
      </c>
      <c r="H114" s="2">
        <v>23242</v>
      </c>
      <c r="I114" t="s">
        <v>6191</v>
      </c>
    </row>
    <row r="115" spans="1:9" x14ac:dyDescent="0.25">
      <c r="A115" s="2" t="s">
        <v>1124</v>
      </c>
      <c r="B115" s="2" t="s">
        <v>1125</v>
      </c>
      <c r="C115" s="2" t="s">
        <v>1126</v>
      </c>
      <c r="D115" s="2" t="s">
        <v>1127</v>
      </c>
      <c r="E115" s="2" t="s">
        <v>1128</v>
      </c>
      <c r="F115" s="2" t="s">
        <v>432</v>
      </c>
      <c r="G115" s="2" t="s">
        <v>318</v>
      </c>
      <c r="H115" s="2" t="s">
        <v>420</v>
      </c>
      <c r="I115" t="s">
        <v>6191</v>
      </c>
    </row>
    <row r="116" spans="1:9" x14ac:dyDescent="0.25">
      <c r="A116" s="2" t="s">
        <v>1130</v>
      </c>
      <c r="B116" s="2" t="s">
        <v>1131</v>
      </c>
      <c r="C116" s="2"/>
      <c r="D116" s="2" t="s">
        <v>1132</v>
      </c>
      <c r="E116" s="2" t="s">
        <v>1133</v>
      </c>
      <c r="F116" s="2" t="s">
        <v>26</v>
      </c>
      <c r="G116" s="2" t="s">
        <v>19</v>
      </c>
      <c r="H116" s="2">
        <v>25705</v>
      </c>
      <c r="I116" t="s">
        <v>6191</v>
      </c>
    </row>
    <row r="117" spans="1:9" x14ac:dyDescent="0.25">
      <c r="A117" s="2" t="s">
        <v>1135</v>
      </c>
      <c r="B117" s="2" t="s">
        <v>1136</v>
      </c>
      <c r="C117" s="2" t="s">
        <v>1137</v>
      </c>
      <c r="D117" s="2" t="s">
        <v>1138</v>
      </c>
      <c r="E117" s="2" t="s">
        <v>1139</v>
      </c>
      <c r="F117" s="2" t="s">
        <v>144</v>
      </c>
      <c r="G117" s="2" t="s">
        <v>28</v>
      </c>
      <c r="H117" s="2" t="s">
        <v>145</v>
      </c>
      <c r="I117" t="s">
        <v>6191</v>
      </c>
    </row>
    <row r="118" spans="1:9" x14ac:dyDescent="0.25">
      <c r="A118" s="2" t="s">
        <v>1141</v>
      </c>
      <c r="B118" s="2" t="s">
        <v>1142</v>
      </c>
      <c r="C118" s="2" t="s">
        <v>1143</v>
      </c>
      <c r="D118" s="2" t="s">
        <v>1144</v>
      </c>
      <c r="E118" s="2" t="s">
        <v>1145</v>
      </c>
      <c r="F118" s="2" t="s">
        <v>411</v>
      </c>
      <c r="G118" s="2" t="s">
        <v>318</v>
      </c>
      <c r="H118" s="2" t="s">
        <v>412</v>
      </c>
      <c r="I118" t="s">
        <v>6190</v>
      </c>
    </row>
    <row r="119" spans="1:9" x14ac:dyDescent="0.25">
      <c r="A119" s="2" t="s">
        <v>1147</v>
      </c>
      <c r="B119" s="2" t="s">
        <v>1148</v>
      </c>
      <c r="C119" s="2" t="s">
        <v>1149</v>
      </c>
      <c r="D119" s="2" t="s">
        <v>1150</v>
      </c>
      <c r="E119" s="2" t="s">
        <v>1151</v>
      </c>
      <c r="F119" s="2" t="s">
        <v>203</v>
      </c>
      <c r="G119" s="2" t="s">
        <v>19</v>
      </c>
      <c r="H119" s="2">
        <v>45432</v>
      </c>
      <c r="I119" t="s">
        <v>6191</v>
      </c>
    </row>
    <row r="120" spans="1:9" x14ac:dyDescent="0.25">
      <c r="A120" s="2" t="s">
        <v>1153</v>
      </c>
      <c r="B120" s="2" t="s">
        <v>1154</v>
      </c>
      <c r="C120" s="2" t="s">
        <v>1155</v>
      </c>
      <c r="D120" s="2" t="s">
        <v>1156</v>
      </c>
      <c r="E120" s="2" t="s">
        <v>1157</v>
      </c>
      <c r="F120" s="2" t="s">
        <v>72</v>
      </c>
      <c r="G120" s="2" t="s">
        <v>19</v>
      </c>
      <c r="H120" s="2">
        <v>99507</v>
      </c>
      <c r="I120" t="s">
        <v>6190</v>
      </c>
    </row>
    <row r="121" spans="1:9" x14ac:dyDescent="0.25">
      <c r="A121" s="2" t="s">
        <v>1159</v>
      </c>
      <c r="B121" s="2" t="s">
        <v>1160</v>
      </c>
      <c r="C121" s="2" t="s">
        <v>1161</v>
      </c>
      <c r="D121" s="2" t="s">
        <v>1162</v>
      </c>
      <c r="E121" s="2" t="s">
        <v>1163</v>
      </c>
      <c r="F121" s="2" t="s">
        <v>130</v>
      </c>
      <c r="G121" s="2" t="s">
        <v>19</v>
      </c>
      <c r="H121" s="2">
        <v>37215</v>
      </c>
      <c r="I121" t="s">
        <v>6191</v>
      </c>
    </row>
    <row r="122" spans="1:9" x14ac:dyDescent="0.25">
      <c r="A122" s="2" t="s">
        <v>1164</v>
      </c>
      <c r="B122" s="2" t="s">
        <v>1165</v>
      </c>
      <c r="C122" s="2" t="s">
        <v>1166</v>
      </c>
      <c r="D122" s="2" t="s">
        <v>1167</v>
      </c>
      <c r="E122" s="2" t="s">
        <v>1168</v>
      </c>
      <c r="F122" s="2" t="s">
        <v>27</v>
      </c>
      <c r="G122" s="2" t="s">
        <v>19</v>
      </c>
      <c r="H122" s="2">
        <v>90040</v>
      </c>
      <c r="I122" t="s">
        <v>6190</v>
      </c>
    </row>
    <row r="123" spans="1:9" x14ac:dyDescent="0.25">
      <c r="A123" s="2" t="s">
        <v>1169</v>
      </c>
      <c r="B123" s="2" t="s">
        <v>1170</v>
      </c>
      <c r="C123" s="2" t="s">
        <v>1171</v>
      </c>
      <c r="D123" s="2" t="s">
        <v>1172</v>
      </c>
      <c r="E123" s="2" t="s">
        <v>1173</v>
      </c>
      <c r="F123" s="2" t="s">
        <v>35</v>
      </c>
      <c r="G123" s="2" t="s">
        <v>19</v>
      </c>
      <c r="H123" s="2">
        <v>28289</v>
      </c>
      <c r="I123" t="s">
        <v>6191</v>
      </c>
    </row>
    <row r="124" spans="1:9" x14ac:dyDescent="0.25">
      <c r="A124" s="2" t="s">
        <v>1175</v>
      </c>
      <c r="B124" s="2" t="s">
        <v>1176</v>
      </c>
      <c r="C124" s="2" t="s">
        <v>1177</v>
      </c>
      <c r="D124" s="2" t="s">
        <v>1178</v>
      </c>
      <c r="E124" s="2" t="s">
        <v>1179</v>
      </c>
      <c r="F124" s="2" t="s">
        <v>42</v>
      </c>
      <c r="G124" s="2" t="s">
        <v>19</v>
      </c>
      <c r="H124" s="2">
        <v>80217</v>
      </c>
      <c r="I124" t="s">
        <v>6190</v>
      </c>
    </row>
    <row r="125" spans="1:9" x14ac:dyDescent="0.25">
      <c r="A125" s="2" t="s">
        <v>1181</v>
      </c>
      <c r="B125" s="2" t="s">
        <v>1182</v>
      </c>
      <c r="C125" s="2" t="s">
        <v>1183</v>
      </c>
      <c r="D125" s="2" t="s">
        <v>1184</v>
      </c>
      <c r="E125" s="2" t="s">
        <v>1185</v>
      </c>
      <c r="F125" s="2" t="s">
        <v>165</v>
      </c>
      <c r="G125" s="2" t="s">
        <v>19</v>
      </c>
      <c r="H125" s="2">
        <v>6912</v>
      </c>
      <c r="I125" t="s">
        <v>6191</v>
      </c>
    </row>
    <row r="126" spans="1:9" x14ac:dyDescent="0.25">
      <c r="A126" s="2" t="s">
        <v>1187</v>
      </c>
      <c r="B126" s="2" t="s">
        <v>1188</v>
      </c>
      <c r="C126" s="2" t="s">
        <v>1189</v>
      </c>
      <c r="D126" s="2" t="s">
        <v>1190</v>
      </c>
      <c r="E126" s="2" t="s">
        <v>1191</v>
      </c>
      <c r="F126" s="2" t="s">
        <v>311</v>
      </c>
      <c r="G126" s="2" t="s">
        <v>19</v>
      </c>
      <c r="H126" s="2">
        <v>23605</v>
      </c>
      <c r="I126" t="s">
        <v>6190</v>
      </c>
    </row>
    <row r="127" spans="1:9" x14ac:dyDescent="0.25">
      <c r="A127" s="2" t="s">
        <v>1193</v>
      </c>
      <c r="B127" s="2" t="s">
        <v>1194</v>
      </c>
      <c r="C127" s="2" t="s">
        <v>1195</v>
      </c>
      <c r="D127" s="2" t="s">
        <v>1196</v>
      </c>
      <c r="E127" s="2" t="s">
        <v>1197</v>
      </c>
      <c r="F127" s="2" t="s">
        <v>447</v>
      </c>
      <c r="G127" s="2" t="s">
        <v>318</v>
      </c>
      <c r="H127" s="2" t="s">
        <v>410</v>
      </c>
      <c r="I127" t="s">
        <v>6190</v>
      </c>
    </row>
    <row r="128" spans="1:9" x14ac:dyDescent="0.25">
      <c r="A128" s="2" t="s">
        <v>1199</v>
      </c>
      <c r="B128" s="2" t="s">
        <v>1200</v>
      </c>
      <c r="C128" s="2" t="s">
        <v>1201</v>
      </c>
      <c r="D128" s="2" t="s">
        <v>1202</v>
      </c>
      <c r="E128" s="2" t="s">
        <v>1203</v>
      </c>
      <c r="F128" s="2" t="s">
        <v>72</v>
      </c>
      <c r="G128" s="2" t="s">
        <v>19</v>
      </c>
      <c r="H128" s="2">
        <v>99599</v>
      </c>
      <c r="I128" t="s">
        <v>6191</v>
      </c>
    </row>
    <row r="129" spans="1:9" x14ac:dyDescent="0.25">
      <c r="A129" s="2" t="s">
        <v>1205</v>
      </c>
      <c r="B129" s="2" t="s">
        <v>1206</v>
      </c>
      <c r="C129" s="2" t="s">
        <v>1207</v>
      </c>
      <c r="D129" s="2" t="s">
        <v>1208</v>
      </c>
      <c r="E129" s="2" t="s">
        <v>1209</v>
      </c>
      <c r="F129" s="2" t="s">
        <v>289</v>
      </c>
      <c r="G129" s="2" t="s">
        <v>318</v>
      </c>
      <c r="H129" s="2" t="s">
        <v>444</v>
      </c>
      <c r="I129" t="s">
        <v>6191</v>
      </c>
    </row>
    <row r="130" spans="1:9" x14ac:dyDescent="0.25">
      <c r="A130" s="2" t="s">
        <v>1211</v>
      </c>
      <c r="B130" s="2" t="s">
        <v>1212</v>
      </c>
      <c r="C130" s="2" t="s">
        <v>1213</v>
      </c>
      <c r="D130" s="2" t="s">
        <v>1214</v>
      </c>
      <c r="E130" s="2" t="s">
        <v>1215</v>
      </c>
      <c r="F130" s="2" t="s">
        <v>97</v>
      </c>
      <c r="G130" s="2" t="s">
        <v>19</v>
      </c>
      <c r="H130" s="2">
        <v>58122</v>
      </c>
      <c r="I130" t="s">
        <v>6191</v>
      </c>
    </row>
    <row r="131" spans="1:9" x14ac:dyDescent="0.25">
      <c r="A131" s="2" t="s">
        <v>1217</v>
      </c>
      <c r="B131" s="2" t="s">
        <v>1218</v>
      </c>
      <c r="C131" s="2" t="s">
        <v>1219</v>
      </c>
      <c r="D131" s="2" t="s">
        <v>1220</v>
      </c>
      <c r="E131" s="2" t="s">
        <v>1221</v>
      </c>
      <c r="F131" s="2" t="s">
        <v>95</v>
      </c>
      <c r="G131" s="2" t="s">
        <v>19</v>
      </c>
      <c r="H131" s="2">
        <v>47737</v>
      </c>
      <c r="I131" t="s">
        <v>6190</v>
      </c>
    </row>
    <row r="132" spans="1:9" x14ac:dyDescent="0.25">
      <c r="A132" s="2" t="s">
        <v>1223</v>
      </c>
      <c r="B132" s="2" t="s">
        <v>1224</v>
      </c>
      <c r="C132" s="2"/>
      <c r="D132" s="2" t="s">
        <v>1225</v>
      </c>
      <c r="E132" s="2" t="s">
        <v>1226</v>
      </c>
      <c r="F132" s="2" t="s">
        <v>432</v>
      </c>
      <c r="G132" s="2" t="s">
        <v>318</v>
      </c>
      <c r="H132" s="2" t="s">
        <v>420</v>
      </c>
      <c r="I132" t="s">
        <v>6190</v>
      </c>
    </row>
    <row r="133" spans="1:9" x14ac:dyDescent="0.25">
      <c r="A133" s="2" t="s">
        <v>1228</v>
      </c>
      <c r="B133" s="2" t="s">
        <v>1229</v>
      </c>
      <c r="C133" s="2" t="s">
        <v>1230</v>
      </c>
      <c r="D133" s="2" t="s">
        <v>1231</v>
      </c>
      <c r="E133" s="2" t="s">
        <v>1232</v>
      </c>
      <c r="F133" s="2" t="s">
        <v>35</v>
      </c>
      <c r="G133" s="2" t="s">
        <v>19</v>
      </c>
      <c r="H133" s="2">
        <v>28210</v>
      </c>
      <c r="I133" t="s">
        <v>6190</v>
      </c>
    </row>
    <row r="134" spans="1:9" x14ac:dyDescent="0.25">
      <c r="A134" s="2" t="s">
        <v>1234</v>
      </c>
      <c r="B134" s="2" t="s">
        <v>1235</v>
      </c>
      <c r="C134" s="2" t="s">
        <v>1236</v>
      </c>
      <c r="D134" s="2" t="s">
        <v>1237</v>
      </c>
      <c r="E134" s="2" t="s">
        <v>1238</v>
      </c>
      <c r="F134" s="2" t="s">
        <v>223</v>
      </c>
      <c r="G134" s="2" t="s">
        <v>19</v>
      </c>
      <c r="H134" s="2">
        <v>35815</v>
      </c>
      <c r="I134" t="s">
        <v>6190</v>
      </c>
    </row>
    <row r="135" spans="1:9" x14ac:dyDescent="0.25">
      <c r="A135" s="2" t="s">
        <v>1240</v>
      </c>
      <c r="B135" s="2" t="s">
        <v>1241</v>
      </c>
      <c r="C135" s="2" t="s">
        <v>1242</v>
      </c>
      <c r="D135" s="2" t="s">
        <v>1243</v>
      </c>
      <c r="E135" s="2" t="s">
        <v>1244</v>
      </c>
      <c r="F135" s="2" t="s">
        <v>178</v>
      </c>
      <c r="G135" s="2" t="s">
        <v>19</v>
      </c>
      <c r="H135" s="2">
        <v>92725</v>
      </c>
      <c r="I135" t="s">
        <v>6191</v>
      </c>
    </row>
    <row r="136" spans="1:9" x14ac:dyDescent="0.25">
      <c r="A136" s="2" t="s">
        <v>1246</v>
      </c>
      <c r="B136" s="2" t="s">
        <v>1247</v>
      </c>
      <c r="C136" s="2"/>
      <c r="D136" s="2"/>
      <c r="E136" s="2" t="s">
        <v>1248</v>
      </c>
      <c r="F136" s="2" t="s">
        <v>47</v>
      </c>
      <c r="G136" s="2" t="s">
        <v>19</v>
      </c>
      <c r="H136" s="2">
        <v>20520</v>
      </c>
      <c r="I136" t="s">
        <v>6190</v>
      </c>
    </row>
    <row r="137" spans="1:9" x14ac:dyDescent="0.25">
      <c r="A137" s="2" t="s">
        <v>1250</v>
      </c>
      <c r="B137" s="2" t="s">
        <v>1251</v>
      </c>
      <c r="C137" s="2" t="s">
        <v>1252</v>
      </c>
      <c r="D137" s="2" t="s">
        <v>1253</v>
      </c>
      <c r="E137" s="2" t="s">
        <v>1254</v>
      </c>
      <c r="F137" s="2" t="s">
        <v>476</v>
      </c>
      <c r="G137" s="2" t="s">
        <v>318</v>
      </c>
      <c r="H137" s="2" t="s">
        <v>477</v>
      </c>
      <c r="I137" t="s">
        <v>6191</v>
      </c>
    </row>
    <row r="138" spans="1:9" x14ac:dyDescent="0.25">
      <c r="A138" s="2" t="s">
        <v>1256</v>
      </c>
      <c r="B138" s="2" t="s">
        <v>1257</v>
      </c>
      <c r="C138" s="2" t="s">
        <v>1258</v>
      </c>
      <c r="D138" s="2" t="s">
        <v>1259</v>
      </c>
      <c r="E138" s="2" t="s">
        <v>1260</v>
      </c>
      <c r="F138" s="2" t="s">
        <v>104</v>
      </c>
      <c r="G138" s="2" t="s">
        <v>19</v>
      </c>
      <c r="H138" s="2">
        <v>63131</v>
      </c>
      <c r="I138" t="s">
        <v>6191</v>
      </c>
    </row>
    <row r="139" spans="1:9" x14ac:dyDescent="0.25">
      <c r="A139" s="2" t="s">
        <v>1262</v>
      </c>
      <c r="B139" s="2" t="s">
        <v>1263</v>
      </c>
      <c r="C139" s="2"/>
      <c r="D139" s="2" t="s">
        <v>1264</v>
      </c>
      <c r="E139" s="2" t="s">
        <v>1265</v>
      </c>
      <c r="F139" s="2" t="s">
        <v>349</v>
      </c>
      <c r="G139" s="2" t="s">
        <v>318</v>
      </c>
      <c r="H139" s="2" t="s">
        <v>350</v>
      </c>
      <c r="I139" t="s">
        <v>6191</v>
      </c>
    </row>
    <row r="140" spans="1:9" x14ac:dyDescent="0.25">
      <c r="A140" s="2" t="s">
        <v>1267</v>
      </c>
      <c r="B140" s="2" t="s">
        <v>1268</v>
      </c>
      <c r="C140" s="2"/>
      <c r="D140" s="2" t="s">
        <v>1269</v>
      </c>
      <c r="E140" s="2" t="s">
        <v>1270</v>
      </c>
      <c r="F140" s="2" t="s">
        <v>73</v>
      </c>
      <c r="G140" s="2" t="s">
        <v>19</v>
      </c>
      <c r="H140" s="2">
        <v>96805</v>
      </c>
      <c r="I140" t="s">
        <v>6191</v>
      </c>
    </row>
    <row r="141" spans="1:9" x14ac:dyDescent="0.25">
      <c r="A141" s="2" t="s">
        <v>1272</v>
      </c>
      <c r="B141" s="2" t="s">
        <v>1273</v>
      </c>
      <c r="C141" s="2"/>
      <c r="D141" s="2" t="s">
        <v>1274</v>
      </c>
      <c r="E141" s="2" t="s">
        <v>1275</v>
      </c>
      <c r="F141" s="2" t="s">
        <v>153</v>
      </c>
      <c r="G141" s="2" t="s">
        <v>19</v>
      </c>
      <c r="H141" s="2">
        <v>92878</v>
      </c>
      <c r="I141" t="s">
        <v>6190</v>
      </c>
    </row>
    <row r="142" spans="1:9" x14ac:dyDescent="0.25">
      <c r="A142" s="2" t="s">
        <v>1277</v>
      </c>
      <c r="B142" s="2" t="s">
        <v>1278</v>
      </c>
      <c r="C142" s="2" t="s">
        <v>1279</v>
      </c>
      <c r="D142" s="2" t="s">
        <v>1280</v>
      </c>
      <c r="E142" s="2" t="s">
        <v>1281</v>
      </c>
      <c r="F142" s="2" t="s">
        <v>1282</v>
      </c>
      <c r="G142" s="2" t="s">
        <v>318</v>
      </c>
      <c r="H142" s="2" t="s">
        <v>444</v>
      </c>
      <c r="I142" t="s">
        <v>6190</v>
      </c>
    </row>
    <row r="143" spans="1:9" x14ac:dyDescent="0.25">
      <c r="A143" s="2" t="s">
        <v>1284</v>
      </c>
      <c r="B143" s="2" t="s">
        <v>1285</v>
      </c>
      <c r="C143" s="2" t="s">
        <v>1286</v>
      </c>
      <c r="D143" s="2" t="s">
        <v>1287</v>
      </c>
      <c r="E143" s="2" t="s">
        <v>1288</v>
      </c>
      <c r="F143" s="2" t="s">
        <v>47</v>
      </c>
      <c r="G143" s="2" t="s">
        <v>19</v>
      </c>
      <c r="H143" s="2">
        <v>20520</v>
      </c>
      <c r="I143" t="s">
        <v>6190</v>
      </c>
    </row>
    <row r="144" spans="1:9" x14ac:dyDescent="0.25">
      <c r="A144" s="2" t="s">
        <v>1290</v>
      </c>
      <c r="B144" s="2" t="s">
        <v>1291</v>
      </c>
      <c r="C144" s="2"/>
      <c r="D144" s="2"/>
      <c r="E144" s="2" t="s">
        <v>1292</v>
      </c>
      <c r="F144" s="2" t="s">
        <v>320</v>
      </c>
      <c r="G144" s="2" t="s">
        <v>318</v>
      </c>
      <c r="H144" s="2" t="s">
        <v>321</v>
      </c>
      <c r="I144" t="s">
        <v>6190</v>
      </c>
    </row>
    <row r="145" spans="1:9" x14ac:dyDescent="0.25">
      <c r="A145" s="2" t="s">
        <v>1294</v>
      </c>
      <c r="B145" s="2" t="s">
        <v>1295</v>
      </c>
      <c r="C145" s="2" t="s">
        <v>1296</v>
      </c>
      <c r="D145" s="2" t="s">
        <v>1297</v>
      </c>
      <c r="E145" s="2" t="s">
        <v>1298</v>
      </c>
      <c r="F145" s="2" t="s">
        <v>63</v>
      </c>
      <c r="G145" s="2" t="s">
        <v>19</v>
      </c>
      <c r="H145" s="2">
        <v>77281</v>
      </c>
      <c r="I145" t="s">
        <v>6191</v>
      </c>
    </row>
    <row r="146" spans="1:9" x14ac:dyDescent="0.25">
      <c r="A146" s="2" t="s">
        <v>1300</v>
      </c>
      <c r="B146" s="2" t="s">
        <v>1301</v>
      </c>
      <c r="C146" s="2" t="s">
        <v>1302</v>
      </c>
      <c r="D146" s="2" t="s">
        <v>1303</v>
      </c>
      <c r="E146" s="2" t="s">
        <v>1304</v>
      </c>
      <c r="F146" s="2" t="s">
        <v>161</v>
      </c>
      <c r="G146" s="2" t="s">
        <v>19</v>
      </c>
      <c r="H146" s="2">
        <v>92668</v>
      </c>
      <c r="I146" t="s">
        <v>6190</v>
      </c>
    </row>
    <row r="147" spans="1:9" x14ac:dyDescent="0.25">
      <c r="A147" s="2" t="s">
        <v>1306</v>
      </c>
      <c r="B147" s="2" t="s">
        <v>1307</v>
      </c>
      <c r="C147" s="2" t="s">
        <v>1308</v>
      </c>
      <c r="D147" s="2" t="s">
        <v>1309</v>
      </c>
      <c r="E147" s="2" t="s">
        <v>1310</v>
      </c>
      <c r="F147" s="2" t="s">
        <v>50</v>
      </c>
      <c r="G147" s="2" t="s">
        <v>19</v>
      </c>
      <c r="H147" s="2">
        <v>88553</v>
      </c>
      <c r="I147" t="s">
        <v>6191</v>
      </c>
    </row>
    <row r="148" spans="1:9" x14ac:dyDescent="0.25">
      <c r="A148" s="2" t="s">
        <v>1312</v>
      </c>
      <c r="B148" s="2" t="s">
        <v>1313</v>
      </c>
      <c r="C148" s="2" t="s">
        <v>1314</v>
      </c>
      <c r="D148" s="2" t="s">
        <v>1315</v>
      </c>
      <c r="E148" s="2" t="s">
        <v>1316</v>
      </c>
      <c r="F148" s="2" t="s">
        <v>352</v>
      </c>
      <c r="G148" s="2" t="s">
        <v>19</v>
      </c>
      <c r="H148" s="2">
        <v>89714</v>
      </c>
      <c r="I148" t="s">
        <v>6191</v>
      </c>
    </row>
    <row r="149" spans="1:9" x14ac:dyDescent="0.25">
      <c r="A149" s="2" t="s">
        <v>1317</v>
      </c>
      <c r="B149" s="2" t="s">
        <v>1318</v>
      </c>
      <c r="C149" s="2" t="s">
        <v>1319</v>
      </c>
      <c r="D149" s="2" t="s">
        <v>1320</v>
      </c>
      <c r="E149" s="2" t="s">
        <v>1321</v>
      </c>
      <c r="F149" s="2" t="s">
        <v>106</v>
      </c>
      <c r="G149" s="2" t="s">
        <v>19</v>
      </c>
      <c r="H149" s="2">
        <v>76105</v>
      </c>
      <c r="I149" t="s">
        <v>6190</v>
      </c>
    </row>
    <row r="150" spans="1:9" x14ac:dyDescent="0.25">
      <c r="A150" s="2" t="s">
        <v>1323</v>
      </c>
      <c r="B150" s="2" t="s">
        <v>1324</v>
      </c>
      <c r="C150" s="2" t="s">
        <v>1325</v>
      </c>
      <c r="D150" s="2" t="s">
        <v>1326</v>
      </c>
      <c r="E150" s="2" t="s">
        <v>1327</v>
      </c>
      <c r="F150" s="2" t="s">
        <v>138</v>
      </c>
      <c r="G150" s="2" t="s">
        <v>19</v>
      </c>
      <c r="H150" s="2">
        <v>84605</v>
      </c>
      <c r="I150" t="s">
        <v>6190</v>
      </c>
    </row>
    <row r="151" spans="1:9" x14ac:dyDescent="0.25">
      <c r="A151" s="2" t="s">
        <v>1329</v>
      </c>
      <c r="B151" s="2" t="s">
        <v>1330</v>
      </c>
      <c r="C151" s="2"/>
      <c r="D151" s="2" t="s">
        <v>1331</v>
      </c>
      <c r="E151" s="2" t="s">
        <v>1332</v>
      </c>
      <c r="F151" s="2" t="s">
        <v>197</v>
      </c>
      <c r="G151" s="2" t="s">
        <v>19</v>
      </c>
      <c r="H151" s="2">
        <v>33487</v>
      </c>
      <c r="I151" t="s">
        <v>6190</v>
      </c>
    </row>
    <row r="152" spans="1:9" x14ac:dyDescent="0.25">
      <c r="A152" s="2" t="s">
        <v>1334</v>
      </c>
      <c r="B152" s="2" t="s">
        <v>1335</v>
      </c>
      <c r="C152" s="2" t="s">
        <v>1336</v>
      </c>
      <c r="D152" s="2" t="s">
        <v>1337</v>
      </c>
      <c r="E152" s="2" t="s">
        <v>1338</v>
      </c>
      <c r="F152" s="2" t="s">
        <v>24</v>
      </c>
      <c r="G152" s="2" t="s">
        <v>19</v>
      </c>
      <c r="H152" s="2">
        <v>24040</v>
      </c>
      <c r="I152" t="s">
        <v>6190</v>
      </c>
    </row>
    <row r="153" spans="1:9" x14ac:dyDescent="0.25">
      <c r="A153" s="2" t="s">
        <v>1340</v>
      </c>
      <c r="B153" s="2" t="s">
        <v>1341</v>
      </c>
      <c r="C153" s="2"/>
      <c r="D153" s="2" t="s">
        <v>1342</v>
      </c>
      <c r="E153" s="2" t="s">
        <v>1343</v>
      </c>
      <c r="F153" s="2" t="s">
        <v>169</v>
      </c>
      <c r="G153" s="2" t="s">
        <v>19</v>
      </c>
      <c r="H153" s="2">
        <v>50369</v>
      </c>
      <c r="I153" t="s">
        <v>6190</v>
      </c>
    </row>
    <row r="154" spans="1:9" x14ac:dyDescent="0.25">
      <c r="A154" s="2" t="s">
        <v>1345</v>
      </c>
      <c r="B154" s="2" t="s">
        <v>1346</v>
      </c>
      <c r="C154" s="2" t="s">
        <v>1347</v>
      </c>
      <c r="D154" s="2" t="s">
        <v>1348</v>
      </c>
      <c r="E154" s="2" t="s">
        <v>1349</v>
      </c>
      <c r="F154" s="2" t="s">
        <v>73</v>
      </c>
      <c r="G154" s="2" t="s">
        <v>19</v>
      </c>
      <c r="H154" s="2">
        <v>96805</v>
      </c>
      <c r="I154" t="s">
        <v>6190</v>
      </c>
    </row>
    <row r="155" spans="1:9" x14ac:dyDescent="0.25">
      <c r="A155" s="2" t="s">
        <v>1351</v>
      </c>
      <c r="B155" s="2" t="s">
        <v>1352</v>
      </c>
      <c r="C155" s="2"/>
      <c r="D155" s="2" t="s">
        <v>1353</v>
      </c>
      <c r="E155" s="2" t="s">
        <v>1354</v>
      </c>
      <c r="F155" s="2" t="s">
        <v>271</v>
      </c>
      <c r="G155" s="2" t="s">
        <v>19</v>
      </c>
      <c r="H155" s="2">
        <v>33345</v>
      </c>
      <c r="I155" t="s">
        <v>6191</v>
      </c>
    </row>
    <row r="156" spans="1:9" x14ac:dyDescent="0.25">
      <c r="A156" s="2" t="s">
        <v>1356</v>
      </c>
      <c r="B156" s="2" t="s">
        <v>1357</v>
      </c>
      <c r="C156" s="2" t="s">
        <v>1358</v>
      </c>
      <c r="D156" s="2" t="s">
        <v>1359</v>
      </c>
      <c r="E156" s="2" t="s">
        <v>1360</v>
      </c>
      <c r="F156" s="2" t="s">
        <v>46</v>
      </c>
      <c r="G156" s="2" t="s">
        <v>19</v>
      </c>
      <c r="H156" s="2">
        <v>19172</v>
      </c>
      <c r="I156" t="s">
        <v>6191</v>
      </c>
    </row>
    <row r="157" spans="1:9" x14ac:dyDescent="0.25">
      <c r="A157" s="2" t="s">
        <v>1362</v>
      </c>
      <c r="B157" s="2" t="s">
        <v>1363</v>
      </c>
      <c r="C157" s="2" t="s">
        <v>1364</v>
      </c>
      <c r="D157" s="2" t="s">
        <v>1365</v>
      </c>
      <c r="E157" s="2" t="s">
        <v>1366</v>
      </c>
      <c r="F157" s="2" t="s">
        <v>124</v>
      </c>
      <c r="G157" s="2" t="s">
        <v>19</v>
      </c>
      <c r="H157" s="2">
        <v>6854</v>
      </c>
      <c r="I157" t="s">
        <v>6190</v>
      </c>
    </row>
    <row r="158" spans="1:9" x14ac:dyDescent="0.25">
      <c r="A158" s="2" t="s">
        <v>1368</v>
      </c>
      <c r="B158" s="2" t="s">
        <v>1369</v>
      </c>
      <c r="C158" s="2" t="s">
        <v>1370</v>
      </c>
      <c r="D158" s="2" t="s">
        <v>1371</v>
      </c>
      <c r="E158" s="2" t="s">
        <v>1372</v>
      </c>
      <c r="F158" s="2" t="s">
        <v>59</v>
      </c>
      <c r="G158" s="2" t="s">
        <v>19</v>
      </c>
      <c r="H158" s="2">
        <v>76011</v>
      </c>
      <c r="I158" t="s">
        <v>6190</v>
      </c>
    </row>
    <row r="159" spans="1:9" x14ac:dyDescent="0.25">
      <c r="A159" s="2" t="s">
        <v>1374</v>
      </c>
      <c r="B159" s="2" t="s">
        <v>1375</v>
      </c>
      <c r="C159" s="2" t="s">
        <v>1376</v>
      </c>
      <c r="D159" s="2" t="s">
        <v>1377</v>
      </c>
      <c r="E159" s="2" t="s">
        <v>1378</v>
      </c>
      <c r="F159" s="2" t="s">
        <v>360</v>
      </c>
      <c r="G159" s="2" t="s">
        <v>318</v>
      </c>
      <c r="H159" s="2" t="s">
        <v>361</v>
      </c>
      <c r="I159" t="s">
        <v>6191</v>
      </c>
    </row>
    <row r="160" spans="1:9" x14ac:dyDescent="0.25">
      <c r="A160" s="2" t="s">
        <v>1380</v>
      </c>
      <c r="B160" s="2" t="s">
        <v>1381</v>
      </c>
      <c r="C160" s="2"/>
      <c r="D160" s="2" t="s">
        <v>1382</v>
      </c>
      <c r="E160" s="2" t="s">
        <v>1383</v>
      </c>
      <c r="F160" s="2" t="s">
        <v>65</v>
      </c>
      <c r="G160" s="2" t="s">
        <v>19</v>
      </c>
      <c r="H160" s="2">
        <v>37416</v>
      </c>
      <c r="I160" t="s">
        <v>6190</v>
      </c>
    </row>
    <row r="161" spans="1:9" x14ac:dyDescent="0.25">
      <c r="A161" s="2" t="s">
        <v>1385</v>
      </c>
      <c r="B161" s="2" t="s">
        <v>1386</v>
      </c>
      <c r="C161" s="2"/>
      <c r="D161" s="2" t="s">
        <v>1387</v>
      </c>
      <c r="E161" s="2" t="s">
        <v>1388</v>
      </c>
      <c r="F161" s="2" t="s">
        <v>189</v>
      </c>
      <c r="G161" s="2" t="s">
        <v>19</v>
      </c>
      <c r="H161" s="2">
        <v>97296</v>
      </c>
      <c r="I161" t="s">
        <v>6191</v>
      </c>
    </row>
    <row r="162" spans="1:9" x14ac:dyDescent="0.25">
      <c r="A162" s="2" t="s">
        <v>1390</v>
      </c>
      <c r="B162" s="2" t="s">
        <v>1391</v>
      </c>
      <c r="C162" s="2" t="s">
        <v>1392</v>
      </c>
      <c r="D162" s="2" t="s">
        <v>1393</v>
      </c>
      <c r="E162" s="2" t="s">
        <v>1394</v>
      </c>
      <c r="F162" s="2" t="s">
        <v>77</v>
      </c>
      <c r="G162" s="2" t="s">
        <v>19</v>
      </c>
      <c r="H162" s="2">
        <v>73135</v>
      </c>
      <c r="I162" t="s">
        <v>6191</v>
      </c>
    </row>
    <row r="163" spans="1:9" x14ac:dyDescent="0.25">
      <c r="A163" s="2" t="s">
        <v>1396</v>
      </c>
      <c r="B163" s="2" t="s">
        <v>1397</v>
      </c>
      <c r="C163" s="2" t="s">
        <v>1398</v>
      </c>
      <c r="D163" s="2" t="s">
        <v>1399</v>
      </c>
      <c r="E163" s="2" t="s">
        <v>1400</v>
      </c>
      <c r="F163" s="2" t="s">
        <v>47</v>
      </c>
      <c r="G163" s="2" t="s">
        <v>19</v>
      </c>
      <c r="H163" s="2">
        <v>20520</v>
      </c>
      <c r="I163" t="s">
        <v>6191</v>
      </c>
    </row>
    <row r="164" spans="1:9" x14ac:dyDescent="0.25">
      <c r="A164" s="2" t="s">
        <v>1402</v>
      </c>
      <c r="B164" s="2" t="s">
        <v>1403</v>
      </c>
      <c r="C164" s="2" t="s">
        <v>1404</v>
      </c>
      <c r="D164" s="2" t="s">
        <v>1405</v>
      </c>
      <c r="E164" s="2" t="s">
        <v>1406</v>
      </c>
      <c r="F164" s="2" t="s">
        <v>82</v>
      </c>
      <c r="G164" s="2" t="s">
        <v>19</v>
      </c>
      <c r="H164" s="2">
        <v>27415</v>
      </c>
      <c r="I164" t="s">
        <v>6190</v>
      </c>
    </row>
    <row r="165" spans="1:9" x14ac:dyDescent="0.25">
      <c r="A165" s="2" t="s">
        <v>1408</v>
      </c>
      <c r="B165" s="2" t="s">
        <v>1409</v>
      </c>
      <c r="C165" s="2" t="s">
        <v>1410</v>
      </c>
      <c r="D165" s="2" t="s">
        <v>1411</v>
      </c>
      <c r="E165" s="2" t="s">
        <v>1412</v>
      </c>
      <c r="F165" s="2" t="s">
        <v>164</v>
      </c>
      <c r="G165" s="2" t="s">
        <v>19</v>
      </c>
      <c r="H165" s="2">
        <v>22313</v>
      </c>
      <c r="I165" t="s">
        <v>6191</v>
      </c>
    </row>
    <row r="166" spans="1:9" x14ac:dyDescent="0.25">
      <c r="A166" s="2" t="s">
        <v>1414</v>
      </c>
      <c r="B166" s="2" t="s">
        <v>1415</v>
      </c>
      <c r="C166" s="2" t="s">
        <v>1416</v>
      </c>
      <c r="D166" s="2" t="s">
        <v>1417</v>
      </c>
      <c r="E166" s="2" t="s">
        <v>1418</v>
      </c>
      <c r="F166" s="2" t="s">
        <v>1419</v>
      </c>
      <c r="G166" s="2" t="s">
        <v>318</v>
      </c>
      <c r="H166" s="2" t="s">
        <v>370</v>
      </c>
      <c r="I166" t="s">
        <v>6191</v>
      </c>
    </row>
    <row r="167" spans="1:9" x14ac:dyDescent="0.25">
      <c r="A167" s="2" t="s">
        <v>1421</v>
      </c>
      <c r="B167" s="2" t="s">
        <v>1422</v>
      </c>
      <c r="C167" s="2"/>
      <c r="D167" s="2" t="s">
        <v>1423</v>
      </c>
      <c r="E167" s="2" t="s">
        <v>1424</v>
      </c>
      <c r="F167" s="2" t="s">
        <v>163</v>
      </c>
      <c r="G167" s="2" t="s">
        <v>19</v>
      </c>
      <c r="H167" s="2">
        <v>53405</v>
      </c>
      <c r="I167" t="s">
        <v>6190</v>
      </c>
    </row>
    <row r="168" spans="1:9" x14ac:dyDescent="0.25">
      <c r="A168" s="2" t="s">
        <v>1426</v>
      </c>
      <c r="B168" s="2" t="s">
        <v>1427</v>
      </c>
      <c r="C168" s="2"/>
      <c r="D168" s="2" t="s">
        <v>1428</v>
      </c>
      <c r="E168" s="2" t="s">
        <v>1429</v>
      </c>
      <c r="F168" s="2" t="s">
        <v>209</v>
      </c>
      <c r="G168" s="2" t="s">
        <v>19</v>
      </c>
      <c r="H168" s="2">
        <v>34629</v>
      </c>
      <c r="I168" t="s">
        <v>6190</v>
      </c>
    </row>
    <row r="169" spans="1:9" x14ac:dyDescent="0.25">
      <c r="A169" s="2" t="s">
        <v>1431</v>
      </c>
      <c r="B169" s="2" t="s">
        <v>1432</v>
      </c>
      <c r="C169" s="2" t="s">
        <v>1433</v>
      </c>
      <c r="D169" s="2" t="s">
        <v>1434</v>
      </c>
      <c r="E169" s="2" t="s">
        <v>1435</v>
      </c>
      <c r="F169" s="2" t="s">
        <v>163</v>
      </c>
      <c r="G169" s="2" t="s">
        <v>19</v>
      </c>
      <c r="H169" s="2">
        <v>53405</v>
      </c>
      <c r="I169" t="s">
        <v>6190</v>
      </c>
    </row>
    <row r="170" spans="1:9" x14ac:dyDescent="0.25">
      <c r="A170" s="2" t="s">
        <v>1437</v>
      </c>
      <c r="B170" s="2" t="s">
        <v>1438</v>
      </c>
      <c r="C170" s="2"/>
      <c r="D170" s="2" t="s">
        <v>1439</v>
      </c>
      <c r="E170" s="2" t="s">
        <v>1440</v>
      </c>
      <c r="F170" s="2" t="s">
        <v>1419</v>
      </c>
      <c r="G170" s="2" t="s">
        <v>318</v>
      </c>
      <c r="H170" s="2" t="s">
        <v>370</v>
      </c>
      <c r="I170" t="s">
        <v>6191</v>
      </c>
    </row>
    <row r="171" spans="1:9" x14ac:dyDescent="0.25">
      <c r="A171" s="2" t="s">
        <v>1442</v>
      </c>
      <c r="B171" s="2" t="s">
        <v>1443</v>
      </c>
      <c r="C171" s="2" t="s">
        <v>1444</v>
      </c>
      <c r="D171" s="2" t="s">
        <v>1445</v>
      </c>
      <c r="E171" s="2" t="s">
        <v>1446</v>
      </c>
      <c r="F171" s="2" t="s">
        <v>1447</v>
      </c>
      <c r="G171" s="2" t="s">
        <v>318</v>
      </c>
      <c r="H171" s="2" t="s">
        <v>460</v>
      </c>
      <c r="I171" t="s">
        <v>6191</v>
      </c>
    </row>
    <row r="172" spans="1:9" x14ac:dyDescent="0.25">
      <c r="A172" s="2" t="s">
        <v>1449</v>
      </c>
      <c r="B172" s="2" t="s">
        <v>1450</v>
      </c>
      <c r="C172" s="2" t="s">
        <v>1451</v>
      </c>
      <c r="D172" s="2"/>
      <c r="E172" s="2" t="s">
        <v>1452</v>
      </c>
      <c r="F172" s="2" t="s">
        <v>102</v>
      </c>
      <c r="G172" s="2" t="s">
        <v>28</v>
      </c>
      <c r="H172" s="2" t="s">
        <v>103</v>
      </c>
      <c r="I172" t="s">
        <v>6191</v>
      </c>
    </row>
    <row r="173" spans="1:9" x14ac:dyDescent="0.25">
      <c r="A173" s="2" t="s">
        <v>1454</v>
      </c>
      <c r="B173" s="2" t="s">
        <v>1455</v>
      </c>
      <c r="C173" s="2" t="s">
        <v>1456</v>
      </c>
      <c r="D173" s="2" t="s">
        <v>1457</v>
      </c>
      <c r="E173" s="2" t="s">
        <v>1458</v>
      </c>
      <c r="F173" s="2" t="s">
        <v>137</v>
      </c>
      <c r="G173" s="2" t="s">
        <v>19</v>
      </c>
      <c r="H173" s="2">
        <v>33686</v>
      </c>
      <c r="I173" t="s">
        <v>6190</v>
      </c>
    </row>
    <row r="174" spans="1:9" x14ac:dyDescent="0.25">
      <c r="A174" s="2" t="s">
        <v>1460</v>
      </c>
      <c r="B174" s="2" t="s">
        <v>1461</v>
      </c>
      <c r="C174" s="2" t="s">
        <v>1462</v>
      </c>
      <c r="D174" s="2"/>
      <c r="E174" s="2" t="s">
        <v>1463</v>
      </c>
      <c r="F174" s="2" t="s">
        <v>440</v>
      </c>
      <c r="G174" s="2" t="s">
        <v>318</v>
      </c>
      <c r="H174" s="2" t="s">
        <v>369</v>
      </c>
      <c r="I174" t="s">
        <v>6191</v>
      </c>
    </row>
    <row r="175" spans="1:9" x14ac:dyDescent="0.25">
      <c r="A175" s="2" t="s">
        <v>1465</v>
      </c>
      <c r="B175" s="2" t="s">
        <v>1466</v>
      </c>
      <c r="C175" s="2" t="s">
        <v>1467</v>
      </c>
      <c r="D175" s="2" t="s">
        <v>1468</v>
      </c>
      <c r="E175" s="2" t="s">
        <v>1469</v>
      </c>
      <c r="F175" s="2" t="s">
        <v>187</v>
      </c>
      <c r="G175" s="2" t="s">
        <v>19</v>
      </c>
      <c r="H175" s="2">
        <v>36195</v>
      </c>
      <c r="I175" t="s">
        <v>6191</v>
      </c>
    </row>
    <row r="176" spans="1:9" x14ac:dyDescent="0.25">
      <c r="A176" s="2" t="s">
        <v>1471</v>
      </c>
      <c r="B176" s="2" t="s">
        <v>1472</v>
      </c>
      <c r="C176" s="2"/>
      <c r="D176" s="2" t="s">
        <v>1473</v>
      </c>
      <c r="E176" s="2" t="s">
        <v>1474</v>
      </c>
      <c r="F176" s="2" t="s">
        <v>351</v>
      </c>
      <c r="G176" s="2" t="s">
        <v>19</v>
      </c>
      <c r="H176" s="2">
        <v>89436</v>
      </c>
      <c r="I176" t="s">
        <v>6190</v>
      </c>
    </row>
    <row r="177" spans="1:9" x14ac:dyDescent="0.25">
      <c r="A177" s="2" t="s">
        <v>1476</v>
      </c>
      <c r="B177" s="2" t="s">
        <v>1477</v>
      </c>
      <c r="C177" s="2" t="s">
        <v>1478</v>
      </c>
      <c r="D177" s="2" t="s">
        <v>1479</v>
      </c>
      <c r="E177" s="2" t="s">
        <v>1480</v>
      </c>
      <c r="F177" s="2" t="s">
        <v>167</v>
      </c>
      <c r="G177" s="2" t="s">
        <v>19</v>
      </c>
      <c r="H177" s="2">
        <v>31205</v>
      </c>
      <c r="I177" t="s">
        <v>6190</v>
      </c>
    </row>
    <row r="178" spans="1:9" x14ac:dyDescent="0.25">
      <c r="A178" s="2" t="s">
        <v>1482</v>
      </c>
      <c r="B178" s="2" t="s">
        <v>1483</v>
      </c>
      <c r="C178" s="2" t="s">
        <v>1484</v>
      </c>
      <c r="D178" s="2" t="s">
        <v>1485</v>
      </c>
      <c r="E178" s="2" t="s">
        <v>1486</v>
      </c>
      <c r="F178" s="2" t="s">
        <v>146</v>
      </c>
      <c r="G178" s="2" t="s">
        <v>19</v>
      </c>
      <c r="H178" s="2">
        <v>90605</v>
      </c>
      <c r="I178" t="s">
        <v>6190</v>
      </c>
    </row>
    <row r="179" spans="1:9" x14ac:dyDescent="0.25">
      <c r="A179" s="2" t="s">
        <v>1488</v>
      </c>
      <c r="B179" s="2" t="s">
        <v>1489</v>
      </c>
      <c r="C179" s="2" t="s">
        <v>1490</v>
      </c>
      <c r="D179" s="2"/>
      <c r="E179" s="2" t="s">
        <v>1491</v>
      </c>
      <c r="F179" s="2" t="s">
        <v>193</v>
      </c>
      <c r="G179" s="2" t="s">
        <v>19</v>
      </c>
      <c r="H179" s="2">
        <v>37605</v>
      </c>
      <c r="I179" t="s">
        <v>6190</v>
      </c>
    </row>
    <row r="180" spans="1:9" x14ac:dyDescent="0.25">
      <c r="A180" s="2" t="s">
        <v>1493</v>
      </c>
      <c r="B180" s="2" t="s">
        <v>1494</v>
      </c>
      <c r="C180" s="2" t="s">
        <v>1495</v>
      </c>
      <c r="D180" s="2" t="s">
        <v>1496</v>
      </c>
      <c r="E180" s="2" t="s">
        <v>1497</v>
      </c>
      <c r="F180" s="2" t="s">
        <v>219</v>
      </c>
      <c r="G180" s="2" t="s">
        <v>19</v>
      </c>
      <c r="H180" s="2">
        <v>14614</v>
      </c>
      <c r="I180" t="s">
        <v>6191</v>
      </c>
    </row>
    <row r="181" spans="1:9" x14ac:dyDescent="0.25">
      <c r="A181" s="2" t="s">
        <v>1499</v>
      </c>
      <c r="B181" s="2" t="s">
        <v>1500</v>
      </c>
      <c r="C181" s="2"/>
      <c r="D181" s="2" t="s">
        <v>1501</v>
      </c>
      <c r="E181" s="2" t="s">
        <v>1502</v>
      </c>
      <c r="F181" s="2" t="s">
        <v>362</v>
      </c>
      <c r="G181" s="2" t="s">
        <v>318</v>
      </c>
      <c r="H181" s="2" t="s">
        <v>363</v>
      </c>
      <c r="I181" t="s">
        <v>6191</v>
      </c>
    </row>
    <row r="182" spans="1:9" x14ac:dyDescent="0.25">
      <c r="A182" s="2" t="s">
        <v>1504</v>
      </c>
      <c r="B182" s="2" t="s">
        <v>1505</v>
      </c>
      <c r="C182" s="2" t="s">
        <v>1506</v>
      </c>
      <c r="D182" s="2" t="s">
        <v>1507</v>
      </c>
      <c r="E182" s="2" t="s">
        <v>1508</v>
      </c>
      <c r="F182" s="2" t="s">
        <v>139</v>
      </c>
      <c r="G182" s="2" t="s">
        <v>19</v>
      </c>
      <c r="H182" s="2">
        <v>11254</v>
      </c>
      <c r="I182" t="s">
        <v>6191</v>
      </c>
    </row>
    <row r="183" spans="1:9" x14ac:dyDescent="0.25">
      <c r="A183" s="2" t="s">
        <v>1509</v>
      </c>
      <c r="B183" s="2" t="s">
        <v>1510</v>
      </c>
      <c r="C183" s="2" t="s">
        <v>1511</v>
      </c>
      <c r="D183" s="2" t="s">
        <v>1512</v>
      </c>
      <c r="E183" s="2" t="s">
        <v>1513</v>
      </c>
      <c r="F183" s="2" t="s">
        <v>83</v>
      </c>
      <c r="G183" s="2" t="s">
        <v>19</v>
      </c>
      <c r="H183" s="2">
        <v>1114</v>
      </c>
      <c r="I183" t="s">
        <v>6191</v>
      </c>
    </row>
    <row r="184" spans="1:9" x14ac:dyDescent="0.25">
      <c r="A184" s="2" t="s">
        <v>1515</v>
      </c>
      <c r="B184" s="2" t="s">
        <v>1516</v>
      </c>
      <c r="C184" s="2" t="s">
        <v>1517</v>
      </c>
      <c r="D184" s="2" t="s">
        <v>1518</v>
      </c>
      <c r="E184" s="2" t="s">
        <v>1519</v>
      </c>
      <c r="F184" s="2" t="s">
        <v>232</v>
      </c>
      <c r="G184" s="2" t="s">
        <v>19</v>
      </c>
      <c r="H184" s="2">
        <v>22908</v>
      </c>
      <c r="I184" t="s">
        <v>6191</v>
      </c>
    </row>
    <row r="185" spans="1:9" x14ac:dyDescent="0.25">
      <c r="A185" s="2" t="s">
        <v>1521</v>
      </c>
      <c r="B185" s="2" t="s">
        <v>1522</v>
      </c>
      <c r="C185" s="2" t="s">
        <v>1523</v>
      </c>
      <c r="D185" s="2" t="s">
        <v>1524</v>
      </c>
      <c r="E185" s="2" t="s">
        <v>1525</v>
      </c>
      <c r="F185" s="2" t="s">
        <v>115</v>
      </c>
      <c r="G185" s="2" t="s">
        <v>19</v>
      </c>
      <c r="H185" s="2">
        <v>75044</v>
      </c>
      <c r="I185" t="s">
        <v>6191</v>
      </c>
    </row>
    <row r="186" spans="1:9" x14ac:dyDescent="0.25">
      <c r="A186" s="2" t="s">
        <v>1527</v>
      </c>
      <c r="B186" s="2" t="s">
        <v>1528</v>
      </c>
      <c r="C186" s="2" t="s">
        <v>1529</v>
      </c>
      <c r="D186" s="2" t="s">
        <v>1530</v>
      </c>
      <c r="E186" s="2" t="s">
        <v>1531</v>
      </c>
      <c r="F186" s="2" t="s">
        <v>33</v>
      </c>
      <c r="G186" s="2" t="s">
        <v>19</v>
      </c>
      <c r="H186" s="2">
        <v>55448</v>
      </c>
      <c r="I186" t="s">
        <v>6191</v>
      </c>
    </row>
    <row r="187" spans="1:9" x14ac:dyDescent="0.25">
      <c r="A187" s="2" t="s">
        <v>1533</v>
      </c>
      <c r="B187" s="2" t="s">
        <v>1534</v>
      </c>
      <c r="C187" s="2" t="s">
        <v>1535</v>
      </c>
      <c r="D187" s="2" t="s">
        <v>1536</v>
      </c>
      <c r="E187" s="2" t="s">
        <v>1537</v>
      </c>
      <c r="F187" s="2" t="s">
        <v>174</v>
      </c>
      <c r="G187" s="2" t="s">
        <v>19</v>
      </c>
      <c r="H187" s="2">
        <v>48919</v>
      </c>
      <c r="I187" t="s">
        <v>6190</v>
      </c>
    </row>
    <row r="188" spans="1:9" x14ac:dyDescent="0.25">
      <c r="A188" s="2" t="s">
        <v>1539</v>
      </c>
      <c r="B188" s="2" t="s">
        <v>1540</v>
      </c>
      <c r="C188" s="2" t="s">
        <v>1541</v>
      </c>
      <c r="D188" s="2" t="s">
        <v>1542</v>
      </c>
      <c r="E188" s="2" t="s">
        <v>1543</v>
      </c>
      <c r="F188" s="2" t="s">
        <v>141</v>
      </c>
      <c r="G188" s="2" t="s">
        <v>19</v>
      </c>
      <c r="H188" s="2">
        <v>58207</v>
      </c>
      <c r="I188" t="s">
        <v>6191</v>
      </c>
    </row>
    <row r="189" spans="1:9" x14ac:dyDescent="0.25">
      <c r="A189" s="2" t="s">
        <v>1545</v>
      </c>
      <c r="B189" s="2" t="s">
        <v>1546</v>
      </c>
      <c r="C189" s="2" t="s">
        <v>1547</v>
      </c>
      <c r="D189" s="2"/>
      <c r="E189" s="2" t="s">
        <v>1548</v>
      </c>
      <c r="F189" s="2" t="s">
        <v>72</v>
      </c>
      <c r="G189" s="2" t="s">
        <v>19</v>
      </c>
      <c r="H189" s="2">
        <v>99522</v>
      </c>
      <c r="I189" t="s">
        <v>6190</v>
      </c>
    </row>
    <row r="190" spans="1:9" x14ac:dyDescent="0.25">
      <c r="A190" s="2" t="s">
        <v>1550</v>
      </c>
      <c r="B190" s="2" t="s">
        <v>1551</v>
      </c>
      <c r="C190" s="2" t="s">
        <v>1552</v>
      </c>
      <c r="D190" s="2" t="s">
        <v>1553</v>
      </c>
      <c r="E190" s="2" t="s">
        <v>1554</v>
      </c>
      <c r="F190" s="2" t="s">
        <v>77</v>
      </c>
      <c r="G190" s="2" t="s">
        <v>19</v>
      </c>
      <c r="H190" s="2">
        <v>73129</v>
      </c>
      <c r="I190" t="s">
        <v>6190</v>
      </c>
    </row>
    <row r="191" spans="1:9" x14ac:dyDescent="0.25">
      <c r="A191" s="2" t="s">
        <v>1556</v>
      </c>
      <c r="B191" s="2" t="s">
        <v>1557</v>
      </c>
      <c r="C191" s="2" t="s">
        <v>1558</v>
      </c>
      <c r="D191" s="2" t="s">
        <v>1559</v>
      </c>
      <c r="E191" s="2" t="s">
        <v>1560</v>
      </c>
      <c r="F191" s="2" t="s">
        <v>90</v>
      </c>
      <c r="G191" s="2" t="s">
        <v>19</v>
      </c>
      <c r="H191" s="2">
        <v>74103</v>
      </c>
      <c r="I191" t="s">
        <v>6190</v>
      </c>
    </row>
    <row r="192" spans="1:9" x14ac:dyDescent="0.25">
      <c r="A192" s="2" t="s">
        <v>1562</v>
      </c>
      <c r="B192" s="2" t="s">
        <v>1563</v>
      </c>
      <c r="C192" s="2" t="s">
        <v>1564</v>
      </c>
      <c r="D192" s="2" t="s">
        <v>1565</v>
      </c>
      <c r="E192" s="2" t="s">
        <v>1566</v>
      </c>
      <c r="F192" s="2" t="s">
        <v>41</v>
      </c>
      <c r="G192" s="2" t="s">
        <v>19</v>
      </c>
      <c r="H192" s="2">
        <v>48211</v>
      </c>
      <c r="I192" t="s">
        <v>6190</v>
      </c>
    </row>
    <row r="193" spans="1:9" x14ac:dyDescent="0.25">
      <c r="A193" s="2" t="s">
        <v>1568</v>
      </c>
      <c r="B193" s="2" t="s">
        <v>1569</v>
      </c>
      <c r="C193" s="2" t="s">
        <v>1570</v>
      </c>
      <c r="D193" s="2" t="s">
        <v>1571</v>
      </c>
      <c r="E193" s="2" t="s">
        <v>1572</v>
      </c>
      <c r="F193" s="2" t="s">
        <v>47</v>
      </c>
      <c r="G193" s="2" t="s">
        <v>19</v>
      </c>
      <c r="H193" s="2">
        <v>20436</v>
      </c>
      <c r="I193" t="s">
        <v>6190</v>
      </c>
    </row>
    <row r="194" spans="1:9" x14ac:dyDescent="0.25">
      <c r="A194" s="2" t="s">
        <v>1574</v>
      </c>
      <c r="B194" s="2" t="s">
        <v>1575</v>
      </c>
      <c r="C194" s="2" t="s">
        <v>1576</v>
      </c>
      <c r="D194" s="2" t="s">
        <v>1577</v>
      </c>
      <c r="E194" s="2" t="s">
        <v>1578</v>
      </c>
      <c r="F194" s="2" t="s">
        <v>323</v>
      </c>
      <c r="G194" s="2" t="s">
        <v>318</v>
      </c>
      <c r="H194" s="2" t="s">
        <v>324</v>
      </c>
      <c r="I194" t="s">
        <v>6190</v>
      </c>
    </row>
    <row r="195" spans="1:9" x14ac:dyDescent="0.25">
      <c r="A195" s="2" t="s">
        <v>1580</v>
      </c>
      <c r="B195" s="2" t="s">
        <v>1581</v>
      </c>
      <c r="C195" s="2"/>
      <c r="D195" s="2" t="s">
        <v>1582</v>
      </c>
      <c r="E195" s="2" t="s">
        <v>1583</v>
      </c>
      <c r="F195" s="2" t="s">
        <v>188</v>
      </c>
      <c r="G195" s="2" t="s">
        <v>19</v>
      </c>
      <c r="H195" s="2">
        <v>85215</v>
      </c>
      <c r="I195" t="s">
        <v>6191</v>
      </c>
    </row>
    <row r="196" spans="1:9" x14ac:dyDescent="0.25">
      <c r="A196" s="2" t="s">
        <v>1585</v>
      </c>
      <c r="B196" s="2" t="s">
        <v>1586</v>
      </c>
      <c r="C196" s="2" t="s">
        <v>1587</v>
      </c>
      <c r="D196" s="2" t="s">
        <v>1588</v>
      </c>
      <c r="E196" s="2" t="s">
        <v>1589</v>
      </c>
      <c r="F196" s="2" t="s">
        <v>181</v>
      </c>
      <c r="G196" s="2" t="s">
        <v>19</v>
      </c>
      <c r="H196" s="2">
        <v>44485</v>
      </c>
      <c r="I196" t="s">
        <v>6191</v>
      </c>
    </row>
    <row r="197" spans="1:9" x14ac:dyDescent="0.25">
      <c r="A197" s="2" t="s">
        <v>1591</v>
      </c>
      <c r="B197" s="2" t="s">
        <v>1592</v>
      </c>
      <c r="C197" s="2" t="s">
        <v>1593</v>
      </c>
      <c r="D197" s="2" t="s">
        <v>1594</v>
      </c>
      <c r="E197" s="2" t="s">
        <v>1595</v>
      </c>
      <c r="F197" s="2" t="s">
        <v>23</v>
      </c>
      <c r="G197" s="2" t="s">
        <v>19</v>
      </c>
      <c r="H197" s="2">
        <v>38150</v>
      </c>
      <c r="I197" t="s">
        <v>6191</v>
      </c>
    </row>
    <row r="198" spans="1:9" x14ac:dyDescent="0.25">
      <c r="A198" s="2" t="s">
        <v>1597</v>
      </c>
      <c r="B198" s="2" t="s">
        <v>1598</v>
      </c>
      <c r="C198" s="2" t="s">
        <v>1599</v>
      </c>
      <c r="D198" s="2"/>
      <c r="E198" s="2" t="s">
        <v>1600</v>
      </c>
      <c r="F198" s="2" t="s">
        <v>47</v>
      </c>
      <c r="G198" s="2" t="s">
        <v>19</v>
      </c>
      <c r="H198" s="2">
        <v>20535</v>
      </c>
      <c r="I198" t="s">
        <v>6191</v>
      </c>
    </row>
    <row r="199" spans="1:9" x14ac:dyDescent="0.25">
      <c r="A199" s="2" t="s">
        <v>1601</v>
      </c>
      <c r="B199" s="2" t="s">
        <v>1602</v>
      </c>
      <c r="C199" s="2" t="s">
        <v>1603</v>
      </c>
      <c r="D199" s="2" t="s">
        <v>1604</v>
      </c>
      <c r="E199" s="2" t="s">
        <v>1605</v>
      </c>
      <c r="F199" s="2" t="s">
        <v>475</v>
      </c>
      <c r="G199" s="2" t="s">
        <v>318</v>
      </c>
      <c r="H199" s="2" t="s">
        <v>425</v>
      </c>
      <c r="I199" t="s">
        <v>6190</v>
      </c>
    </row>
    <row r="200" spans="1:9" x14ac:dyDescent="0.25">
      <c r="A200" s="2" t="s">
        <v>1606</v>
      </c>
      <c r="B200" s="2" t="s">
        <v>1607</v>
      </c>
      <c r="C200" s="2" t="s">
        <v>1608</v>
      </c>
      <c r="D200" s="2" t="s">
        <v>1609</v>
      </c>
      <c r="E200" s="2" t="s">
        <v>1610</v>
      </c>
      <c r="F200" s="2" t="s">
        <v>121</v>
      </c>
      <c r="G200" s="2" t="s">
        <v>19</v>
      </c>
      <c r="H200" s="2">
        <v>33064</v>
      </c>
      <c r="I200" t="s">
        <v>6191</v>
      </c>
    </row>
    <row r="201" spans="1:9" x14ac:dyDescent="0.25">
      <c r="A201" s="2" t="s">
        <v>1611</v>
      </c>
      <c r="B201" s="2" t="s">
        <v>1612</v>
      </c>
      <c r="C201" s="2" t="s">
        <v>1613</v>
      </c>
      <c r="D201" s="2" t="s">
        <v>1614</v>
      </c>
      <c r="E201" s="2" t="s">
        <v>1615</v>
      </c>
      <c r="F201" s="2" t="s">
        <v>56</v>
      </c>
      <c r="G201" s="2" t="s">
        <v>19</v>
      </c>
      <c r="H201" s="2">
        <v>60604</v>
      </c>
      <c r="I201" t="s">
        <v>6191</v>
      </c>
    </row>
    <row r="202" spans="1:9" x14ac:dyDescent="0.25">
      <c r="A202" s="2" t="s">
        <v>1616</v>
      </c>
      <c r="B202" s="2" t="s">
        <v>1617</v>
      </c>
      <c r="C202" s="2" t="s">
        <v>1618</v>
      </c>
      <c r="D202" s="2" t="s">
        <v>1619</v>
      </c>
      <c r="E202" s="2" t="s">
        <v>1620</v>
      </c>
      <c r="F202" s="2" t="s">
        <v>299</v>
      </c>
      <c r="G202" s="2" t="s">
        <v>28</v>
      </c>
      <c r="H202" s="2" t="s">
        <v>300</v>
      </c>
      <c r="I202" t="s">
        <v>6191</v>
      </c>
    </row>
    <row r="203" spans="1:9" x14ac:dyDescent="0.25">
      <c r="A203" s="2" t="s">
        <v>1622</v>
      </c>
      <c r="B203" s="2" t="s">
        <v>1623</v>
      </c>
      <c r="C203" s="2"/>
      <c r="D203" s="2" t="s">
        <v>1624</v>
      </c>
      <c r="E203" s="2" t="s">
        <v>1625</v>
      </c>
      <c r="F203" s="2" t="s">
        <v>732</v>
      </c>
      <c r="G203" s="2" t="s">
        <v>19</v>
      </c>
      <c r="H203" s="2">
        <v>84409</v>
      </c>
      <c r="I203" t="s">
        <v>6191</v>
      </c>
    </row>
    <row r="204" spans="1:9" x14ac:dyDescent="0.25">
      <c r="A204" s="2" t="s">
        <v>1627</v>
      </c>
      <c r="B204" s="2" t="s">
        <v>1628</v>
      </c>
      <c r="C204" s="2" t="s">
        <v>1629</v>
      </c>
      <c r="D204" s="2" t="s">
        <v>1630</v>
      </c>
      <c r="E204" s="2" t="s">
        <v>1631</v>
      </c>
      <c r="F204" s="2" t="s">
        <v>198</v>
      </c>
      <c r="G204" s="2" t="s">
        <v>19</v>
      </c>
      <c r="H204" s="2">
        <v>12205</v>
      </c>
      <c r="I204" t="s">
        <v>6190</v>
      </c>
    </row>
    <row r="205" spans="1:9" x14ac:dyDescent="0.25">
      <c r="A205" s="2" t="s">
        <v>1633</v>
      </c>
      <c r="B205" s="2" t="s">
        <v>1634</v>
      </c>
      <c r="C205" s="2" t="s">
        <v>1635</v>
      </c>
      <c r="D205" s="2" t="s">
        <v>1636</v>
      </c>
      <c r="E205" s="2" t="s">
        <v>1637</v>
      </c>
      <c r="F205" s="2" t="s">
        <v>295</v>
      </c>
      <c r="G205" s="2" t="s">
        <v>19</v>
      </c>
      <c r="H205" s="2">
        <v>29305</v>
      </c>
      <c r="I205" t="s">
        <v>6191</v>
      </c>
    </row>
    <row r="206" spans="1:9" x14ac:dyDescent="0.25">
      <c r="A206" s="2" t="s">
        <v>1639</v>
      </c>
      <c r="B206" s="2" t="s">
        <v>1640</v>
      </c>
      <c r="C206" s="2"/>
      <c r="D206" s="2" t="s">
        <v>1641</v>
      </c>
      <c r="E206" s="2" t="s">
        <v>1642</v>
      </c>
      <c r="F206" s="2" t="s">
        <v>302</v>
      </c>
      <c r="G206" s="2" t="s">
        <v>19</v>
      </c>
      <c r="H206" s="2">
        <v>10310</v>
      </c>
      <c r="I206" t="s">
        <v>6191</v>
      </c>
    </row>
    <row r="207" spans="1:9" x14ac:dyDescent="0.25">
      <c r="A207" s="2" t="s">
        <v>1644</v>
      </c>
      <c r="B207" s="2" t="s">
        <v>1645</v>
      </c>
      <c r="C207" s="2"/>
      <c r="D207" s="2" t="s">
        <v>1646</v>
      </c>
      <c r="E207" s="2" t="s">
        <v>1647</v>
      </c>
      <c r="F207" s="2" t="s">
        <v>47</v>
      </c>
      <c r="G207" s="2" t="s">
        <v>19</v>
      </c>
      <c r="H207" s="2">
        <v>20337</v>
      </c>
      <c r="I207" t="s">
        <v>6190</v>
      </c>
    </row>
    <row r="208" spans="1:9" x14ac:dyDescent="0.25">
      <c r="A208" s="2" t="s">
        <v>1649</v>
      </c>
      <c r="B208" s="2" t="s">
        <v>1650</v>
      </c>
      <c r="C208" s="2" t="s">
        <v>1651</v>
      </c>
      <c r="D208" s="2"/>
      <c r="E208" s="2" t="s">
        <v>1652</v>
      </c>
      <c r="F208" s="2" t="s">
        <v>35</v>
      </c>
      <c r="G208" s="2" t="s">
        <v>19</v>
      </c>
      <c r="H208" s="2">
        <v>28225</v>
      </c>
      <c r="I208" t="s">
        <v>6191</v>
      </c>
    </row>
    <row r="209" spans="1:9" x14ac:dyDescent="0.25">
      <c r="A209" s="2" t="s">
        <v>1654</v>
      </c>
      <c r="B209" s="2" t="s">
        <v>1655</v>
      </c>
      <c r="C209" s="2" t="s">
        <v>1656</v>
      </c>
      <c r="D209" s="2" t="s">
        <v>1657</v>
      </c>
      <c r="E209" s="2" t="s">
        <v>1658</v>
      </c>
      <c r="F209" s="2" t="s">
        <v>297</v>
      </c>
      <c r="G209" s="2" t="s">
        <v>19</v>
      </c>
      <c r="H209" s="2">
        <v>79491</v>
      </c>
      <c r="I209" t="s">
        <v>6190</v>
      </c>
    </row>
    <row r="210" spans="1:9" x14ac:dyDescent="0.25">
      <c r="A210" s="2" t="s">
        <v>1660</v>
      </c>
      <c r="B210" s="2" t="s">
        <v>1661</v>
      </c>
      <c r="C210" s="2" t="s">
        <v>1662</v>
      </c>
      <c r="D210" s="2" t="s">
        <v>1663</v>
      </c>
      <c r="E210" s="2" t="s">
        <v>1664</v>
      </c>
      <c r="F210" s="2" t="s">
        <v>451</v>
      </c>
      <c r="G210" s="2" t="s">
        <v>318</v>
      </c>
      <c r="H210" s="2" t="s">
        <v>452</v>
      </c>
      <c r="I210" t="s">
        <v>6190</v>
      </c>
    </row>
    <row r="211" spans="1:9" x14ac:dyDescent="0.25">
      <c r="A211" s="2" t="s">
        <v>1666</v>
      </c>
      <c r="B211" s="2" t="s">
        <v>1667</v>
      </c>
      <c r="C211" s="2" t="s">
        <v>1668</v>
      </c>
      <c r="D211" s="2" t="s">
        <v>1669</v>
      </c>
      <c r="E211" s="2" t="s">
        <v>1670</v>
      </c>
      <c r="F211" s="2" t="s">
        <v>264</v>
      </c>
      <c r="G211" s="2" t="s">
        <v>28</v>
      </c>
      <c r="H211" s="2" t="s">
        <v>265</v>
      </c>
      <c r="I211" t="s">
        <v>6191</v>
      </c>
    </row>
    <row r="212" spans="1:9" x14ac:dyDescent="0.25">
      <c r="A212" s="2" t="s">
        <v>1672</v>
      </c>
      <c r="B212" s="2" t="s">
        <v>1673</v>
      </c>
      <c r="C212" s="2" t="s">
        <v>1674</v>
      </c>
      <c r="D212" s="2" t="s">
        <v>1675</v>
      </c>
      <c r="E212" s="2" t="s">
        <v>1676</v>
      </c>
      <c r="F212" s="2" t="s">
        <v>232</v>
      </c>
      <c r="G212" s="2" t="s">
        <v>19</v>
      </c>
      <c r="H212" s="2">
        <v>22908</v>
      </c>
      <c r="I212" t="s">
        <v>6190</v>
      </c>
    </row>
    <row r="213" spans="1:9" x14ac:dyDescent="0.25">
      <c r="A213" s="2" t="s">
        <v>1678</v>
      </c>
      <c r="B213" s="2" t="s">
        <v>1679</v>
      </c>
      <c r="C213" s="2" t="s">
        <v>1680</v>
      </c>
      <c r="D213" s="2"/>
      <c r="E213" s="2" t="s">
        <v>1681</v>
      </c>
      <c r="F213" s="2" t="s">
        <v>57</v>
      </c>
      <c r="G213" s="2" t="s">
        <v>19</v>
      </c>
      <c r="H213" s="2">
        <v>10105</v>
      </c>
      <c r="I213" t="s">
        <v>6191</v>
      </c>
    </row>
    <row r="214" spans="1:9" x14ac:dyDescent="0.25">
      <c r="A214" s="2" t="s">
        <v>1683</v>
      </c>
      <c r="B214" s="2" t="s">
        <v>1684</v>
      </c>
      <c r="C214" s="2" t="s">
        <v>1685</v>
      </c>
      <c r="D214" s="2" t="s">
        <v>1686</v>
      </c>
      <c r="E214" s="2" t="s">
        <v>1687</v>
      </c>
      <c r="F214" s="2" t="s">
        <v>24</v>
      </c>
      <c r="G214" s="2" t="s">
        <v>19</v>
      </c>
      <c r="H214" s="2">
        <v>24009</v>
      </c>
      <c r="I214" t="s">
        <v>6190</v>
      </c>
    </row>
    <row r="215" spans="1:9" x14ac:dyDescent="0.25">
      <c r="A215" s="2" t="s">
        <v>1689</v>
      </c>
      <c r="B215" s="2" t="s">
        <v>1690</v>
      </c>
      <c r="C215" s="2" t="s">
        <v>1691</v>
      </c>
      <c r="D215" s="2" t="s">
        <v>1692</v>
      </c>
      <c r="E215" s="2" t="s">
        <v>1693</v>
      </c>
      <c r="F215" s="2" t="s">
        <v>57</v>
      </c>
      <c r="G215" s="2" t="s">
        <v>19</v>
      </c>
      <c r="H215" s="2">
        <v>10009</v>
      </c>
      <c r="I215" t="s">
        <v>6191</v>
      </c>
    </row>
    <row r="216" spans="1:9" x14ac:dyDescent="0.25">
      <c r="A216" s="2" t="s">
        <v>1695</v>
      </c>
      <c r="B216" s="2" t="s">
        <v>1696</v>
      </c>
      <c r="C216" s="2" t="s">
        <v>1697</v>
      </c>
      <c r="D216" s="2" t="s">
        <v>1698</v>
      </c>
      <c r="E216" s="2" t="s">
        <v>1699</v>
      </c>
      <c r="F216" s="2" t="s">
        <v>1700</v>
      </c>
      <c r="G216" s="2" t="s">
        <v>318</v>
      </c>
      <c r="H216" s="2" t="s">
        <v>348</v>
      </c>
      <c r="I216" t="s">
        <v>6191</v>
      </c>
    </row>
    <row r="217" spans="1:9" x14ac:dyDescent="0.25">
      <c r="A217" s="2" t="s">
        <v>1702</v>
      </c>
      <c r="B217" s="2" t="s">
        <v>1703</v>
      </c>
      <c r="C217" s="2" t="s">
        <v>1704</v>
      </c>
      <c r="D217" s="2" t="s">
        <v>1705</v>
      </c>
      <c r="E217" s="2" t="s">
        <v>1706</v>
      </c>
      <c r="F217" s="2" t="s">
        <v>216</v>
      </c>
      <c r="G217" s="2" t="s">
        <v>19</v>
      </c>
      <c r="H217" s="2">
        <v>84120</v>
      </c>
      <c r="I217" t="s">
        <v>6191</v>
      </c>
    </row>
    <row r="218" spans="1:9" x14ac:dyDescent="0.25">
      <c r="A218" s="2" t="s">
        <v>1708</v>
      </c>
      <c r="B218" s="2" t="s">
        <v>1709</v>
      </c>
      <c r="C218" s="2" t="s">
        <v>1710</v>
      </c>
      <c r="D218" s="2" t="s">
        <v>1711</v>
      </c>
      <c r="E218" s="2" t="s">
        <v>1712</v>
      </c>
      <c r="F218" s="2" t="s">
        <v>260</v>
      </c>
      <c r="G218" s="2" t="s">
        <v>19</v>
      </c>
      <c r="H218" s="2">
        <v>43635</v>
      </c>
      <c r="I218" t="s">
        <v>6190</v>
      </c>
    </row>
    <row r="219" spans="1:9" x14ac:dyDescent="0.25">
      <c r="A219" s="2" t="s">
        <v>1714</v>
      </c>
      <c r="B219" s="2" t="s">
        <v>1715</v>
      </c>
      <c r="C219" s="2" t="s">
        <v>1716</v>
      </c>
      <c r="D219" s="2" t="s">
        <v>1717</v>
      </c>
      <c r="E219" s="2" t="s">
        <v>1718</v>
      </c>
      <c r="F219" s="2" t="s">
        <v>87</v>
      </c>
      <c r="G219" s="2" t="s">
        <v>19</v>
      </c>
      <c r="H219" s="2">
        <v>91131</v>
      </c>
      <c r="I219" t="s">
        <v>6191</v>
      </c>
    </row>
    <row r="220" spans="1:9" x14ac:dyDescent="0.25">
      <c r="A220" s="2" t="s">
        <v>1720</v>
      </c>
      <c r="B220" s="2" t="s">
        <v>1721</v>
      </c>
      <c r="C220" s="2" t="s">
        <v>1722</v>
      </c>
      <c r="D220" s="2" t="s">
        <v>1723</v>
      </c>
      <c r="E220" s="2" t="s">
        <v>1724</v>
      </c>
      <c r="F220" s="2" t="s">
        <v>342</v>
      </c>
      <c r="G220" s="2" t="s">
        <v>318</v>
      </c>
      <c r="H220" s="2" t="s">
        <v>343</v>
      </c>
      <c r="I220" t="s">
        <v>6190</v>
      </c>
    </row>
    <row r="221" spans="1:9" x14ac:dyDescent="0.25">
      <c r="A221" s="2" t="s">
        <v>1726</v>
      </c>
      <c r="B221" s="2" t="s">
        <v>1727</v>
      </c>
      <c r="C221" s="2" t="s">
        <v>1728</v>
      </c>
      <c r="D221" s="2" t="s">
        <v>1729</v>
      </c>
      <c r="E221" s="2" t="s">
        <v>1730</v>
      </c>
      <c r="F221" s="2" t="s">
        <v>37</v>
      </c>
      <c r="G221" s="2" t="s">
        <v>19</v>
      </c>
      <c r="H221" s="2">
        <v>64082</v>
      </c>
      <c r="I221" t="s">
        <v>6191</v>
      </c>
    </row>
    <row r="222" spans="1:9" x14ac:dyDescent="0.25">
      <c r="A222" s="2" t="s">
        <v>1731</v>
      </c>
      <c r="B222" s="2" t="s">
        <v>1732</v>
      </c>
      <c r="C222" s="2" t="s">
        <v>1733</v>
      </c>
      <c r="D222" s="2" t="s">
        <v>1734</v>
      </c>
      <c r="E222" s="2" t="s">
        <v>1735</v>
      </c>
      <c r="F222" s="2" t="s">
        <v>106</v>
      </c>
      <c r="G222" s="2" t="s">
        <v>19</v>
      </c>
      <c r="H222" s="2">
        <v>76121</v>
      </c>
      <c r="I222" t="s">
        <v>6191</v>
      </c>
    </row>
    <row r="223" spans="1:9" x14ac:dyDescent="0.25">
      <c r="A223" s="2" t="s">
        <v>1737</v>
      </c>
      <c r="B223" s="2" t="s">
        <v>1738</v>
      </c>
      <c r="C223" s="2" t="s">
        <v>1739</v>
      </c>
      <c r="D223" s="2" t="s">
        <v>1740</v>
      </c>
      <c r="E223" s="2" t="s">
        <v>1741</v>
      </c>
      <c r="F223" s="2" t="s">
        <v>422</v>
      </c>
      <c r="G223" s="2" t="s">
        <v>19</v>
      </c>
      <c r="H223" s="2">
        <v>92619</v>
      </c>
      <c r="I223" t="s">
        <v>6190</v>
      </c>
    </row>
    <row r="224" spans="1:9" x14ac:dyDescent="0.25">
      <c r="A224" s="2" t="s">
        <v>1743</v>
      </c>
      <c r="B224" s="2" t="s">
        <v>1744</v>
      </c>
      <c r="C224" s="2" t="s">
        <v>1745</v>
      </c>
      <c r="D224" s="2" t="s">
        <v>1746</v>
      </c>
      <c r="E224" s="2" t="s">
        <v>1747</v>
      </c>
      <c r="F224" s="2" t="s">
        <v>218</v>
      </c>
      <c r="G224" s="2" t="s">
        <v>19</v>
      </c>
      <c r="H224" s="2">
        <v>11854</v>
      </c>
      <c r="I224" t="s">
        <v>6191</v>
      </c>
    </row>
    <row r="225" spans="1:9" x14ac:dyDescent="0.25">
      <c r="A225" s="2" t="s">
        <v>1749</v>
      </c>
      <c r="B225" s="2" t="s">
        <v>1750</v>
      </c>
      <c r="C225" s="2"/>
      <c r="D225" s="2" t="s">
        <v>1751</v>
      </c>
      <c r="E225" s="2" t="s">
        <v>1752</v>
      </c>
      <c r="F225" s="2" t="s">
        <v>47</v>
      </c>
      <c r="G225" s="2" t="s">
        <v>19</v>
      </c>
      <c r="H225" s="2">
        <v>20546</v>
      </c>
      <c r="I225" t="s">
        <v>6190</v>
      </c>
    </row>
    <row r="226" spans="1:9" x14ac:dyDescent="0.25">
      <c r="A226" s="2" t="s">
        <v>1754</v>
      </c>
      <c r="B226" s="2" t="s">
        <v>1755</v>
      </c>
      <c r="C226" s="2" t="s">
        <v>1756</v>
      </c>
      <c r="D226" s="2" t="s">
        <v>1757</v>
      </c>
      <c r="E226" s="2" t="s">
        <v>1758</v>
      </c>
      <c r="F226" s="2" t="s">
        <v>57</v>
      </c>
      <c r="G226" s="2" t="s">
        <v>19</v>
      </c>
      <c r="H226" s="2">
        <v>10060</v>
      </c>
      <c r="I226" t="s">
        <v>6190</v>
      </c>
    </row>
    <row r="227" spans="1:9" x14ac:dyDescent="0.25">
      <c r="A227" s="2" t="s">
        <v>1760</v>
      </c>
      <c r="B227" s="2" t="s">
        <v>1761</v>
      </c>
      <c r="C227" s="2" t="s">
        <v>1762</v>
      </c>
      <c r="D227" s="2" t="s">
        <v>1763</v>
      </c>
      <c r="E227" s="2" t="s">
        <v>1764</v>
      </c>
      <c r="F227" s="2" t="s">
        <v>408</v>
      </c>
      <c r="G227" s="2" t="s">
        <v>318</v>
      </c>
      <c r="H227" s="2" t="s">
        <v>343</v>
      </c>
      <c r="I227" t="s">
        <v>6191</v>
      </c>
    </row>
    <row r="228" spans="1:9" x14ac:dyDescent="0.25">
      <c r="A228" s="2" t="s">
        <v>1766</v>
      </c>
      <c r="B228" s="2" t="s">
        <v>1767</v>
      </c>
      <c r="C228" s="2" t="s">
        <v>1768</v>
      </c>
      <c r="D228" s="2" t="s">
        <v>1769</v>
      </c>
      <c r="E228" s="2" t="s">
        <v>1770</v>
      </c>
      <c r="F228" s="2" t="s">
        <v>67</v>
      </c>
      <c r="G228" s="2" t="s">
        <v>19</v>
      </c>
      <c r="H228" s="2">
        <v>66276</v>
      </c>
      <c r="I228" t="s">
        <v>6191</v>
      </c>
    </row>
    <row r="229" spans="1:9" x14ac:dyDescent="0.25">
      <c r="A229" s="2" t="s">
        <v>1772</v>
      </c>
      <c r="B229" s="2" t="s">
        <v>1773</v>
      </c>
      <c r="C229" s="2" t="s">
        <v>1774</v>
      </c>
      <c r="D229" s="2" t="s">
        <v>1775</v>
      </c>
      <c r="E229" s="2" t="s">
        <v>1776</v>
      </c>
      <c r="F229" s="2" t="s">
        <v>246</v>
      </c>
      <c r="G229" s="2" t="s">
        <v>28</v>
      </c>
      <c r="H229" s="2" t="s">
        <v>247</v>
      </c>
      <c r="I229" t="s">
        <v>6190</v>
      </c>
    </row>
    <row r="230" spans="1:9" x14ac:dyDescent="0.25">
      <c r="A230" s="2" t="s">
        <v>1778</v>
      </c>
      <c r="B230" s="2" t="s">
        <v>1779</v>
      </c>
      <c r="C230" s="2" t="s">
        <v>1780</v>
      </c>
      <c r="D230" s="2" t="s">
        <v>1781</v>
      </c>
      <c r="E230" s="2" t="s">
        <v>1782</v>
      </c>
      <c r="F230" s="2" t="s">
        <v>131</v>
      </c>
      <c r="G230" s="2" t="s">
        <v>19</v>
      </c>
      <c r="H230" s="2">
        <v>94291</v>
      </c>
      <c r="I230" t="s">
        <v>6191</v>
      </c>
    </row>
    <row r="231" spans="1:9" x14ac:dyDescent="0.25">
      <c r="A231" s="2" t="s">
        <v>1784</v>
      </c>
      <c r="B231" s="2" t="s">
        <v>1785</v>
      </c>
      <c r="C231" s="2" t="s">
        <v>1786</v>
      </c>
      <c r="D231" s="2" t="s">
        <v>1787</v>
      </c>
      <c r="E231" s="2" t="s">
        <v>1788</v>
      </c>
      <c r="F231" s="2" t="s">
        <v>202</v>
      </c>
      <c r="G231" s="2" t="s">
        <v>19</v>
      </c>
      <c r="H231" s="2">
        <v>18706</v>
      </c>
      <c r="I231" t="s">
        <v>6191</v>
      </c>
    </row>
    <row r="232" spans="1:9" x14ac:dyDescent="0.25">
      <c r="A232" s="2" t="s">
        <v>1790</v>
      </c>
      <c r="B232" s="2" t="s">
        <v>1791</v>
      </c>
      <c r="C232" s="2" t="s">
        <v>1792</v>
      </c>
      <c r="D232" s="2" t="s">
        <v>1793</v>
      </c>
      <c r="E232" s="2" t="s">
        <v>1794</v>
      </c>
      <c r="F232" s="2" t="s">
        <v>82</v>
      </c>
      <c r="G232" s="2" t="s">
        <v>19</v>
      </c>
      <c r="H232" s="2">
        <v>27499</v>
      </c>
      <c r="I232" t="s">
        <v>6191</v>
      </c>
    </row>
    <row r="233" spans="1:9" x14ac:dyDescent="0.25">
      <c r="A233" s="2" t="s">
        <v>1796</v>
      </c>
      <c r="B233" s="2" t="s">
        <v>1797</v>
      </c>
      <c r="C233" s="2"/>
      <c r="D233" s="2" t="s">
        <v>1798</v>
      </c>
      <c r="E233" s="2" t="s">
        <v>1799</v>
      </c>
      <c r="F233" s="2" t="s">
        <v>199</v>
      </c>
      <c r="G233" s="2" t="s">
        <v>19</v>
      </c>
      <c r="H233" s="2">
        <v>19725</v>
      </c>
      <c r="I233" t="s">
        <v>6190</v>
      </c>
    </row>
    <row r="234" spans="1:9" x14ac:dyDescent="0.25">
      <c r="A234" s="2" t="s">
        <v>1801</v>
      </c>
      <c r="B234" s="2" t="s">
        <v>1802</v>
      </c>
      <c r="C234" s="2" t="s">
        <v>1803</v>
      </c>
      <c r="D234" s="2" t="s">
        <v>1804</v>
      </c>
      <c r="E234" s="2" t="s">
        <v>1805</v>
      </c>
      <c r="F234" s="2" t="s">
        <v>248</v>
      </c>
      <c r="G234" s="2" t="s">
        <v>28</v>
      </c>
      <c r="H234" s="2" t="s">
        <v>249</v>
      </c>
      <c r="I234" t="s">
        <v>6191</v>
      </c>
    </row>
    <row r="235" spans="1:9" x14ac:dyDescent="0.25">
      <c r="A235" s="2" t="s">
        <v>1807</v>
      </c>
      <c r="B235" s="2" t="s">
        <v>1808</v>
      </c>
      <c r="C235" s="2" t="s">
        <v>1809</v>
      </c>
      <c r="D235" s="2" t="s">
        <v>1810</v>
      </c>
      <c r="E235" s="2" t="s">
        <v>1811</v>
      </c>
      <c r="F235" s="2" t="s">
        <v>73</v>
      </c>
      <c r="G235" s="2" t="s">
        <v>19</v>
      </c>
      <c r="H235" s="2">
        <v>96825</v>
      </c>
      <c r="I235" t="s">
        <v>6191</v>
      </c>
    </row>
    <row r="236" spans="1:9" x14ac:dyDescent="0.25">
      <c r="A236" s="2" t="s">
        <v>1813</v>
      </c>
      <c r="B236" s="2" t="s">
        <v>1814</v>
      </c>
      <c r="C236" s="2" t="s">
        <v>1815</v>
      </c>
      <c r="D236" s="2" t="s">
        <v>1816</v>
      </c>
      <c r="E236" s="2" t="s">
        <v>1817</v>
      </c>
      <c r="F236" s="2" t="s">
        <v>57</v>
      </c>
      <c r="G236" s="2" t="s">
        <v>19</v>
      </c>
      <c r="H236" s="2">
        <v>10150</v>
      </c>
      <c r="I236" t="s">
        <v>6191</v>
      </c>
    </row>
    <row r="237" spans="1:9" x14ac:dyDescent="0.25">
      <c r="A237" s="2" t="s">
        <v>1819</v>
      </c>
      <c r="B237" s="2" t="s">
        <v>1820</v>
      </c>
      <c r="C237" s="2"/>
      <c r="D237" s="2"/>
      <c r="E237" s="2" t="s">
        <v>1821</v>
      </c>
      <c r="F237" s="2" t="s">
        <v>472</v>
      </c>
      <c r="G237" s="2" t="s">
        <v>318</v>
      </c>
      <c r="H237" s="2" t="s">
        <v>473</v>
      </c>
      <c r="I237" t="s">
        <v>6191</v>
      </c>
    </row>
    <row r="238" spans="1:9" x14ac:dyDescent="0.25">
      <c r="A238" s="2" t="s">
        <v>1823</v>
      </c>
      <c r="B238" s="2" t="s">
        <v>1824</v>
      </c>
      <c r="C238" s="2" t="s">
        <v>1825</v>
      </c>
      <c r="D238" s="2" t="s">
        <v>1826</v>
      </c>
      <c r="E238" s="2" t="s">
        <v>1827</v>
      </c>
      <c r="F238" s="2" t="s">
        <v>463</v>
      </c>
      <c r="G238" s="2" t="s">
        <v>318</v>
      </c>
      <c r="H238" s="2" t="s">
        <v>389</v>
      </c>
      <c r="I238" t="s">
        <v>6191</v>
      </c>
    </row>
    <row r="239" spans="1:9" x14ac:dyDescent="0.25">
      <c r="A239" s="2" t="s">
        <v>1829</v>
      </c>
      <c r="B239" s="2" t="s">
        <v>1830</v>
      </c>
      <c r="C239" s="2"/>
      <c r="D239" s="2" t="s">
        <v>1831</v>
      </c>
      <c r="E239" s="2" t="s">
        <v>1832</v>
      </c>
      <c r="F239" s="2" t="s">
        <v>51</v>
      </c>
      <c r="G239" s="2" t="s">
        <v>19</v>
      </c>
      <c r="H239" s="2">
        <v>45218</v>
      </c>
      <c r="I239" t="s">
        <v>6190</v>
      </c>
    </row>
    <row r="240" spans="1:9" x14ac:dyDescent="0.25">
      <c r="A240" s="2" t="s">
        <v>1834</v>
      </c>
      <c r="B240" s="2" t="s">
        <v>1835</v>
      </c>
      <c r="C240" s="2" t="s">
        <v>1836</v>
      </c>
      <c r="D240" s="2" t="s">
        <v>1837</v>
      </c>
      <c r="E240" s="2" t="s">
        <v>1838</v>
      </c>
      <c r="F240" s="2" t="s">
        <v>212</v>
      </c>
      <c r="G240" s="2" t="s">
        <v>19</v>
      </c>
      <c r="H240" s="2">
        <v>48670</v>
      </c>
      <c r="I240" t="s">
        <v>6190</v>
      </c>
    </row>
    <row r="241" spans="1:9" x14ac:dyDescent="0.25">
      <c r="A241" s="2" t="s">
        <v>1840</v>
      </c>
      <c r="B241" s="2" t="s">
        <v>1841</v>
      </c>
      <c r="C241" s="2" t="s">
        <v>1842</v>
      </c>
      <c r="D241" s="2" t="s">
        <v>1843</v>
      </c>
      <c r="E241" s="2" t="s">
        <v>1844</v>
      </c>
      <c r="F241" s="2" t="s">
        <v>154</v>
      </c>
      <c r="G241" s="2" t="s">
        <v>19</v>
      </c>
      <c r="H241" s="2">
        <v>82007</v>
      </c>
      <c r="I241" t="s">
        <v>6191</v>
      </c>
    </row>
    <row r="242" spans="1:9" x14ac:dyDescent="0.25">
      <c r="A242" s="2" t="s">
        <v>1846</v>
      </c>
      <c r="B242" s="2" t="s">
        <v>1847</v>
      </c>
      <c r="C242" s="2"/>
      <c r="D242" s="2"/>
      <c r="E242" s="2" t="s">
        <v>1848</v>
      </c>
      <c r="F242" s="2" t="s">
        <v>84</v>
      </c>
      <c r="G242" s="2" t="s">
        <v>19</v>
      </c>
      <c r="H242" s="2">
        <v>31119</v>
      </c>
      <c r="I242" t="s">
        <v>6190</v>
      </c>
    </row>
    <row r="243" spans="1:9" x14ac:dyDescent="0.25">
      <c r="A243" s="2" t="s">
        <v>1850</v>
      </c>
      <c r="B243" s="2" t="s">
        <v>1851</v>
      </c>
      <c r="C243" s="2"/>
      <c r="D243" s="2" t="s">
        <v>1852</v>
      </c>
      <c r="E243" s="2" t="s">
        <v>1853</v>
      </c>
      <c r="F243" s="2" t="s">
        <v>64</v>
      </c>
      <c r="G243" s="2" t="s">
        <v>19</v>
      </c>
      <c r="H243" s="2">
        <v>30096</v>
      </c>
      <c r="I243" t="s">
        <v>6191</v>
      </c>
    </row>
    <row r="244" spans="1:9" x14ac:dyDescent="0.25">
      <c r="A244" s="2" t="s">
        <v>1855</v>
      </c>
      <c r="B244" s="2" t="s">
        <v>1856</v>
      </c>
      <c r="C244" s="2" t="s">
        <v>1857</v>
      </c>
      <c r="D244" s="2" t="s">
        <v>1858</v>
      </c>
      <c r="E244" s="2" t="s">
        <v>1859</v>
      </c>
      <c r="F244" s="2" t="s">
        <v>131</v>
      </c>
      <c r="G244" s="2" t="s">
        <v>19</v>
      </c>
      <c r="H244" s="2">
        <v>94250</v>
      </c>
      <c r="I244" t="s">
        <v>6190</v>
      </c>
    </row>
    <row r="245" spans="1:9" x14ac:dyDescent="0.25">
      <c r="A245" s="2" t="s">
        <v>1861</v>
      </c>
      <c r="B245" s="2" t="s">
        <v>1862</v>
      </c>
      <c r="C245" s="2" t="s">
        <v>1863</v>
      </c>
      <c r="D245" s="2" t="s">
        <v>1864</v>
      </c>
      <c r="E245" s="2" t="s">
        <v>1865</v>
      </c>
      <c r="F245" s="2" t="s">
        <v>137</v>
      </c>
      <c r="G245" s="2" t="s">
        <v>19</v>
      </c>
      <c r="H245" s="2">
        <v>33661</v>
      </c>
      <c r="I245" t="s">
        <v>6190</v>
      </c>
    </row>
    <row r="246" spans="1:9" x14ac:dyDescent="0.25">
      <c r="A246" s="2" t="s">
        <v>1867</v>
      </c>
      <c r="B246" s="2" t="s">
        <v>1868</v>
      </c>
      <c r="C246" s="2" t="s">
        <v>1869</v>
      </c>
      <c r="D246" s="2" t="s">
        <v>1870</v>
      </c>
      <c r="E246" s="2" t="s">
        <v>1871</v>
      </c>
      <c r="F246" s="2" t="s">
        <v>73</v>
      </c>
      <c r="G246" s="2" t="s">
        <v>19</v>
      </c>
      <c r="H246" s="2">
        <v>96805</v>
      </c>
      <c r="I246" t="s">
        <v>6191</v>
      </c>
    </row>
    <row r="247" spans="1:9" x14ac:dyDescent="0.25">
      <c r="A247" s="2" t="s">
        <v>1873</v>
      </c>
      <c r="B247" s="2" t="s">
        <v>1874</v>
      </c>
      <c r="C247" s="2" t="s">
        <v>1875</v>
      </c>
      <c r="D247" s="2" t="s">
        <v>1876</v>
      </c>
      <c r="E247" s="2" t="s">
        <v>1877</v>
      </c>
      <c r="F247" s="2" t="s">
        <v>32</v>
      </c>
      <c r="G247" s="2" t="s">
        <v>19</v>
      </c>
      <c r="H247" s="2">
        <v>70820</v>
      </c>
      <c r="I247" t="s">
        <v>6190</v>
      </c>
    </row>
    <row r="248" spans="1:9" x14ac:dyDescent="0.25">
      <c r="A248" s="2" t="s">
        <v>1879</v>
      </c>
      <c r="B248" s="2" t="s">
        <v>1880</v>
      </c>
      <c r="C248" s="2" t="s">
        <v>1881</v>
      </c>
      <c r="D248" s="2" t="s">
        <v>1882</v>
      </c>
      <c r="E248" s="2" t="s">
        <v>1883</v>
      </c>
      <c r="F248" s="2" t="s">
        <v>229</v>
      </c>
      <c r="G248" s="2" t="s">
        <v>28</v>
      </c>
      <c r="H248" s="2" t="s">
        <v>230</v>
      </c>
      <c r="I248" t="s">
        <v>6191</v>
      </c>
    </row>
    <row r="249" spans="1:9" x14ac:dyDescent="0.25">
      <c r="A249" s="2" t="s">
        <v>1885</v>
      </c>
      <c r="B249" s="2" t="s">
        <v>1886</v>
      </c>
      <c r="C249" s="2"/>
      <c r="D249" s="2" t="s">
        <v>1887</v>
      </c>
      <c r="E249" s="2" t="s">
        <v>1888</v>
      </c>
      <c r="F249" s="2" t="s">
        <v>393</v>
      </c>
      <c r="G249" s="2" t="s">
        <v>318</v>
      </c>
      <c r="H249" s="2" t="s">
        <v>394</v>
      </c>
      <c r="I249" t="s">
        <v>6190</v>
      </c>
    </row>
    <row r="250" spans="1:9" x14ac:dyDescent="0.25">
      <c r="A250" s="2" t="s">
        <v>1890</v>
      </c>
      <c r="B250" s="2" t="s">
        <v>1891</v>
      </c>
      <c r="C250" s="2" t="s">
        <v>1892</v>
      </c>
      <c r="D250" s="2" t="s">
        <v>1893</v>
      </c>
      <c r="E250" s="2" t="s">
        <v>1894</v>
      </c>
      <c r="F250" s="2" t="s">
        <v>33</v>
      </c>
      <c r="G250" s="2" t="s">
        <v>19</v>
      </c>
      <c r="H250" s="2">
        <v>55458</v>
      </c>
      <c r="I250" t="s">
        <v>6190</v>
      </c>
    </row>
    <row r="251" spans="1:9" x14ac:dyDescent="0.25">
      <c r="A251" s="2" t="s">
        <v>1896</v>
      </c>
      <c r="B251" s="2" t="s">
        <v>1897</v>
      </c>
      <c r="C251" s="2"/>
      <c r="D251" s="2" t="s">
        <v>1898</v>
      </c>
      <c r="E251" s="2" t="s">
        <v>1899</v>
      </c>
      <c r="F251" s="2" t="s">
        <v>150</v>
      </c>
      <c r="G251" s="2" t="s">
        <v>19</v>
      </c>
      <c r="H251" s="2">
        <v>94159</v>
      </c>
      <c r="I251" t="s">
        <v>6191</v>
      </c>
    </row>
    <row r="252" spans="1:9" x14ac:dyDescent="0.25">
      <c r="A252" s="2" t="s">
        <v>1901</v>
      </c>
      <c r="B252" s="2" t="s">
        <v>1902</v>
      </c>
      <c r="C252" s="2" t="s">
        <v>1903</v>
      </c>
      <c r="D252" s="2" t="s">
        <v>1904</v>
      </c>
      <c r="E252" s="2" t="s">
        <v>1905</v>
      </c>
      <c r="F252" s="2" t="s">
        <v>35</v>
      </c>
      <c r="G252" s="2" t="s">
        <v>19</v>
      </c>
      <c r="H252" s="2">
        <v>28225</v>
      </c>
      <c r="I252" t="s">
        <v>6190</v>
      </c>
    </row>
    <row r="253" spans="1:9" x14ac:dyDescent="0.25">
      <c r="A253" s="2" t="s">
        <v>1907</v>
      </c>
      <c r="B253" s="2" t="s">
        <v>1908</v>
      </c>
      <c r="C253" s="2" t="s">
        <v>1909</v>
      </c>
      <c r="D253" s="2" t="s">
        <v>1910</v>
      </c>
      <c r="E253" s="2" t="s">
        <v>1911</v>
      </c>
      <c r="F253" s="2" t="s">
        <v>184</v>
      </c>
      <c r="G253" s="2" t="s">
        <v>19</v>
      </c>
      <c r="H253" s="2">
        <v>85099</v>
      </c>
      <c r="I253" t="s">
        <v>6190</v>
      </c>
    </row>
    <row r="254" spans="1:9" x14ac:dyDescent="0.25">
      <c r="A254" s="2" t="s">
        <v>1913</v>
      </c>
      <c r="B254" s="2" t="s">
        <v>1914</v>
      </c>
      <c r="C254" s="2"/>
      <c r="D254" s="2" t="s">
        <v>1915</v>
      </c>
      <c r="E254" s="2" t="s">
        <v>1916</v>
      </c>
      <c r="F254" s="2" t="s">
        <v>132</v>
      </c>
      <c r="G254" s="2" t="s">
        <v>19</v>
      </c>
      <c r="H254" s="2">
        <v>11407</v>
      </c>
      <c r="I254" t="s">
        <v>6191</v>
      </c>
    </row>
    <row r="255" spans="1:9" x14ac:dyDescent="0.25">
      <c r="A255" s="2" t="s">
        <v>1918</v>
      </c>
      <c r="B255" s="2" t="s">
        <v>1919</v>
      </c>
      <c r="C255" s="2" t="s">
        <v>1920</v>
      </c>
      <c r="D255" s="2" t="s">
        <v>1921</v>
      </c>
      <c r="E255" s="2" t="s">
        <v>1922</v>
      </c>
      <c r="F255" s="2" t="s">
        <v>194</v>
      </c>
      <c r="G255" s="2" t="s">
        <v>19</v>
      </c>
      <c r="H255" s="2">
        <v>61825</v>
      </c>
      <c r="I255" t="s">
        <v>6191</v>
      </c>
    </row>
    <row r="256" spans="1:9" x14ac:dyDescent="0.25">
      <c r="A256" s="2" t="s">
        <v>1924</v>
      </c>
      <c r="B256" s="2" t="s">
        <v>1925</v>
      </c>
      <c r="C256" s="2" t="s">
        <v>1926</v>
      </c>
      <c r="D256" s="2"/>
      <c r="E256" s="2" t="s">
        <v>1927</v>
      </c>
      <c r="F256" s="2" t="s">
        <v>238</v>
      </c>
      <c r="G256" s="2" t="s">
        <v>28</v>
      </c>
      <c r="H256" s="2" t="s">
        <v>239</v>
      </c>
      <c r="I256" t="s">
        <v>6191</v>
      </c>
    </row>
    <row r="257" spans="1:9" x14ac:dyDescent="0.25">
      <c r="A257" s="2" t="s">
        <v>1929</v>
      </c>
      <c r="B257" s="2" t="s">
        <v>1930</v>
      </c>
      <c r="C257" s="2" t="s">
        <v>1931</v>
      </c>
      <c r="D257" s="2" t="s">
        <v>1932</v>
      </c>
      <c r="E257" s="2" t="s">
        <v>1933</v>
      </c>
      <c r="F257" s="2" t="s">
        <v>126</v>
      </c>
      <c r="G257" s="2" t="s">
        <v>19</v>
      </c>
      <c r="H257" s="2">
        <v>85715</v>
      </c>
      <c r="I257" t="s">
        <v>6191</v>
      </c>
    </row>
    <row r="258" spans="1:9" x14ac:dyDescent="0.25">
      <c r="A258" s="2" t="s">
        <v>1935</v>
      </c>
      <c r="B258" s="2" t="s">
        <v>1936</v>
      </c>
      <c r="C258" s="2" t="s">
        <v>1937</v>
      </c>
      <c r="D258" s="2" t="s">
        <v>1938</v>
      </c>
      <c r="E258" s="2" t="s">
        <v>1939</v>
      </c>
      <c r="F258" s="2" t="s">
        <v>45</v>
      </c>
      <c r="G258" s="2" t="s">
        <v>19</v>
      </c>
      <c r="H258" s="2">
        <v>53205</v>
      </c>
      <c r="I258" t="s">
        <v>6190</v>
      </c>
    </row>
    <row r="259" spans="1:9" x14ac:dyDescent="0.25">
      <c r="A259" s="2" t="s">
        <v>1941</v>
      </c>
      <c r="B259" s="2" t="s">
        <v>1942</v>
      </c>
      <c r="C259" s="2" t="s">
        <v>1943</v>
      </c>
      <c r="D259" s="2" t="s">
        <v>1944</v>
      </c>
      <c r="E259" s="2" t="s">
        <v>1945</v>
      </c>
      <c r="F259" s="2" t="s">
        <v>121</v>
      </c>
      <c r="G259" s="2" t="s">
        <v>19</v>
      </c>
      <c r="H259" s="2">
        <v>33064</v>
      </c>
      <c r="I259" t="s">
        <v>6190</v>
      </c>
    </row>
    <row r="260" spans="1:9" x14ac:dyDescent="0.25">
      <c r="A260" s="2" t="s">
        <v>1947</v>
      </c>
      <c r="B260" s="2" t="s">
        <v>1948</v>
      </c>
      <c r="C260" s="2" t="s">
        <v>1949</v>
      </c>
      <c r="D260" s="2" t="s">
        <v>1950</v>
      </c>
      <c r="E260" s="2" t="s">
        <v>1951</v>
      </c>
      <c r="F260" s="2" t="s">
        <v>146</v>
      </c>
      <c r="G260" s="2" t="s">
        <v>19</v>
      </c>
      <c r="H260" s="2">
        <v>90610</v>
      </c>
      <c r="I260" t="s">
        <v>6191</v>
      </c>
    </row>
    <row r="261" spans="1:9" x14ac:dyDescent="0.25">
      <c r="A261" s="2" t="s">
        <v>1953</v>
      </c>
      <c r="B261" s="2" t="s">
        <v>1954</v>
      </c>
      <c r="C261" s="2" t="s">
        <v>1955</v>
      </c>
      <c r="D261" s="2" t="s">
        <v>1956</v>
      </c>
      <c r="E261" s="2" t="s">
        <v>1957</v>
      </c>
      <c r="F261" s="2" t="s">
        <v>176</v>
      </c>
      <c r="G261" s="2" t="s">
        <v>28</v>
      </c>
      <c r="H261" s="2" t="s">
        <v>177</v>
      </c>
      <c r="I261" t="s">
        <v>6191</v>
      </c>
    </row>
    <row r="262" spans="1:9" x14ac:dyDescent="0.25">
      <c r="A262" s="2" t="s">
        <v>1959</v>
      </c>
      <c r="B262" s="2" t="s">
        <v>1960</v>
      </c>
      <c r="C262" s="2" t="s">
        <v>1961</v>
      </c>
      <c r="D262" s="2"/>
      <c r="E262" s="2" t="s">
        <v>1962</v>
      </c>
      <c r="F262" s="2" t="s">
        <v>104</v>
      </c>
      <c r="G262" s="2" t="s">
        <v>19</v>
      </c>
      <c r="H262" s="2">
        <v>63180</v>
      </c>
      <c r="I262" t="s">
        <v>6190</v>
      </c>
    </row>
    <row r="263" spans="1:9" x14ac:dyDescent="0.25">
      <c r="A263" s="2" t="s">
        <v>1964</v>
      </c>
      <c r="B263" s="2" t="s">
        <v>1965</v>
      </c>
      <c r="C263" s="2" t="s">
        <v>1966</v>
      </c>
      <c r="D263" s="2" t="s">
        <v>1967</v>
      </c>
      <c r="E263" s="2" t="s">
        <v>1968</v>
      </c>
      <c r="F263" s="2" t="s">
        <v>179</v>
      </c>
      <c r="G263" s="2" t="s">
        <v>19</v>
      </c>
      <c r="H263" s="2">
        <v>16522</v>
      </c>
      <c r="I263" t="s">
        <v>6190</v>
      </c>
    </row>
    <row r="264" spans="1:9" x14ac:dyDescent="0.25">
      <c r="A264" s="2" t="s">
        <v>1970</v>
      </c>
      <c r="B264" s="2" t="s">
        <v>1971</v>
      </c>
      <c r="C264" s="2" t="s">
        <v>1972</v>
      </c>
      <c r="D264" s="2" t="s">
        <v>1973</v>
      </c>
      <c r="E264" s="2" t="s">
        <v>1974</v>
      </c>
      <c r="F264" s="2" t="s">
        <v>134</v>
      </c>
      <c r="G264" s="2" t="s">
        <v>19</v>
      </c>
      <c r="H264" s="2">
        <v>98464</v>
      </c>
      <c r="I264" t="s">
        <v>6191</v>
      </c>
    </row>
    <row r="265" spans="1:9" x14ac:dyDescent="0.25">
      <c r="A265" s="2" t="s">
        <v>1976</v>
      </c>
      <c r="B265" s="2" t="s">
        <v>1977</v>
      </c>
      <c r="C265" s="2"/>
      <c r="D265" s="2" t="s">
        <v>1978</v>
      </c>
      <c r="E265" s="2" t="s">
        <v>1979</v>
      </c>
      <c r="F265" s="2" t="s">
        <v>38</v>
      </c>
      <c r="G265" s="2" t="s">
        <v>19</v>
      </c>
      <c r="H265" s="2">
        <v>23277</v>
      </c>
      <c r="I265" t="s">
        <v>6191</v>
      </c>
    </row>
    <row r="266" spans="1:9" x14ac:dyDescent="0.25">
      <c r="A266" s="2" t="s">
        <v>1981</v>
      </c>
      <c r="B266" s="2" t="s">
        <v>1982</v>
      </c>
      <c r="C266" s="2"/>
      <c r="D266" s="2" t="s">
        <v>1983</v>
      </c>
      <c r="E266" s="2" t="s">
        <v>1984</v>
      </c>
      <c r="F266" s="2" t="s">
        <v>1985</v>
      </c>
      <c r="G266" s="2" t="s">
        <v>318</v>
      </c>
      <c r="H266" s="2" t="s">
        <v>444</v>
      </c>
      <c r="I266" t="s">
        <v>6190</v>
      </c>
    </row>
    <row r="267" spans="1:9" x14ac:dyDescent="0.25">
      <c r="A267" s="2" t="s">
        <v>1987</v>
      </c>
      <c r="B267" s="2" t="s">
        <v>1988</v>
      </c>
      <c r="C267" s="2" t="s">
        <v>1989</v>
      </c>
      <c r="D267" s="2" t="s">
        <v>1990</v>
      </c>
      <c r="E267" s="2" t="s">
        <v>1991</v>
      </c>
      <c r="F267" s="2" t="s">
        <v>88</v>
      </c>
      <c r="G267" s="2" t="s">
        <v>19</v>
      </c>
      <c r="H267" s="2">
        <v>72204</v>
      </c>
      <c r="I267" t="s">
        <v>6190</v>
      </c>
    </row>
    <row r="268" spans="1:9" x14ac:dyDescent="0.25">
      <c r="A268" s="2" t="s">
        <v>1993</v>
      </c>
      <c r="B268" s="2" t="s">
        <v>1994</v>
      </c>
      <c r="C268" s="2" t="s">
        <v>1995</v>
      </c>
      <c r="D268" s="2" t="s">
        <v>1996</v>
      </c>
      <c r="E268" s="2" t="s">
        <v>1997</v>
      </c>
      <c r="F268" s="2" t="s">
        <v>280</v>
      </c>
      <c r="G268" s="2" t="s">
        <v>28</v>
      </c>
      <c r="H268" s="2" t="s">
        <v>310</v>
      </c>
      <c r="I268" t="s">
        <v>6191</v>
      </c>
    </row>
    <row r="269" spans="1:9" x14ac:dyDescent="0.25">
      <c r="A269" s="2" t="s">
        <v>1999</v>
      </c>
      <c r="B269" s="2" t="s">
        <v>2000</v>
      </c>
      <c r="C269" s="2" t="s">
        <v>2001</v>
      </c>
      <c r="D269" s="2" t="s">
        <v>2002</v>
      </c>
      <c r="E269" s="2" t="s">
        <v>2003</v>
      </c>
      <c r="F269" s="2" t="s">
        <v>351</v>
      </c>
      <c r="G269" s="2" t="s">
        <v>19</v>
      </c>
      <c r="H269" s="2">
        <v>89436</v>
      </c>
      <c r="I269" t="s">
        <v>6190</v>
      </c>
    </row>
    <row r="270" spans="1:9" x14ac:dyDescent="0.25">
      <c r="A270" s="2" t="s">
        <v>2005</v>
      </c>
      <c r="B270" s="2" t="s">
        <v>2006</v>
      </c>
      <c r="C270" s="2"/>
      <c r="D270" s="2" t="s">
        <v>2007</v>
      </c>
      <c r="E270" s="2" t="s">
        <v>2008</v>
      </c>
      <c r="F270" s="2" t="s">
        <v>242</v>
      </c>
      <c r="G270" s="2" t="s">
        <v>19</v>
      </c>
      <c r="H270" s="2">
        <v>77806</v>
      </c>
      <c r="I270" t="s">
        <v>6190</v>
      </c>
    </row>
    <row r="271" spans="1:9" x14ac:dyDescent="0.25">
      <c r="A271" s="2" t="s">
        <v>2010</v>
      </c>
      <c r="B271" s="2" t="s">
        <v>2011</v>
      </c>
      <c r="C271" s="2" t="s">
        <v>2012</v>
      </c>
      <c r="D271" s="2" t="s">
        <v>2013</v>
      </c>
      <c r="E271" s="2" t="s">
        <v>2014</v>
      </c>
      <c r="F271" s="2" t="s">
        <v>190</v>
      </c>
      <c r="G271" s="2" t="s">
        <v>19</v>
      </c>
      <c r="H271" s="2">
        <v>76210</v>
      </c>
      <c r="I271" t="s">
        <v>6191</v>
      </c>
    </row>
    <row r="272" spans="1:9" x14ac:dyDescent="0.25">
      <c r="A272" s="2" t="s">
        <v>2016</v>
      </c>
      <c r="B272" s="2" t="s">
        <v>2017</v>
      </c>
      <c r="C272" s="2"/>
      <c r="D272" s="2"/>
      <c r="E272" s="2" t="s">
        <v>2018</v>
      </c>
      <c r="F272" s="2" t="s">
        <v>441</v>
      </c>
      <c r="G272" s="2" t="s">
        <v>318</v>
      </c>
      <c r="H272" s="2" t="s">
        <v>442</v>
      </c>
      <c r="I272" t="s">
        <v>6190</v>
      </c>
    </row>
    <row r="273" spans="1:9" x14ac:dyDescent="0.25">
      <c r="A273" s="2" t="s">
        <v>2020</v>
      </c>
      <c r="B273" s="2" t="s">
        <v>2021</v>
      </c>
      <c r="C273" s="2" t="s">
        <v>2022</v>
      </c>
      <c r="D273" s="2" t="s">
        <v>2023</v>
      </c>
      <c r="E273" s="2" t="s">
        <v>2024</v>
      </c>
      <c r="F273" s="2" t="s">
        <v>335</v>
      </c>
      <c r="G273" s="2" t="s">
        <v>19</v>
      </c>
      <c r="H273" s="2">
        <v>27635</v>
      </c>
      <c r="I273" t="s">
        <v>6190</v>
      </c>
    </row>
    <row r="274" spans="1:9" x14ac:dyDescent="0.25">
      <c r="A274" s="2" t="s">
        <v>2026</v>
      </c>
      <c r="B274" s="2" t="s">
        <v>2027</v>
      </c>
      <c r="C274" s="2" t="s">
        <v>2028</v>
      </c>
      <c r="D274" s="2" t="s">
        <v>2029</v>
      </c>
      <c r="E274" s="2" t="s">
        <v>2030</v>
      </c>
      <c r="F274" s="2" t="s">
        <v>2031</v>
      </c>
      <c r="G274" s="2" t="s">
        <v>318</v>
      </c>
      <c r="H274" s="2" t="s">
        <v>454</v>
      </c>
      <c r="I274" t="s">
        <v>6190</v>
      </c>
    </row>
    <row r="275" spans="1:9" x14ac:dyDescent="0.25">
      <c r="A275" s="2" t="s">
        <v>2033</v>
      </c>
      <c r="B275" s="2" t="s">
        <v>2034</v>
      </c>
      <c r="C275" s="2" t="s">
        <v>2035</v>
      </c>
      <c r="D275" s="2" t="s">
        <v>2036</v>
      </c>
      <c r="E275" s="2" t="s">
        <v>2037</v>
      </c>
      <c r="F275" s="2" t="s">
        <v>57</v>
      </c>
      <c r="G275" s="2" t="s">
        <v>19</v>
      </c>
      <c r="H275" s="2">
        <v>10105</v>
      </c>
      <c r="I275" t="s">
        <v>6191</v>
      </c>
    </row>
    <row r="276" spans="1:9" x14ac:dyDescent="0.25">
      <c r="A276" s="2" t="s">
        <v>2039</v>
      </c>
      <c r="B276" s="2" t="s">
        <v>2040</v>
      </c>
      <c r="C276" s="2" t="s">
        <v>2041</v>
      </c>
      <c r="D276" s="2" t="s">
        <v>2042</v>
      </c>
      <c r="E276" s="2" t="s">
        <v>2043</v>
      </c>
      <c r="F276" s="2" t="s">
        <v>165</v>
      </c>
      <c r="G276" s="2" t="s">
        <v>19</v>
      </c>
      <c r="H276" s="2">
        <v>6905</v>
      </c>
      <c r="I276" t="s">
        <v>6191</v>
      </c>
    </row>
    <row r="277" spans="1:9" x14ac:dyDescent="0.25">
      <c r="A277" s="2" t="s">
        <v>2045</v>
      </c>
      <c r="B277" s="2" t="s">
        <v>2046</v>
      </c>
      <c r="C277" s="2" t="s">
        <v>2047</v>
      </c>
      <c r="D277" s="2" t="s">
        <v>2048</v>
      </c>
      <c r="E277" s="2" t="s">
        <v>2049</v>
      </c>
      <c r="F277" s="2" t="s">
        <v>260</v>
      </c>
      <c r="G277" s="2" t="s">
        <v>19</v>
      </c>
      <c r="H277" s="2">
        <v>43666</v>
      </c>
      <c r="I277" t="s">
        <v>6191</v>
      </c>
    </row>
    <row r="278" spans="1:9" x14ac:dyDescent="0.25">
      <c r="A278" s="2" t="s">
        <v>2051</v>
      </c>
      <c r="B278" s="2" t="s">
        <v>2052</v>
      </c>
      <c r="C278" s="2" t="s">
        <v>2053</v>
      </c>
      <c r="D278" s="2" t="s">
        <v>2054</v>
      </c>
      <c r="E278" s="2" t="s">
        <v>2055</v>
      </c>
      <c r="F278" s="2" t="s">
        <v>325</v>
      </c>
      <c r="G278" s="2" t="s">
        <v>318</v>
      </c>
      <c r="H278" s="2" t="s">
        <v>326</v>
      </c>
      <c r="I278" t="s">
        <v>6190</v>
      </c>
    </row>
    <row r="279" spans="1:9" x14ac:dyDescent="0.25">
      <c r="A279" s="2" t="s">
        <v>2057</v>
      </c>
      <c r="B279" s="2" t="s">
        <v>2058</v>
      </c>
      <c r="C279" s="2" t="s">
        <v>2059</v>
      </c>
      <c r="D279" s="2" t="s">
        <v>2060</v>
      </c>
      <c r="E279" s="2" t="s">
        <v>2061</v>
      </c>
      <c r="F279" s="2" t="s">
        <v>60</v>
      </c>
      <c r="G279" s="2" t="s">
        <v>19</v>
      </c>
      <c r="H279" s="2">
        <v>65211</v>
      </c>
      <c r="I279" t="s">
        <v>6191</v>
      </c>
    </row>
    <row r="280" spans="1:9" x14ac:dyDescent="0.25">
      <c r="A280" s="2" t="s">
        <v>2063</v>
      </c>
      <c r="B280" s="2" t="s">
        <v>2064</v>
      </c>
      <c r="C280" s="2" t="s">
        <v>2065</v>
      </c>
      <c r="D280" s="2" t="s">
        <v>2066</v>
      </c>
      <c r="E280" s="2" t="s">
        <v>2067</v>
      </c>
      <c r="F280" s="2" t="s">
        <v>66</v>
      </c>
      <c r="G280" s="2" t="s">
        <v>19</v>
      </c>
      <c r="H280" s="2">
        <v>46852</v>
      </c>
      <c r="I280" t="s">
        <v>6190</v>
      </c>
    </row>
    <row r="281" spans="1:9" x14ac:dyDescent="0.25">
      <c r="A281" s="2" t="s">
        <v>2069</v>
      </c>
      <c r="B281" s="2" t="s">
        <v>2070</v>
      </c>
      <c r="C281" s="2" t="s">
        <v>2071</v>
      </c>
      <c r="D281" s="2" t="s">
        <v>2072</v>
      </c>
      <c r="E281" s="2" t="s">
        <v>2073</v>
      </c>
      <c r="F281" s="2" t="s">
        <v>104</v>
      </c>
      <c r="G281" s="2" t="s">
        <v>19</v>
      </c>
      <c r="H281" s="2">
        <v>63143</v>
      </c>
      <c r="I281" t="s">
        <v>6190</v>
      </c>
    </row>
    <row r="282" spans="1:9" x14ac:dyDescent="0.25">
      <c r="A282" s="2" t="s">
        <v>2075</v>
      </c>
      <c r="B282" s="2" t="s">
        <v>2076</v>
      </c>
      <c r="C282" s="2"/>
      <c r="D282" s="2" t="s">
        <v>2077</v>
      </c>
      <c r="E282" s="2" t="s">
        <v>2078</v>
      </c>
      <c r="F282" s="2" t="s">
        <v>189</v>
      </c>
      <c r="G282" s="2" t="s">
        <v>19</v>
      </c>
      <c r="H282" s="2">
        <v>97211</v>
      </c>
      <c r="I282" t="s">
        <v>6190</v>
      </c>
    </row>
    <row r="283" spans="1:9" x14ac:dyDescent="0.25">
      <c r="A283" s="2" t="s">
        <v>2080</v>
      </c>
      <c r="B283" s="2" t="s">
        <v>2081</v>
      </c>
      <c r="C283" s="2" t="s">
        <v>2082</v>
      </c>
      <c r="D283" s="2" t="s">
        <v>2083</v>
      </c>
      <c r="E283" s="2" t="s">
        <v>2084</v>
      </c>
      <c r="F283" s="2" t="s">
        <v>112</v>
      </c>
      <c r="G283" s="2" t="s">
        <v>19</v>
      </c>
      <c r="H283" s="2">
        <v>80305</v>
      </c>
      <c r="I283" t="s">
        <v>6190</v>
      </c>
    </row>
    <row r="284" spans="1:9" x14ac:dyDescent="0.25">
      <c r="A284" s="2" t="s">
        <v>2086</v>
      </c>
      <c r="B284" s="2" t="s">
        <v>2087</v>
      </c>
      <c r="C284" s="2" t="s">
        <v>2088</v>
      </c>
      <c r="D284" s="2" t="s">
        <v>2089</v>
      </c>
      <c r="E284" s="2" t="s">
        <v>2090</v>
      </c>
      <c r="F284" s="2" t="s">
        <v>220</v>
      </c>
      <c r="G284" s="2" t="s">
        <v>28</v>
      </c>
      <c r="H284" s="2" t="s">
        <v>336</v>
      </c>
      <c r="I284" t="s">
        <v>6191</v>
      </c>
    </row>
    <row r="285" spans="1:9" x14ac:dyDescent="0.25">
      <c r="A285" s="2" t="s">
        <v>2092</v>
      </c>
      <c r="B285" s="2" t="s">
        <v>2093</v>
      </c>
      <c r="C285" s="2" t="s">
        <v>2094</v>
      </c>
      <c r="D285" s="2" t="s">
        <v>2095</v>
      </c>
      <c r="E285" s="2" t="s">
        <v>2096</v>
      </c>
      <c r="F285" s="2" t="s">
        <v>176</v>
      </c>
      <c r="G285" s="2" t="s">
        <v>28</v>
      </c>
      <c r="H285" s="2" t="s">
        <v>177</v>
      </c>
      <c r="I285" t="s">
        <v>6190</v>
      </c>
    </row>
    <row r="286" spans="1:9" x14ac:dyDescent="0.25">
      <c r="A286" s="2" t="s">
        <v>2098</v>
      </c>
      <c r="B286" s="2" t="s">
        <v>2099</v>
      </c>
      <c r="C286" s="2"/>
      <c r="D286" s="2" t="s">
        <v>2100</v>
      </c>
      <c r="E286" s="2" t="s">
        <v>2101</v>
      </c>
      <c r="F286" s="2" t="s">
        <v>44</v>
      </c>
      <c r="G286" s="2" t="s">
        <v>19</v>
      </c>
      <c r="H286" s="2">
        <v>40298</v>
      </c>
      <c r="I286" t="s">
        <v>6191</v>
      </c>
    </row>
    <row r="287" spans="1:9" x14ac:dyDescent="0.25">
      <c r="A287" s="2" t="s">
        <v>2103</v>
      </c>
      <c r="B287" s="2" t="s">
        <v>2104</v>
      </c>
      <c r="C287" s="2"/>
      <c r="D287" s="2" t="s">
        <v>2105</v>
      </c>
      <c r="E287" s="2" t="s">
        <v>2106</v>
      </c>
      <c r="F287" s="2" t="s">
        <v>120</v>
      </c>
      <c r="G287" s="2" t="s">
        <v>19</v>
      </c>
      <c r="H287" s="2">
        <v>14276</v>
      </c>
      <c r="I287" t="s">
        <v>6191</v>
      </c>
    </row>
    <row r="288" spans="1:9" x14ac:dyDescent="0.25">
      <c r="A288" s="2" t="s">
        <v>2108</v>
      </c>
      <c r="B288" s="2" t="s">
        <v>2109</v>
      </c>
      <c r="C288" s="2" t="s">
        <v>2110</v>
      </c>
      <c r="D288" s="2"/>
      <c r="E288" s="2" t="s">
        <v>2111</v>
      </c>
      <c r="F288" s="2" t="s">
        <v>303</v>
      </c>
      <c r="G288" s="2" t="s">
        <v>19</v>
      </c>
      <c r="H288" s="2">
        <v>44710</v>
      </c>
      <c r="I288" t="s">
        <v>6190</v>
      </c>
    </row>
    <row r="289" spans="1:9" x14ac:dyDescent="0.25">
      <c r="A289" s="2" t="s">
        <v>2113</v>
      </c>
      <c r="B289" s="2" t="s">
        <v>2114</v>
      </c>
      <c r="C289" s="2" t="s">
        <v>2115</v>
      </c>
      <c r="D289" s="2" t="s">
        <v>2116</v>
      </c>
      <c r="E289" s="2" t="s">
        <v>2117</v>
      </c>
      <c r="F289" s="2" t="s">
        <v>241</v>
      </c>
      <c r="G289" s="2" t="s">
        <v>19</v>
      </c>
      <c r="H289" s="2">
        <v>2114</v>
      </c>
      <c r="I289" t="s">
        <v>6191</v>
      </c>
    </row>
    <row r="290" spans="1:9" x14ac:dyDescent="0.25">
      <c r="A290" s="2" t="s">
        <v>2119</v>
      </c>
      <c r="B290" s="2" t="s">
        <v>2120</v>
      </c>
      <c r="C290" s="2"/>
      <c r="D290" s="2" t="s">
        <v>2121</v>
      </c>
      <c r="E290" s="2" t="s">
        <v>2122</v>
      </c>
      <c r="F290" s="2" t="s">
        <v>403</v>
      </c>
      <c r="G290" s="2" t="s">
        <v>318</v>
      </c>
      <c r="H290" s="2" t="s">
        <v>404</v>
      </c>
      <c r="I290" t="s">
        <v>6190</v>
      </c>
    </row>
    <row r="291" spans="1:9" x14ac:dyDescent="0.25">
      <c r="A291" s="2" t="s">
        <v>2124</v>
      </c>
      <c r="B291" s="2" t="s">
        <v>2125</v>
      </c>
      <c r="C291" s="2"/>
      <c r="D291" s="2"/>
      <c r="E291" s="2" t="s">
        <v>2126</v>
      </c>
      <c r="F291" s="2" t="s">
        <v>222</v>
      </c>
      <c r="G291" s="2" t="s">
        <v>19</v>
      </c>
      <c r="H291" s="2">
        <v>24515</v>
      </c>
      <c r="I291" t="s">
        <v>6190</v>
      </c>
    </row>
    <row r="292" spans="1:9" x14ac:dyDescent="0.25">
      <c r="A292" s="2" t="s">
        <v>2128</v>
      </c>
      <c r="B292" s="2" t="s">
        <v>2129</v>
      </c>
      <c r="C292" s="2" t="s">
        <v>2130</v>
      </c>
      <c r="D292" s="2" t="s">
        <v>2131</v>
      </c>
      <c r="E292" s="2" t="s">
        <v>2132</v>
      </c>
      <c r="F292" s="2" t="s">
        <v>27</v>
      </c>
      <c r="G292" s="2" t="s">
        <v>19</v>
      </c>
      <c r="H292" s="2">
        <v>90071</v>
      </c>
      <c r="I292" t="s">
        <v>6191</v>
      </c>
    </row>
    <row r="293" spans="1:9" x14ac:dyDescent="0.25">
      <c r="A293" s="2" t="s">
        <v>2134</v>
      </c>
      <c r="B293" s="2" t="s">
        <v>2135</v>
      </c>
      <c r="C293" s="2"/>
      <c r="D293" s="2"/>
      <c r="E293" s="2" t="s">
        <v>2136</v>
      </c>
      <c r="F293" s="2" t="s">
        <v>447</v>
      </c>
      <c r="G293" s="2" t="s">
        <v>318</v>
      </c>
      <c r="H293" s="2" t="s">
        <v>410</v>
      </c>
      <c r="I293" t="s">
        <v>6191</v>
      </c>
    </row>
    <row r="294" spans="1:9" x14ac:dyDescent="0.25">
      <c r="A294" s="2" t="s">
        <v>2138</v>
      </c>
      <c r="B294" s="2" t="s">
        <v>2139</v>
      </c>
      <c r="C294" s="2" t="s">
        <v>2140</v>
      </c>
      <c r="D294" s="2"/>
      <c r="E294" s="2" t="s">
        <v>2141</v>
      </c>
      <c r="F294" s="2" t="s">
        <v>144</v>
      </c>
      <c r="G294" s="2" t="s">
        <v>19</v>
      </c>
      <c r="H294" s="2">
        <v>35236</v>
      </c>
      <c r="I294" t="s">
        <v>6191</v>
      </c>
    </row>
    <row r="295" spans="1:9" x14ac:dyDescent="0.25">
      <c r="A295" s="2" t="s">
        <v>2143</v>
      </c>
      <c r="B295" s="2" t="s">
        <v>2144</v>
      </c>
      <c r="C295" s="2" t="s">
        <v>2145</v>
      </c>
      <c r="D295" s="2" t="s">
        <v>2146</v>
      </c>
      <c r="E295" s="2" t="s">
        <v>2147</v>
      </c>
      <c r="F295" s="2" t="s">
        <v>164</v>
      </c>
      <c r="G295" s="2" t="s">
        <v>19</v>
      </c>
      <c r="H295" s="2">
        <v>22309</v>
      </c>
      <c r="I295" t="s">
        <v>6191</v>
      </c>
    </row>
    <row r="296" spans="1:9" x14ac:dyDescent="0.25">
      <c r="A296" s="2" t="s">
        <v>2149</v>
      </c>
      <c r="B296" s="2" t="s">
        <v>2150</v>
      </c>
      <c r="C296" s="2"/>
      <c r="D296" s="2" t="s">
        <v>2151</v>
      </c>
      <c r="E296" s="2" t="s">
        <v>2152</v>
      </c>
      <c r="F296" s="2" t="s">
        <v>170</v>
      </c>
      <c r="G296" s="2" t="s">
        <v>19</v>
      </c>
      <c r="H296" s="2">
        <v>6816</v>
      </c>
      <c r="I296" t="s">
        <v>6191</v>
      </c>
    </row>
    <row r="297" spans="1:9" x14ac:dyDescent="0.25">
      <c r="A297" s="2" t="s">
        <v>2154</v>
      </c>
      <c r="B297" s="2" t="s">
        <v>2155</v>
      </c>
      <c r="C297" s="2"/>
      <c r="D297" s="2"/>
      <c r="E297" s="2" t="s">
        <v>2156</v>
      </c>
      <c r="F297" s="2" t="s">
        <v>198</v>
      </c>
      <c r="G297" s="2" t="s">
        <v>19</v>
      </c>
      <c r="H297" s="2">
        <v>12205</v>
      </c>
      <c r="I297" t="s">
        <v>6191</v>
      </c>
    </row>
    <row r="298" spans="1:9" x14ac:dyDescent="0.25">
      <c r="A298" s="2" t="s">
        <v>2158</v>
      </c>
      <c r="B298" s="2" t="s">
        <v>2159</v>
      </c>
      <c r="C298" s="2" t="s">
        <v>2160</v>
      </c>
      <c r="D298" s="2" t="s">
        <v>2161</v>
      </c>
      <c r="E298" s="2" t="s">
        <v>2162</v>
      </c>
      <c r="F298" s="2" t="s">
        <v>267</v>
      </c>
      <c r="G298" s="2" t="s">
        <v>19</v>
      </c>
      <c r="H298" s="2">
        <v>34108</v>
      </c>
      <c r="I298" t="s">
        <v>6190</v>
      </c>
    </row>
    <row r="299" spans="1:9" x14ac:dyDescent="0.25">
      <c r="A299" s="2" t="s">
        <v>2164</v>
      </c>
      <c r="B299" s="2" t="s">
        <v>2165</v>
      </c>
      <c r="C299" s="2" t="s">
        <v>2166</v>
      </c>
      <c r="D299" s="2" t="s">
        <v>2167</v>
      </c>
      <c r="E299" s="2" t="s">
        <v>2168</v>
      </c>
      <c r="F299" s="2" t="s">
        <v>195</v>
      </c>
      <c r="G299" s="2" t="s">
        <v>19</v>
      </c>
      <c r="H299" s="2">
        <v>33141</v>
      </c>
      <c r="I299" t="s">
        <v>6190</v>
      </c>
    </row>
    <row r="300" spans="1:9" x14ac:dyDescent="0.25">
      <c r="A300" s="2" t="s">
        <v>2170</v>
      </c>
      <c r="B300" s="2" t="s">
        <v>2171</v>
      </c>
      <c r="C300" s="2" t="s">
        <v>2172</v>
      </c>
      <c r="D300" s="2" t="s">
        <v>2173</v>
      </c>
      <c r="E300" s="2" t="s">
        <v>2174</v>
      </c>
      <c r="F300" s="2" t="s">
        <v>84</v>
      </c>
      <c r="G300" s="2" t="s">
        <v>19</v>
      </c>
      <c r="H300" s="2">
        <v>30358</v>
      </c>
      <c r="I300" t="s">
        <v>6190</v>
      </c>
    </row>
    <row r="301" spans="1:9" x14ac:dyDescent="0.25">
      <c r="A301" s="2" t="s">
        <v>2176</v>
      </c>
      <c r="B301" s="2" t="s">
        <v>2177</v>
      </c>
      <c r="C301" s="2" t="s">
        <v>2178</v>
      </c>
      <c r="D301" s="2" t="s">
        <v>2179</v>
      </c>
      <c r="E301" s="2" t="s">
        <v>2180</v>
      </c>
      <c r="F301" s="2" t="s">
        <v>228</v>
      </c>
      <c r="G301" s="2" t="s">
        <v>19</v>
      </c>
      <c r="H301" s="2">
        <v>78405</v>
      </c>
      <c r="I301" t="s">
        <v>6190</v>
      </c>
    </row>
    <row r="302" spans="1:9" x14ac:dyDescent="0.25">
      <c r="A302" s="2" t="s">
        <v>2182</v>
      </c>
      <c r="B302" s="2" t="s">
        <v>2183</v>
      </c>
      <c r="C302" s="2" t="s">
        <v>2184</v>
      </c>
      <c r="D302" s="2" t="s">
        <v>2185</v>
      </c>
      <c r="E302" s="2" t="s">
        <v>2186</v>
      </c>
      <c r="F302" s="2" t="s">
        <v>73</v>
      </c>
      <c r="G302" s="2" t="s">
        <v>19</v>
      </c>
      <c r="H302" s="2">
        <v>96835</v>
      </c>
      <c r="I302" t="s">
        <v>6190</v>
      </c>
    </row>
    <row r="303" spans="1:9" x14ac:dyDescent="0.25">
      <c r="A303" s="2" t="s">
        <v>2188</v>
      </c>
      <c r="B303" s="2" t="s">
        <v>2189</v>
      </c>
      <c r="C303" s="2" t="s">
        <v>2190</v>
      </c>
      <c r="D303" s="2" t="s">
        <v>2191</v>
      </c>
      <c r="E303" s="2" t="s">
        <v>2192</v>
      </c>
      <c r="F303" s="2" t="s">
        <v>123</v>
      </c>
      <c r="G303" s="2" t="s">
        <v>19</v>
      </c>
      <c r="H303" s="2">
        <v>78737</v>
      </c>
      <c r="I303" t="s">
        <v>6190</v>
      </c>
    </row>
    <row r="304" spans="1:9" x14ac:dyDescent="0.25">
      <c r="A304" s="2" t="s">
        <v>2194</v>
      </c>
      <c r="B304" s="2" t="s">
        <v>2195</v>
      </c>
      <c r="C304" s="2" t="s">
        <v>2196</v>
      </c>
      <c r="D304" s="2" t="s">
        <v>2197</v>
      </c>
      <c r="E304" s="2" t="s">
        <v>2198</v>
      </c>
      <c r="F304" s="2" t="s">
        <v>20</v>
      </c>
      <c r="G304" s="2" t="s">
        <v>19</v>
      </c>
      <c r="H304" s="2">
        <v>21290</v>
      </c>
      <c r="I304" t="s">
        <v>6191</v>
      </c>
    </row>
    <row r="305" spans="1:9" x14ac:dyDescent="0.25">
      <c r="A305" s="2" t="s">
        <v>2200</v>
      </c>
      <c r="B305" s="2" t="s">
        <v>2201</v>
      </c>
      <c r="C305" s="2" t="s">
        <v>2202</v>
      </c>
      <c r="D305" s="2"/>
      <c r="E305" s="2" t="s">
        <v>2203</v>
      </c>
      <c r="F305" s="2" t="s">
        <v>43</v>
      </c>
      <c r="G305" s="2" t="s">
        <v>19</v>
      </c>
      <c r="H305" s="2">
        <v>40596</v>
      </c>
      <c r="I305" t="s">
        <v>6190</v>
      </c>
    </row>
    <row r="306" spans="1:9" x14ac:dyDescent="0.25">
      <c r="A306" s="2" t="s">
        <v>2205</v>
      </c>
      <c r="B306" s="2" t="s">
        <v>2206</v>
      </c>
      <c r="C306" s="2" t="s">
        <v>2207</v>
      </c>
      <c r="D306" s="2"/>
      <c r="E306" s="2" t="s">
        <v>2208</v>
      </c>
      <c r="F306" s="2" t="s">
        <v>316</v>
      </c>
      <c r="G306" s="2" t="s">
        <v>19</v>
      </c>
      <c r="H306" s="2">
        <v>60435</v>
      </c>
      <c r="I306" t="s">
        <v>6190</v>
      </c>
    </row>
    <row r="307" spans="1:9" x14ac:dyDescent="0.25">
      <c r="A307" s="2" t="s">
        <v>2210</v>
      </c>
      <c r="B307" s="2" t="s">
        <v>2211</v>
      </c>
      <c r="C307" s="2" t="s">
        <v>2212</v>
      </c>
      <c r="D307" s="2" t="s">
        <v>2213</v>
      </c>
      <c r="E307" s="2" t="s">
        <v>2214</v>
      </c>
      <c r="F307" s="2" t="s">
        <v>273</v>
      </c>
      <c r="G307" s="2" t="s">
        <v>28</v>
      </c>
      <c r="H307" s="2" t="s">
        <v>274</v>
      </c>
      <c r="I307" t="s">
        <v>6191</v>
      </c>
    </row>
    <row r="308" spans="1:9" x14ac:dyDescent="0.25">
      <c r="A308" s="2" t="s">
        <v>2216</v>
      </c>
      <c r="B308" s="2" t="s">
        <v>2217</v>
      </c>
      <c r="C308" s="2" t="s">
        <v>2218</v>
      </c>
      <c r="D308" s="2" t="s">
        <v>2219</v>
      </c>
      <c r="E308" s="2" t="s">
        <v>2220</v>
      </c>
      <c r="F308" s="2" t="s">
        <v>236</v>
      </c>
      <c r="G308" s="2" t="s">
        <v>19</v>
      </c>
      <c r="H308" s="2">
        <v>68505</v>
      </c>
      <c r="I308" t="s">
        <v>6191</v>
      </c>
    </row>
    <row r="309" spans="1:9" x14ac:dyDescent="0.25">
      <c r="A309" s="2" t="s">
        <v>2222</v>
      </c>
      <c r="B309" s="2" t="s">
        <v>2223</v>
      </c>
      <c r="C309" s="2" t="s">
        <v>2224</v>
      </c>
      <c r="D309" s="2" t="s">
        <v>2225</v>
      </c>
      <c r="E309" s="2" t="s">
        <v>2226</v>
      </c>
      <c r="F309" s="2" t="s">
        <v>51</v>
      </c>
      <c r="G309" s="2" t="s">
        <v>19</v>
      </c>
      <c r="H309" s="2">
        <v>45254</v>
      </c>
      <c r="I309" t="s">
        <v>6190</v>
      </c>
    </row>
    <row r="310" spans="1:9" x14ac:dyDescent="0.25">
      <c r="A310" s="2" t="s">
        <v>2228</v>
      </c>
      <c r="B310" s="2" t="s">
        <v>2229</v>
      </c>
      <c r="C310" s="2" t="s">
        <v>2230</v>
      </c>
      <c r="D310" s="2"/>
      <c r="E310" s="2" t="s">
        <v>2231</v>
      </c>
      <c r="F310" s="2" t="s">
        <v>176</v>
      </c>
      <c r="G310" s="2" t="s">
        <v>28</v>
      </c>
      <c r="H310" s="2" t="s">
        <v>177</v>
      </c>
      <c r="I310" t="s">
        <v>6191</v>
      </c>
    </row>
    <row r="311" spans="1:9" x14ac:dyDescent="0.25">
      <c r="A311" s="2" t="s">
        <v>2233</v>
      </c>
      <c r="B311" s="2" t="s">
        <v>2234</v>
      </c>
      <c r="C311" s="2" t="s">
        <v>2235</v>
      </c>
      <c r="D311" s="2" t="s">
        <v>2236</v>
      </c>
      <c r="E311" s="2" t="s">
        <v>2237</v>
      </c>
      <c r="F311" s="2" t="s">
        <v>379</v>
      </c>
      <c r="G311" s="2" t="s">
        <v>19</v>
      </c>
      <c r="H311" s="2">
        <v>6127</v>
      </c>
      <c r="I311" t="s">
        <v>6190</v>
      </c>
    </row>
    <row r="312" spans="1:9" x14ac:dyDescent="0.25">
      <c r="A312" s="2" t="s">
        <v>2239</v>
      </c>
      <c r="B312" s="2" t="s">
        <v>2240</v>
      </c>
      <c r="C312" s="2" t="s">
        <v>2241</v>
      </c>
      <c r="D312" s="2" t="s">
        <v>2242</v>
      </c>
      <c r="E312" s="2" t="s">
        <v>2243</v>
      </c>
      <c r="F312" s="2" t="s">
        <v>327</v>
      </c>
      <c r="G312" s="2" t="s">
        <v>318</v>
      </c>
      <c r="H312" s="2" t="s">
        <v>321</v>
      </c>
      <c r="I312" t="s">
        <v>6191</v>
      </c>
    </row>
    <row r="313" spans="1:9" x14ac:dyDescent="0.25">
      <c r="A313" s="2" t="s">
        <v>2245</v>
      </c>
      <c r="B313" s="2" t="s">
        <v>2246</v>
      </c>
      <c r="C313" s="2" t="s">
        <v>2247</v>
      </c>
      <c r="D313" s="2" t="s">
        <v>2248</v>
      </c>
      <c r="E313" s="2" t="s">
        <v>2249</v>
      </c>
      <c r="F313" s="2" t="s">
        <v>35</v>
      </c>
      <c r="G313" s="2" t="s">
        <v>19</v>
      </c>
      <c r="H313" s="2">
        <v>28299</v>
      </c>
      <c r="I313" t="s">
        <v>6190</v>
      </c>
    </row>
    <row r="314" spans="1:9" x14ac:dyDescent="0.25">
      <c r="A314" s="2" t="s">
        <v>2251</v>
      </c>
      <c r="B314" s="2" t="s">
        <v>2252</v>
      </c>
      <c r="C314" s="2" t="s">
        <v>2253</v>
      </c>
      <c r="D314" s="2" t="s">
        <v>2254</v>
      </c>
      <c r="E314" s="2" t="s">
        <v>2255</v>
      </c>
      <c r="F314" s="2" t="s">
        <v>164</v>
      </c>
      <c r="G314" s="2" t="s">
        <v>19</v>
      </c>
      <c r="H314" s="2">
        <v>71307</v>
      </c>
      <c r="I314" t="s">
        <v>6190</v>
      </c>
    </row>
    <row r="315" spans="1:9" x14ac:dyDescent="0.25">
      <c r="A315" s="2" t="s">
        <v>2257</v>
      </c>
      <c r="B315" s="2" t="s">
        <v>2258</v>
      </c>
      <c r="C315" s="2" t="s">
        <v>2259</v>
      </c>
      <c r="D315" s="2" t="s">
        <v>2260</v>
      </c>
      <c r="E315" s="2" t="s">
        <v>2261</v>
      </c>
      <c r="F315" s="2" t="s">
        <v>365</v>
      </c>
      <c r="G315" s="2" t="s">
        <v>28</v>
      </c>
      <c r="H315" s="2" t="s">
        <v>366</v>
      </c>
      <c r="I315" t="s">
        <v>6190</v>
      </c>
    </row>
    <row r="316" spans="1:9" x14ac:dyDescent="0.25">
      <c r="A316" s="2" t="s">
        <v>2263</v>
      </c>
      <c r="B316" s="2" t="s">
        <v>2264</v>
      </c>
      <c r="C316" s="2"/>
      <c r="D316" s="2" t="s">
        <v>2265</v>
      </c>
      <c r="E316" s="2" t="s">
        <v>2266</v>
      </c>
      <c r="F316" s="2" t="s">
        <v>107</v>
      </c>
      <c r="G316" s="2" t="s">
        <v>19</v>
      </c>
      <c r="H316" s="2">
        <v>89115</v>
      </c>
      <c r="I316" t="s">
        <v>6191</v>
      </c>
    </row>
    <row r="317" spans="1:9" x14ac:dyDescent="0.25">
      <c r="A317" s="2" t="s">
        <v>2268</v>
      </c>
      <c r="B317" s="2" t="s">
        <v>2269</v>
      </c>
      <c r="C317" s="2" t="s">
        <v>2270</v>
      </c>
      <c r="D317" s="2" t="s">
        <v>2271</v>
      </c>
      <c r="E317" s="2" t="s">
        <v>2272</v>
      </c>
      <c r="F317" s="2" t="s">
        <v>169</v>
      </c>
      <c r="G317" s="2" t="s">
        <v>19</v>
      </c>
      <c r="H317" s="2">
        <v>50369</v>
      </c>
      <c r="I317" t="s">
        <v>6190</v>
      </c>
    </row>
    <row r="318" spans="1:9" x14ac:dyDescent="0.25">
      <c r="A318" s="2" t="s">
        <v>2274</v>
      </c>
      <c r="B318" s="2" t="s">
        <v>2275</v>
      </c>
      <c r="C318" s="2" t="s">
        <v>2276</v>
      </c>
      <c r="D318" s="2" t="s">
        <v>2277</v>
      </c>
      <c r="E318" s="2" t="s">
        <v>2278</v>
      </c>
      <c r="F318" s="2" t="s">
        <v>1282</v>
      </c>
      <c r="G318" s="2" t="s">
        <v>318</v>
      </c>
      <c r="H318" s="2" t="s">
        <v>444</v>
      </c>
      <c r="I318" t="s">
        <v>6191</v>
      </c>
    </row>
    <row r="319" spans="1:9" x14ac:dyDescent="0.25">
      <c r="A319" s="2" t="s">
        <v>2280</v>
      </c>
      <c r="B319" s="2" t="s">
        <v>2281</v>
      </c>
      <c r="C319" s="2" t="s">
        <v>2282</v>
      </c>
      <c r="D319" s="2" t="s">
        <v>2283</v>
      </c>
      <c r="E319" s="2" t="s">
        <v>2284</v>
      </c>
      <c r="F319" s="2" t="s">
        <v>75</v>
      </c>
      <c r="G319" s="2" t="s">
        <v>19</v>
      </c>
      <c r="H319" s="2">
        <v>44315</v>
      </c>
      <c r="I319" t="s">
        <v>6191</v>
      </c>
    </row>
    <row r="320" spans="1:9" x14ac:dyDescent="0.25">
      <c r="A320" s="2" t="s">
        <v>2286</v>
      </c>
      <c r="B320" s="2" t="s">
        <v>2287</v>
      </c>
      <c r="C320" s="2" t="s">
        <v>2288</v>
      </c>
      <c r="D320" s="2" t="s">
        <v>2289</v>
      </c>
      <c r="E320" s="2" t="s">
        <v>2290</v>
      </c>
      <c r="F320" s="2" t="s">
        <v>29</v>
      </c>
      <c r="G320" s="2" t="s">
        <v>19</v>
      </c>
      <c r="H320" s="2">
        <v>33405</v>
      </c>
      <c r="I320" t="s">
        <v>6190</v>
      </c>
    </row>
    <row r="321" spans="1:9" x14ac:dyDescent="0.25">
      <c r="A321" s="2" t="s">
        <v>2292</v>
      </c>
      <c r="B321" s="2" t="s">
        <v>2293</v>
      </c>
      <c r="C321" s="2" t="s">
        <v>2294</v>
      </c>
      <c r="D321" s="2"/>
      <c r="E321" s="2" t="s">
        <v>2295</v>
      </c>
      <c r="F321" s="2" t="s">
        <v>30</v>
      </c>
      <c r="G321" s="2" t="s">
        <v>19</v>
      </c>
      <c r="H321" s="2">
        <v>93715</v>
      </c>
      <c r="I321" t="s">
        <v>6190</v>
      </c>
    </row>
    <row r="322" spans="1:9" x14ac:dyDescent="0.25">
      <c r="A322" s="2" t="s">
        <v>2296</v>
      </c>
      <c r="B322" s="2" t="s">
        <v>2297</v>
      </c>
      <c r="C322" s="2" t="s">
        <v>2298</v>
      </c>
      <c r="D322" s="2" t="s">
        <v>2299</v>
      </c>
      <c r="E322" s="2" t="s">
        <v>2300</v>
      </c>
      <c r="F322" s="2" t="s">
        <v>213</v>
      </c>
      <c r="G322" s="2" t="s">
        <v>19</v>
      </c>
      <c r="H322" s="2">
        <v>52245</v>
      </c>
      <c r="I322" t="s">
        <v>6190</v>
      </c>
    </row>
    <row r="323" spans="1:9" x14ac:dyDescent="0.25">
      <c r="A323" s="2" t="s">
        <v>2302</v>
      </c>
      <c r="B323" s="2" t="s">
        <v>2303</v>
      </c>
      <c r="C323" s="2" t="s">
        <v>2304</v>
      </c>
      <c r="D323" s="2" t="s">
        <v>2305</v>
      </c>
      <c r="E323" s="2" t="s">
        <v>2306</v>
      </c>
      <c r="F323" s="2" t="s">
        <v>390</v>
      </c>
      <c r="G323" s="2" t="s">
        <v>318</v>
      </c>
      <c r="H323" s="2" t="s">
        <v>348</v>
      </c>
      <c r="I323" t="s">
        <v>6190</v>
      </c>
    </row>
    <row r="324" spans="1:9" x14ac:dyDescent="0.25">
      <c r="A324" s="2" t="s">
        <v>2308</v>
      </c>
      <c r="B324" s="2" t="s">
        <v>2309</v>
      </c>
      <c r="C324" s="2" t="s">
        <v>2310</v>
      </c>
      <c r="D324" s="2" t="s">
        <v>2311</v>
      </c>
      <c r="E324" s="2" t="s">
        <v>2312</v>
      </c>
      <c r="F324" s="2" t="s">
        <v>455</v>
      </c>
      <c r="G324" s="2" t="s">
        <v>318</v>
      </c>
      <c r="H324" s="2" t="s">
        <v>348</v>
      </c>
      <c r="I324" t="s">
        <v>6191</v>
      </c>
    </row>
    <row r="325" spans="1:9" x14ac:dyDescent="0.25">
      <c r="A325" s="2" t="s">
        <v>2314</v>
      </c>
      <c r="B325" s="2" t="s">
        <v>2315</v>
      </c>
      <c r="C325" s="2" t="s">
        <v>2316</v>
      </c>
      <c r="D325" s="2" t="s">
        <v>2317</v>
      </c>
      <c r="E325" s="2" t="s">
        <v>2318</v>
      </c>
      <c r="F325" s="2" t="s">
        <v>49</v>
      </c>
      <c r="G325" s="2" t="s">
        <v>19</v>
      </c>
      <c r="H325" s="2">
        <v>37924</v>
      </c>
      <c r="I325" t="s">
        <v>6190</v>
      </c>
    </row>
    <row r="326" spans="1:9" x14ac:dyDescent="0.25">
      <c r="A326" s="2" t="s">
        <v>2320</v>
      </c>
      <c r="B326" s="2" t="s">
        <v>2321</v>
      </c>
      <c r="C326" s="2"/>
      <c r="D326" s="2" t="s">
        <v>2322</v>
      </c>
      <c r="E326" s="2" t="s">
        <v>2323</v>
      </c>
      <c r="F326" s="2" t="s">
        <v>67</v>
      </c>
      <c r="G326" s="2" t="s">
        <v>19</v>
      </c>
      <c r="H326" s="2">
        <v>66276</v>
      </c>
      <c r="I326" t="s">
        <v>6191</v>
      </c>
    </row>
    <row r="327" spans="1:9" x14ac:dyDescent="0.25">
      <c r="A327" s="2" t="s">
        <v>2325</v>
      </c>
      <c r="B327" s="2" t="s">
        <v>2326</v>
      </c>
      <c r="C327" s="2" t="s">
        <v>2327</v>
      </c>
      <c r="D327" s="2" t="s">
        <v>2328</v>
      </c>
      <c r="E327" s="2" t="s">
        <v>2329</v>
      </c>
      <c r="F327" s="2" t="s">
        <v>150</v>
      </c>
      <c r="G327" s="2" t="s">
        <v>19</v>
      </c>
      <c r="H327" s="2">
        <v>94132</v>
      </c>
      <c r="I327" t="s">
        <v>6190</v>
      </c>
    </row>
    <row r="328" spans="1:9" x14ac:dyDescent="0.25">
      <c r="A328" s="2" t="s">
        <v>2331</v>
      </c>
      <c r="B328" s="2" t="s">
        <v>2332</v>
      </c>
      <c r="C328" s="2"/>
      <c r="D328" s="2" t="s">
        <v>2333</v>
      </c>
      <c r="E328" s="2" t="s">
        <v>2334</v>
      </c>
      <c r="F328" s="2" t="s">
        <v>144</v>
      </c>
      <c r="G328" s="2" t="s">
        <v>19</v>
      </c>
      <c r="H328" s="2">
        <v>35244</v>
      </c>
      <c r="I328" t="s">
        <v>6191</v>
      </c>
    </row>
    <row r="329" spans="1:9" x14ac:dyDescent="0.25">
      <c r="A329" s="2" t="s">
        <v>2336</v>
      </c>
      <c r="B329" s="2" t="s">
        <v>2337</v>
      </c>
      <c r="C329" s="2" t="s">
        <v>2338</v>
      </c>
      <c r="D329" s="2" t="s">
        <v>2339</v>
      </c>
      <c r="E329" s="2" t="s">
        <v>2340</v>
      </c>
      <c r="F329" s="2" t="s">
        <v>139</v>
      </c>
      <c r="G329" s="2" t="s">
        <v>19</v>
      </c>
      <c r="H329" s="2">
        <v>11215</v>
      </c>
      <c r="I329" t="s">
        <v>6190</v>
      </c>
    </row>
    <row r="330" spans="1:9" x14ac:dyDescent="0.25">
      <c r="A330" s="2" t="s">
        <v>2342</v>
      </c>
      <c r="B330" s="2" t="s">
        <v>2343</v>
      </c>
      <c r="C330" s="2"/>
      <c r="D330" s="2" t="s">
        <v>2344</v>
      </c>
      <c r="E330" s="2" t="s">
        <v>2345</v>
      </c>
      <c r="F330" s="2" t="s">
        <v>50</v>
      </c>
      <c r="G330" s="2" t="s">
        <v>19</v>
      </c>
      <c r="H330" s="2">
        <v>79934</v>
      </c>
      <c r="I330" t="s">
        <v>6190</v>
      </c>
    </row>
    <row r="331" spans="1:9" x14ac:dyDescent="0.25">
      <c r="A331" s="2" t="s">
        <v>2347</v>
      </c>
      <c r="B331" s="2" t="s">
        <v>2348</v>
      </c>
      <c r="C331" s="2" t="s">
        <v>2349</v>
      </c>
      <c r="D331" s="2"/>
      <c r="E331" s="2" t="s">
        <v>2350</v>
      </c>
      <c r="F331" s="2" t="s">
        <v>131</v>
      </c>
      <c r="G331" s="2" t="s">
        <v>19</v>
      </c>
      <c r="H331" s="2">
        <v>94250</v>
      </c>
      <c r="I331" t="s">
        <v>6190</v>
      </c>
    </row>
    <row r="332" spans="1:9" x14ac:dyDescent="0.25">
      <c r="A332" s="2" t="s">
        <v>2352</v>
      </c>
      <c r="B332" s="2" t="s">
        <v>2353</v>
      </c>
      <c r="C332" s="2" t="s">
        <v>2354</v>
      </c>
      <c r="D332" s="2" t="s">
        <v>2355</v>
      </c>
      <c r="E332" s="2" t="s">
        <v>2356</v>
      </c>
      <c r="F332" s="2" t="s">
        <v>47</v>
      </c>
      <c r="G332" s="2" t="s">
        <v>19</v>
      </c>
      <c r="H332" s="2">
        <v>20220</v>
      </c>
      <c r="I332" t="s">
        <v>6191</v>
      </c>
    </row>
    <row r="333" spans="1:9" x14ac:dyDescent="0.25">
      <c r="A333" s="2" t="s">
        <v>2358</v>
      </c>
      <c r="B333" s="2" t="s">
        <v>2359</v>
      </c>
      <c r="C333" s="2" t="s">
        <v>2360</v>
      </c>
      <c r="D333" s="2" t="s">
        <v>2361</v>
      </c>
      <c r="E333" s="2" t="s">
        <v>2362</v>
      </c>
      <c r="F333" s="2" t="s">
        <v>117</v>
      </c>
      <c r="G333" s="2" t="s">
        <v>19</v>
      </c>
      <c r="H333" s="2">
        <v>33436</v>
      </c>
      <c r="I333" t="s">
        <v>6190</v>
      </c>
    </row>
    <row r="334" spans="1:9" x14ac:dyDescent="0.25">
      <c r="A334" s="2" t="s">
        <v>2364</v>
      </c>
      <c r="B334" s="2" t="s">
        <v>2365</v>
      </c>
      <c r="C334" s="2" t="s">
        <v>2366</v>
      </c>
      <c r="D334" s="2" t="s">
        <v>2367</v>
      </c>
      <c r="E334" s="2" t="s">
        <v>2368</v>
      </c>
      <c r="F334" s="2" t="s">
        <v>27</v>
      </c>
      <c r="G334" s="2" t="s">
        <v>19</v>
      </c>
      <c r="H334" s="2">
        <v>90094</v>
      </c>
      <c r="I334" t="s">
        <v>6190</v>
      </c>
    </row>
    <row r="335" spans="1:9" x14ac:dyDescent="0.25">
      <c r="A335" s="2" t="s">
        <v>2370</v>
      </c>
      <c r="B335" s="2" t="s">
        <v>2371</v>
      </c>
      <c r="C335" s="2" t="s">
        <v>2372</v>
      </c>
      <c r="D335" s="2" t="s">
        <v>2373</v>
      </c>
      <c r="E335" s="2" t="s">
        <v>2374</v>
      </c>
      <c r="F335" s="2" t="s">
        <v>20</v>
      </c>
      <c r="G335" s="2" t="s">
        <v>19</v>
      </c>
      <c r="H335" s="2">
        <v>21275</v>
      </c>
      <c r="I335" t="s">
        <v>6190</v>
      </c>
    </row>
    <row r="336" spans="1:9" x14ac:dyDescent="0.25">
      <c r="A336" s="2" t="s">
        <v>2376</v>
      </c>
      <c r="B336" s="2" t="s">
        <v>2377</v>
      </c>
      <c r="C336" s="2"/>
      <c r="D336" s="2"/>
      <c r="E336" s="2" t="s">
        <v>2378</v>
      </c>
      <c r="F336" s="2" t="s">
        <v>216</v>
      </c>
      <c r="G336" s="2" t="s">
        <v>19</v>
      </c>
      <c r="H336" s="2">
        <v>84125</v>
      </c>
      <c r="I336" t="s">
        <v>6191</v>
      </c>
    </row>
    <row r="337" spans="1:9" x14ac:dyDescent="0.25">
      <c r="A337" s="2" t="s">
        <v>2380</v>
      </c>
      <c r="B337" s="2" t="s">
        <v>2381</v>
      </c>
      <c r="C337" s="2" t="s">
        <v>2382</v>
      </c>
      <c r="D337" s="2" t="s">
        <v>2383</v>
      </c>
      <c r="E337" s="2" t="s">
        <v>2384</v>
      </c>
      <c r="F337" s="2" t="s">
        <v>115</v>
      </c>
      <c r="G337" s="2" t="s">
        <v>19</v>
      </c>
      <c r="H337" s="2">
        <v>75049</v>
      </c>
      <c r="I337" t="s">
        <v>6190</v>
      </c>
    </row>
    <row r="338" spans="1:9" x14ac:dyDescent="0.25">
      <c r="A338" s="2" t="s">
        <v>2386</v>
      </c>
      <c r="B338" s="2" t="s">
        <v>2387</v>
      </c>
      <c r="C338" s="2" t="s">
        <v>2388</v>
      </c>
      <c r="D338" s="2" t="s">
        <v>2389</v>
      </c>
      <c r="E338" s="2" t="s">
        <v>2390</v>
      </c>
      <c r="F338" s="2" t="s">
        <v>253</v>
      </c>
      <c r="G338" s="2" t="s">
        <v>28</v>
      </c>
      <c r="H338" s="2" t="s">
        <v>254</v>
      </c>
      <c r="I338" t="s">
        <v>6191</v>
      </c>
    </row>
    <row r="339" spans="1:9" x14ac:dyDescent="0.25">
      <c r="A339" s="2" t="s">
        <v>2392</v>
      </c>
      <c r="B339" s="2" t="s">
        <v>2393</v>
      </c>
      <c r="C339" s="2"/>
      <c r="D339" s="2" t="s">
        <v>2394</v>
      </c>
      <c r="E339" s="2" t="s">
        <v>2395</v>
      </c>
      <c r="F339" s="2" t="s">
        <v>39</v>
      </c>
      <c r="G339" s="2" t="s">
        <v>19</v>
      </c>
      <c r="H339" s="2">
        <v>43240</v>
      </c>
      <c r="I339" t="s">
        <v>6191</v>
      </c>
    </row>
    <row r="340" spans="1:9" x14ac:dyDescent="0.25">
      <c r="A340" s="2" t="s">
        <v>2397</v>
      </c>
      <c r="B340" s="2" t="s">
        <v>2398</v>
      </c>
      <c r="C340" s="2" t="s">
        <v>2399</v>
      </c>
      <c r="D340" s="2" t="s">
        <v>2400</v>
      </c>
      <c r="E340" s="2" t="s">
        <v>2401</v>
      </c>
      <c r="F340" s="2" t="s">
        <v>57</v>
      </c>
      <c r="G340" s="2" t="s">
        <v>19</v>
      </c>
      <c r="H340" s="2">
        <v>10184</v>
      </c>
      <c r="I340" t="s">
        <v>6191</v>
      </c>
    </row>
    <row r="341" spans="1:9" x14ac:dyDescent="0.25">
      <c r="A341" s="2" t="s">
        <v>2403</v>
      </c>
      <c r="B341" s="2" t="s">
        <v>2404</v>
      </c>
      <c r="C341" s="2" t="s">
        <v>2405</v>
      </c>
      <c r="D341" s="2" t="s">
        <v>2406</v>
      </c>
      <c r="E341" s="2" t="s">
        <v>2407</v>
      </c>
      <c r="F341" s="2" t="s">
        <v>241</v>
      </c>
      <c r="G341" s="2" t="s">
        <v>19</v>
      </c>
      <c r="H341" s="2">
        <v>2216</v>
      </c>
      <c r="I341" t="s">
        <v>6190</v>
      </c>
    </row>
    <row r="342" spans="1:9" x14ac:dyDescent="0.25">
      <c r="A342" s="2" t="s">
        <v>2409</v>
      </c>
      <c r="B342" s="2" t="s">
        <v>2410</v>
      </c>
      <c r="C342" s="2" t="s">
        <v>2411</v>
      </c>
      <c r="D342" s="2" t="s">
        <v>2412</v>
      </c>
      <c r="E342" s="2" t="s">
        <v>2413</v>
      </c>
      <c r="F342" s="2" t="s">
        <v>150</v>
      </c>
      <c r="G342" s="2" t="s">
        <v>19</v>
      </c>
      <c r="H342" s="2">
        <v>94132</v>
      </c>
      <c r="I342" t="s">
        <v>6190</v>
      </c>
    </row>
    <row r="343" spans="1:9" x14ac:dyDescent="0.25">
      <c r="A343" s="2" t="s">
        <v>2415</v>
      </c>
      <c r="B343" s="2" t="s">
        <v>2416</v>
      </c>
      <c r="C343" s="2" t="s">
        <v>2417</v>
      </c>
      <c r="D343" s="2" t="s">
        <v>2418</v>
      </c>
      <c r="E343" s="2" t="s">
        <v>2419</v>
      </c>
      <c r="F343" s="2" t="s">
        <v>36</v>
      </c>
      <c r="G343" s="2" t="s">
        <v>19</v>
      </c>
      <c r="H343" s="2">
        <v>46295</v>
      </c>
      <c r="I343" t="s">
        <v>6191</v>
      </c>
    </row>
    <row r="344" spans="1:9" x14ac:dyDescent="0.25">
      <c r="A344" s="2" t="s">
        <v>2420</v>
      </c>
      <c r="B344" s="2" t="s">
        <v>2421</v>
      </c>
      <c r="C344" s="2" t="s">
        <v>2422</v>
      </c>
      <c r="D344" s="2"/>
      <c r="E344" s="2" t="s">
        <v>2423</v>
      </c>
      <c r="F344" s="2" t="s">
        <v>22</v>
      </c>
      <c r="G344" s="2" t="s">
        <v>19</v>
      </c>
      <c r="H344" s="2">
        <v>32209</v>
      </c>
      <c r="I344" t="s">
        <v>6191</v>
      </c>
    </row>
    <row r="345" spans="1:9" x14ac:dyDescent="0.25">
      <c r="A345" s="2" t="s">
        <v>2425</v>
      </c>
      <c r="B345" s="2" t="s">
        <v>2426</v>
      </c>
      <c r="C345" s="2" t="s">
        <v>2427</v>
      </c>
      <c r="D345" s="2"/>
      <c r="E345" s="2" t="s">
        <v>2428</v>
      </c>
      <c r="F345" s="2" t="s">
        <v>105</v>
      </c>
      <c r="G345" s="2" t="s">
        <v>19</v>
      </c>
      <c r="H345" s="2">
        <v>98148</v>
      </c>
      <c r="I345" t="s">
        <v>6191</v>
      </c>
    </row>
    <row r="346" spans="1:9" x14ac:dyDescent="0.25">
      <c r="A346" s="2" t="s">
        <v>2430</v>
      </c>
      <c r="B346" s="2" t="s">
        <v>2431</v>
      </c>
      <c r="C346" s="2"/>
      <c r="D346" s="2" t="s">
        <v>2432</v>
      </c>
      <c r="E346" s="2" t="s">
        <v>2433</v>
      </c>
      <c r="F346" s="2" t="s">
        <v>428</v>
      </c>
      <c r="G346" s="2" t="s">
        <v>318</v>
      </c>
      <c r="H346" s="2" t="s">
        <v>429</v>
      </c>
      <c r="I346" t="s">
        <v>6190</v>
      </c>
    </row>
    <row r="347" spans="1:9" x14ac:dyDescent="0.25">
      <c r="A347" s="2" t="s">
        <v>2435</v>
      </c>
      <c r="B347" s="2" t="s">
        <v>2436</v>
      </c>
      <c r="C347" s="2" t="s">
        <v>2437</v>
      </c>
      <c r="D347" s="2" t="s">
        <v>2438</v>
      </c>
      <c r="E347" s="2" t="s">
        <v>2439</v>
      </c>
      <c r="F347" s="2" t="s">
        <v>187</v>
      </c>
      <c r="G347" s="2" t="s">
        <v>19</v>
      </c>
      <c r="H347" s="2">
        <v>36109</v>
      </c>
      <c r="I347" t="s">
        <v>6191</v>
      </c>
    </row>
    <row r="348" spans="1:9" x14ac:dyDescent="0.25">
      <c r="A348" s="2" t="s">
        <v>2441</v>
      </c>
      <c r="B348" s="2" t="s">
        <v>2442</v>
      </c>
      <c r="C348" s="2" t="s">
        <v>2443</v>
      </c>
      <c r="D348" s="2" t="s">
        <v>2444</v>
      </c>
      <c r="E348" s="2" t="s">
        <v>2445</v>
      </c>
      <c r="F348" s="2" t="s">
        <v>52</v>
      </c>
      <c r="G348" s="2" t="s">
        <v>19</v>
      </c>
      <c r="H348" s="2">
        <v>75372</v>
      </c>
      <c r="I348" t="s">
        <v>6190</v>
      </c>
    </row>
    <row r="349" spans="1:9" x14ac:dyDescent="0.25">
      <c r="A349" s="2" t="s">
        <v>2447</v>
      </c>
      <c r="B349" s="2" t="s">
        <v>2448</v>
      </c>
      <c r="C349" s="2" t="s">
        <v>2449</v>
      </c>
      <c r="D349" s="2" t="s">
        <v>2450</v>
      </c>
      <c r="E349" s="2" t="s">
        <v>2451</v>
      </c>
      <c r="F349" s="2" t="s">
        <v>148</v>
      </c>
      <c r="G349" s="2" t="s">
        <v>19</v>
      </c>
      <c r="H349" s="2">
        <v>66622</v>
      </c>
      <c r="I349" t="s">
        <v>6191</v>
      </c>
    </row>
    <row r="350" spans="1:9" x14ac:dyDescent="0.25">
      <c r="A350" s="2" t="s">
        <v>2453</v>
      </c>
      <c r="B350" s="2" t="s">
        <v>2454</v>
      </c>
      <c r="C350" s="2" t="s">
        <v>2455</v>
      </c>
      <c r="D350" s="2" t="s">
        <v>2456</v>
      </c>
      <c r="E350" s="2" t="s">
        <v>2457</v>
      </c>
      <c r="F350" s="2" t="s">
        <v>185</v>
      </c>
      <c r="G350" s="2" t="s">
        <v>19</v>
      </c>
      <c r="H350" s="2">
        <v>75799</v>
      </c>
      <c r="I350" t="s">
        <v>6191</v>
      </c>
    </row>
    <row r="351" spans="1:9" x14ac:dyDescent="0.25">
      <c r="A351" s="2" t="s">
        <v>2459</v>
      </c>
      <c r="B351" s="2" t="s">
        <v>2460</v>
      </c>
      <c r="C351" s="2" t="s">
        <v>2461</v>
      </c>
      <c r="D351" s="2" t="s">
        <v>2462</v>
      </c>
      <c r="E351" s="2" t="s">
        <v>2463</v>
      </c>
      <c r="F351" s="2" t="s">
        <v>27</v>
      </c>
      <c r="G351" s="2" t="s">
        <v>19</v>
      </c>
      <c r="H351" s="2">
        <v>90065</v>
      </c>
      <c r="I351" t="s">
        <v>6191</v>
      </c>
    </row>
    <row r="352" spans="1:9" x14ac:dyDescent="0.25">
      <c r="A352" s="2" t="s">
        <v>2465</v>
      </c>
      <c r="B352" s="2" t="s">
        <v>2466</v>
      </c>
      <c r="C352" s="2" t="s">
        <v>2467</v>
      </c>
      <c r="D352" s="2" t="s">
        <v>2468</v>
      </c>
      <c r="E352" s="2" t="s">
        <v>2469</v>
      </c>
      <c r="F352" s="2" t="s">
        <v>175</v>
      </c>
      <c r="G352" s="2" t="s">
        <v>19</v>
      </c>
      <c r="H352" s="2">
        <v>71137</v>
      </c>
      <c r="I352" t="s">
        <v>6191</v>
      </c>
    </row>
    <row r="353" spans="1:9" x14ac:dyDescent="0.25">
      <c r="A353" s="2" t="s">
        <v>2471</v>
      </c>
      <c r="B353" s="2" t="s">
        <v>2472</v>
      </c>
      <c r="C353" s="2" t="s">
        <v>2473</v>
      </c>
      <c r="D353" s="2" t="s">
        <v>2474</v>
      </c>
      <c r="E353" s="2" t="s">
        <v>2475</v>
      </c>
      <c r="F353" s="2" t="s">
        <v>196</v>
      </c>
      <c r="G353" s="2" t="s">
        <v>19</v>
      </c>
      <c r="H353" s="2">
        <v>83722</v>
      </c>
      <c r="I353" t="s">
        <v>6191</v>
      </c>
    </row>
    <row r="354" spans="1:9" x14ac:dyDescent="0.25">
      <c r="A354" s="2" t="s">
        <v>2477</v>
      </c>
      <c r="B354" s="2" t="s">
        <v>2478</v>
      </c>
      <c r="C354" s="2" t="s">
        <v>2479</v>
      </c>
      <c r="D354" s="2" t="s">
        <v>2480</v>
      </c>
      <c r="E354" s="2" t="s">
        <v>2481</v>
      </c>
      <c r="F354" s="2" t="s">
        <v>272</v>
      </c>
      <c r="G354" s="2" t="s">
        <v>19</v>
      </c>
      <c r="H354" s="2">
        <v>92415</v>
      </c>
      <c r="I354" t="s">
        <v>6191</v>
      </c>
    </row>
    <row r="355" spans="1:9" x14ac:dyDescent="0.25">
      <c r="A355" s="2" t="s">
        <v>2483</v>
      </c>
      <c r="B355" s="2" t="s">
        <v>2484</v>
      </c>
      <c r="C355" s="2"/>
      <c r="D355" s="2" t="s">
        <v>2485</v>
      </c>
      <c r="E355" s="2" t="s">
        <v>2486</v>
      </c>
      <c r="F355" s="2" t="s">
        <v>187</v>
      </c>
      <c r="G355" s="2" t="s">
        <v>19</v>
      </c>
      <c r="H355" s="2">
        <v>36177</v>
      </c>
      <c r="I355" t="s">
        <v>6190</v>
      </c>
    </row>
    <row r="356" spans="1:9" x14ac:dyDescent="0.25">
      <c r="A356" s="2" t="s">
        <v>2488</v>
      </c>
      <c r="B356" s="2" t="s">
        <v>2489</v>
      </c>
      <c r="C356" s="2" t="s">
        <v>2490</v>
      </c>
      <c r="D356" s="2"/>
      <c r="E356" s="2" t="s">
        <v>2491</v>
      </c>
      <c r="F356" s="2" t="s">
        <v>270</v>
      </c>
      <c r="G356" s="2" t="s">
        <v>19</v>
      </c>
      <c r="H356" s="2">
        <v>34981</v>
      </c>
      <c r="I356" t="s">
        <v>6191</v>
      </c>
    </row>
    <row r="357" spans="1:9" x14ac:dyDescent="0.25">
      <c r="A357" s="2" t="s">
        <v>2493</v>
      </c>
      <c r="B357" s="2" t="s">
        <v>2494</v>
      </c>
      <c r="C357" s="2" t="s">
        <v>2495</v>
      </c>
      <c r="D357" s="2" t="s">
        <v>2496</v>
      </c>
      <c r="E357" s="2" t="s">
        <v>2497</v>
      </c>
      <c r="F357" s="2" t="s">
        <v>82</v>
      </c>
      <c r="G357" s="2" t="s">
        <v>19</v>
      </c>
      <c r="H357" s="2">
        <v>27415</v>
      </c>
      <c r="I357" t="s">
        <v>6190</v>
      </c>
    </row>
    <row r="358" spans="1:9" x14ac:dyDescent="0.25">
      <c r="A358" s="2" t="s">
        <v>2499</v>
      </c>
      <c r="B358" s="2" t="s">
        <v>2500</v>
      </c>
      <c r="C358" s="2" t="s">
        <v>2501</v>
      </c>
      <c r="D358" s="2" t="s">
        <v>2502</v>
      </c>
      <c r="E358" s="2" t="s">
        <v>2503</v>
      </c>
      <c r="F358" s="2" t="s">
        <v>131</v>
      </c>
      <c r="G358" s="2" t="s">
        <v>19</v>
      </c>
      <c r="H358" s="2">
        <v>94237</v>
      </c>
      <c r="I358" t="s">
        <v>6190</v>
      </c>
    </row>
    <row r="359" spans="1:9" x14ac:dyDescent="0.25">
      <c r="A359" s="2" t="s">
        <v>2505</v>
      </c>
      <c r="B359" s="2" t="s">
        <v>2506</v>
      </c>
      <c r="C359" s="2"/>
      <c r="D359" s="2" t="s">
        <v>2507</v>
      </c>
      <c r="E359" s="2" t="s">
        <v>2508</v>
      </c>
      <c r="F359" s="2" t="s">
        <v>296</v>
      </c>
      <c r="G359" s="2" t="s">
        <v>19</v>
      </c>
      <c r="H359" s="2">
        <v>78682</v>
      </c>
      <c r="I359" t="s">
        <v>6191</v>
      </c>
    </row>
    <row r="360" spans="1:9" x14ac:dyDescent="0.25">
      <c r="A360" s="2" t="s">
        <v>2510</v>
      </c>
      <c r="B360" s="2" t="s">
        <v>2511</v>
      </c>
      <c r="C360" s="2" t="s">
        <v>2512</v>
      </c>
      <c r="D360" s="2" t="s">
        <v>2513</v>
      </c>
      <c r="E360" s="2" t="s">
        <v>2514</v>
      </c>
      <c r="F360" s="2" t="s">
        <v>143</v>
      </c>
      <c r="G360" s="2" t="s">
        <v>19</v>
      </c>
      <c r="H360" s="2">
        <v>22096</v>
      </c>
      <c r="I360" t="s">
        <v>6191</v>
      </c>
    </row>
    <row r="361" spans="1:9" x14ac:dyDescent="0.25">
      <c r="A361" s="2" t="s">
        <v>2516</v>
      </c>
      <c r="B361" s="2" t="s">
        <v>2517</v>
      </c>
      <c r="C361" s="2" t="s">
        <v>2518</v>
      </c>
      <c r="D361" s="2" t="s">
        <v>2519</v>
      </c>
      <c r="E361" s="2" t="s">
        <v>2520</v>
      </c>
      <c r="F361" s="2" t="s">
        <v>286</v>
      </c>
      <c r="G361" s="2" t="s">
        <v>28</v>
      </c>
      <c r="H361" s="2" t="s">
        <v>287</v>
      </c>
      <c r="I361" t="s">
        <v>6191</v>
      </c>
    </row>
    <row r="362" spans="1:9" x14ac:dyDescent="0.25">
      <c r="A362" s="2" t="s">
        <v>2522</v>
      </c>
      <c r="B362" s="2" t="s">
        <v>2523</v>
      </c>
      <c r="C362" s="2" t="s">
        <v>2524</v>
      </c>
      <c r="D362" s="2" t="s">
        <v>2525</v>
      </c>
      <c r="E362" s="2" t="s">
        <v>2526</v>
      </c>
      <c r="F362" s="2" t="s">
        <v>60</v>
      </c>
      <c r="G362" s="2" t="s">
        <v>19</v>
      </c>
      <c r="H362" s="2">
        <v>29220</v>
      </c>
      <c r="I362" t="s">
        <v>6191</v>
      </c>
    </row>
    <row r="363" spans="1:9" x14ac:dyDescent="0.25">
      <c r="A363" s="2" t="s">
        <v>2527</v>
      </c>
      <c r="B363" s="2" t="s">
        <v>2528</v>
      </c>
      <c r="C363" s="2" t="s">
        <v>2529</v>
      </c>
      <c r="D363" s="2" t="s">
        <v>2530</v>
      </c>
      <c r="E363" s="2" t="s">
        <v>2531</v>
      </c>
      <c r="F363" s="2" t="s">
        <v>130</v>
      </c>
      <c r="G363" s="2" t="s">
        <v>19</v>
      </c>
      <c r="H363" s="2">
        <v>37215</v>
      </c>
      <c r="I363" t="s">
        <v>6190</v>
      </c>
    </row>
    <row r="364" spans="1:9" x14ac:dyDescent="0.25">
      <c r="A364" s="2" t="s">
        <v>2533</v>
      </c>
      <c r="B364" s="2" t="s">
        <v>2534</v>
      </c>
      <c r="C364" s="2" t="s">
        <v>2535</v>
      </c>
      <c r="D364" s="2" t="s">
        <v>2536</v>
      </c>
      <c r="E364" s="2" t="s">
        <v>2537</v>
      </c>
      <c r="F364" s="2" t="s">
        <v>184</v>
      </c>
      <c r="G364" s="2" t="s">
        <v>19</v>
      </c>
      <c r="H364" s="2">
        <v>85025</v>
      </c>
      <c r="I364" t="s">
        <v>6190</v>
      </c>
    </row>
    <row r="365" spans="1:9" x14ac:dyDescent="0.25">
      <c r="A365" s="2" t="s">
        <v>2539</v>
      </c>
      <c r="B365" s="2" t="s">
        <v>2540</v>
      </c>
      <c r="C365" s="2" t="s">
        <v>2541</v>
      </c>
      <c r="D365" s="2"/>
      <c r="E365" s="2" t="s">
        <v>2542</v>
      </c>
      <c r="F365" s="2" t="s">
        <v>92</v>
      </c>
      <c r="G365" s="2" t="s">
        <v>19</v>
      </c>
      <c r="H365" s="2">
        <v>33233</v>
      </c>
      <c r="I365" t="s">
        <v>6191</v>
      </c>
    </row>
    <row r="366" spans="1:9" x14ac:dyDescent="0.25">
      <c r="A366" s="2" t="s">
        <v>2544</v>
      </c>
      <c r="B366" s="2" t="s">
        <v>2545</v>
      </c>
      <c r="C366" s="2" t="s">
        <v>2546</v>
      </c>
      <c r="D366" s="2" t="s">
        <v>2547</v>
      </c>
      <c r="E366" s="2" t="s">
        <v>2548</v>
      </c>
      <c r="F366" s="2" t="s">
        <v>30</v>
      </c>
      <c r="G366" s="2" t="s">
        <v>19</v>
      </c>
      <c r="H366" s="2">
        <v>93762</v>
      </c>
      <c r="I366" t="s">
        <v>6190</v>
      </c>
    </row>
    <row r="367" spans="1:9" x14ac:dyDescent="0.25">
      <c r="A367" s="2" t="s">
        <v>2550</v>
      </c>
      <c r="B367" s="2" t="s">
        <v>2551</v>
      </c>
      <c r="C367" s="2" t="s">
        <v>2552</v>
      </c>
      <c r="D367" s="2"/>
      <c r="E367" s="2" t="s">
        <v>2553</v>
      </c>
      <c r="F367" s="2" t="s">
        <v>282</v>
      </c>
      <c r="G367" s="2" t="s">
        <v>19</v>
      </c>
      <c r="H367" s="2">
        <v>92825</v>
      </c>
      <c r="I367" t="s">
        <v>6191</v>
      </c>
    </row>
    <row r="368" spans="1:9" x14ac:dyDescent="0.25">
      <c r="A368" s="2" t="s">
        <v>2555</v>
      </c>
      <c r="B368" s="2" t="s">
        <v>2556</v>
      </c>
      <c r="C368" s="2"/>
      <c r="D368" s="2" t="s">
        <v>2557</v>
      </c>
      <c r="E368" s="2" t="s">
        <v>2558</v>
      </c>
      <c r="F368" s="2" t="s">
        <v>311</v>
      </c>
      <c r="G368" s="2" t="s">
        <v>19</v>
      </c>
      <c r="H368" s="2">
        <v>23605</v>
      </c>
      <c r="I368" t="s">
        <v>6191</v>
      </c>
    </row>
    <row r="369" spans="1:9" x14ac:dyDescent="0.25">
      <c r="A369" s="2" t="s">
        <v>2560</v>
      </c>
      <c r="B369" s="2" t="s">
        <v>2561</v>
      </c>
      <c r="C369" s="2"/>
      <c r="D369" s="2"/>
      <c r="E369" s="2" t="s">
        <v>2562</v>
      </c>
      <c r="F369" s="2" t="s">
        <v>295</v>
      </c>
      <c r="G369" s="2" t="s">
        <v>19</v>
      </c>
      <c r="H369" s="2">
        <v>29305</v>
      </c>
      <c r="I369" t="s">
        <v>6190</v>
      </c>
    </row>
    <row r="370" spans="1:9" x14ac:dyDescent="0.25">
      <c r="A370" s="2" t="s">
        <v>2564</v>
      </c>
      <c r="B370" s="2" t="s">
        <v>2565</v>
      </c>
      <c r="C370" s="2" t="s">
        <v>2566</v>
      </c>
      <c r="D370" s="2" t="s">
        <v>2567</v>
      </c>
      <c r="E370" s="2" t="s">
        <v>2568</v>
      </c>
      <c r="F370" s="2" t="s">
        <v>302</v>
      </c>
      <c r="G370" s="2" t="s">
        <v>19</v>
      </c>
      <c r="H370" s="2">
        <v>10305</v>
      </c>
      <c r="I370" t="s">
        <v>6191</v>
      </c>
    </row>
    <row r="371" spans="1:9" x14ac:dyDescent="0.25">
      <c r="A371" s="2" t="s">
        <v>2570</v>
      </c>
      <c r="B371" s="2" t="s">
        <v>2571</v>
      </c>
      <c r="C371" s="2"/>
      <c r="D371" s="2"/>
      <c r="E371" s="2" t="s">
        <v>2572</v>
      </c>
      <c r="F371" s="2" t="s">
        <v>107</v>
      </c>
      <c r="G371" s="2" t="s">
        <v>19</v>
      </c>
      <c r="H371" s="2">
        <v>89115</v>
      </c>
      <c r="I371" t="s">
        <v>6190</v>
      </c>
    </row>
    <row r="372" spans="1:9" x14ac:dyDescent="0.25">
      <c r="A372" s="2" t="s">
        <v>2574</v>
      </c>
      <c r="B372" s="2" t="s">
        <v>2575</v>
      </c>
      <c r="C372" s="2" t="s">
        <v>2576</v>
      </c>
      <c r="D372" s="2" t="s">
        <v>2577</v>
      </c>
      <c r="E372" s="2" t="s">
        <v>2578</v>
      </c>
      <c r="F372" s="2" t="s">
        <v>216</v>
      </c>
      <c r="G372" s="2" t="s">
        <v>19</v>
      </c>
      <c r="H372" s="2">
        <v>84105</v>
      </c>
      <c r="I372" t="s">
        <v>6190</v>
      </c>
    </row>
    <row r="373" spans="1:9" x14ac:dyDescent="0.25">
      <c r="A373" s="2" t="s">
        <v>2580</v>
      </c>
      <c r="B373" s="2" t="s">
        <v>2581</v>
      </c>
      <c r="C373" s="2" t="s">
        <v>2582</v>
      </c>
      <c r="D373" s="2" t="s">
        <v>2583</v>
      </c>
      <c r="E373" s="2" t="s">
        <v>2584</v>
      </c>
      <c r="F373" s="2" t="s">
        <v>105</v>
      </c>
      <c r="G373" s="2" t="s">
        <v>19</v>
      </c>
      <c r="H373" s="2">
        <v>98109</v>
      </c>
      <c r="I373" t="s">
        <v>6190</v>
      </c>
    </row>
    <row r="374" spans="1:9" x14ac:dyDescent="0.25">
      <c r="A374" s="2" t="s">
        <v>2586</v>
      </c>
      <c r="B374" s="2" t="s">
        <v>2587</v>
      </c>
      <c r="C374" s="2" t="s">
        <v>2588</v>
      </c>
      <c r="D374" s="2" t="s">
        <v>2589</v>
      </c>
      <c r="E374" s="2" t="s">
        <v>2590</v>
      </c>
      <c r="F374" s="2" t="s">
        <v>166</v>
      </c>
      <c r="G374" s="2" t="s">
        <v>19</v>
      </c>
      <c r="H374" s="2">
        <v>79764</v>
      </c>
      <c r="I374" t="s">
        <v>6191</v>
      </c>
    </row>
    <row r="375" spans="1:9" x14ac:dyDescent="0.25">
      <c r="A375" s="2" t="s">
        <v>2592</v>
      </c>
      <c r="B375" s="2" t="s">
        <v>2593</v>
      </c>
      <c r="C375" s="2"/>
      <c r="D375" s="2" t="s">
        <v>2594</v>
      </c>
      <c r="E375" s="2" t="s">
        <v>2595</v>
      </c>
      <c r="F375" s="2" t="s">
        <v>2596</v>
      </c>
      <c r="G375" s="2" t="s">
        <v>318</v>
      </c>
      <c r="H375" s="2" t="s">
        <v>427</v>
      </c>
      <c r="I375" t="s">
        <v>6190</v>
      </c>
    </row>
    <row r="376" spans="1:9" x14ac:dyDescent="0.25">
      <c r="A376" s="2" t="s">
        <v>2598</v>
      </c>
      <c r="B376" s="2" t="s">
        <v>2599</v>
      </c>
      <c r="C376" s="2" t="s">
        <v>2600</v>
      </c>
      <c r="D376" s="2" t="s">
        <v>2601</v>
      </c>
      <c r="E376" s="2" t="s">
        <v>2602</v>
      </c>
      <c r="F376" s="2" t="s">
        <v>162</v>
      </c>
      <c r="G376" s="2" t="s">
        <v>19</v>
      </c>
      <c r="H376" s="2">
        <v>75037</v>
      </c>
      <c r="I376" t="s">
        <v>6190</v>
      </c>
    </row>
    <row r="377" spans="1:9" x14ac:dyDescent="0.25">
      <c r="A377" s="2" t="s">
        <v>2604</v>
      </c>
      <c r="B377" s="2" t="s">
        <v>2605</v>
      </c>
      <c r="C377" s="2" t="s">
        <v>2606</v>
      </c>
      <c r="D377" s="2" t="s">
        <v>2607</v>
      </c>
      <c r="E377" s="2" t="s">
        <v>2608</v>
      </c>
      <c r="F377" s="2" t="s">
        <v>203</v>
      </c>
      <c r="G377" s="2" t="s">
        <v>19</v>
      </c>
      <c r="H377" s="2">
        <v>45426</v>
      </c>
      <c r="I377" t="s">
        <v>6190</v>
      </c>
    </row>
    <row r="378" spans="1:9" x14ac:dyDescent="0.25">
      <c r="A378" s="2" t="s">
        <v>2610</v>
      </c>
      <c r="B378" s="2" t="s">
        <v>2611</v>
      </c>
      <c r="C378" s="2" t="s">
        <v>2612</v>
      </c>
      <c r="D378" s="2" t="s">
        <v>2613</v>
      </c>
      <c r="E378" s="2" t="s">
        <v>2614</v>
      </c>
      <c r="F378" s="2" t="s">
        <v>183</v>
      </c>
      <c r="G378" s="2" t="s">
        <v>19</v>
      </c>
      <c r="H378" s="2">
        <v>49560</v>
      </c>
      <c r="I378" t="s">
        <v>6190</v>
      </c>
    </row>
    <row r="379" spans="1:9" x14ac:dyDescent="0.25">
      <c r="A379" s="2" t="s">
        <v>2616</v>
      </c>
      <c r="B379" s="2" t="s">
        <v>2617</v>
      </c>
      <c r="C379" s="2" t="s">
        <v>2618</v>
      </c>
      <c r="D379" s="2" t="s">
        <v>2619</v>
      </c>
      <c r="E379" s="2" t="s">
        <v>2620</v>
      </c>
      <c r="F379" s="2" t="s">
        <v>1700</v>
      </c>
      <c r="G379" s="2" t="s">
        <v>318</v>
      </c>
      <c r="H379" s="2" t="s">
        <v>348</v>
      </c>
      <c r="I379" t="s">
        <v>6191</v>
      </c>
    </row>
    <row r="380" spans="1:9" x14ac:dyDescent="0.25">
      <c r="A380" s="2" t="s">
        <v>2622</v>
      </c>
      <c r="B380" s="2" t="s">
        <v>2623</v>
      </c>
      <c r="C380" s="2" t="s">
        <v>2624</v>
      </c>
      <c r="D380" s="2" t="s">
        <v>2625</v>
      </c>
      <c r="E380" s="2" t="s">
        <v>2626</v>
      </c>
      <c r="F380" s="2" t="s">
        <v>468</v>
      </c>
      <c r="G380" s="2" t="s">
        <v>318</v>
      </c>
      <c r="H380" s="2" t="s">
        <v>438</v>
      </c>
      <c r="I380" t="s">
        <v>6190</v>
      </c>
    </row>
    <row r="381" spans="1:9" x14ac:dyDescent="0.25">
      <c r="A381" s="2" t="s">
        <v>2628</v>
      </c>
      <c r="B381" s="2" t="s">
        <v>2629</v>
      </c>
      <c r="C381" s="2" t="s">
        <v>2630</v>
      </c>
      <c r="D381" s="2"/>
      <c r="E381" s="2" t="s">
        <v>2631</v>
      </c>
      <c r="F381" s="2" t="s">
        <v>70</v>
      </c>
      <c r="G381" s="2" t="s">
        <v>28</v>
      </c>
      <c r="H381" s="2" t="s">
        <v>111</v>
      </c>
      <c r="I381" t="s">
        <v>6190</v>
      </c>
    </row>
    <row r="382" spans="1:9" x14ac:dyDescent="0.25">
      <c r="A382" s="2" t="s">
        <v>2633</v>
      </c>
      <c r="B382" s="2" t="s">
        <v>2634</v>
      </c>
      <c r="C382" s="2" t="s">
        <v>2635</v>
      </c>
      <c r="D382" s="2" t="s">
        <v>2636</v>
      </c>
      <c r="E382" s="2" t="s">
        <v>2637</v>
      </c>
      <c r="F382" s="2" t="s">
        <v>83</v>
      </c>
      <c r="G382" s="2" t="s">
        <v>19</v>
      </c>
      <c r="H382" s="2">
        <v>62756</v>
      </c>
      <c r="I382" t="s">
        <v>6191</v>
      </c>
    </row>
    <row r="383" spans="1:9" x14ac:dyDescent="0.25">
      <c r="A383" s="2" t="s">
        <v>2639</v>
      </c>
      <c r="B383" s="2" t="s">
        <v>2640</v>
      </c>
      <c r="C383" s="2" t="s">
        <v>2641</v>
      </c>
      <c r="D383" s="2" t="s">
        <v>2642</v>
      </c>
      <c r="E383" s="2" t="s">
        <v>2643</v>
      </c>
      <c r="F383" s="2" t="s">
        <v>27</v>
      </c>
      <c r="G383" s="2" t="s">
        <v>19</v>
      </c>
      <c r="H383" s="2">
        <v>90010</v>
      </c>
      <c r="I383" t="s">
        <v>6190</v>
      </c>
    </row>
    <row r="384" spans="1:9" x14ac:dyDescent="0.25">
      <c r="A384" s="2" t="s">
        <v>2645</v>
      </c>
      <c r="B384" s="2" t="s">
        <v>2646</v>
      </c>
      <c r="C384" s="2" t="s">
        <v>2647</v>
      </c>
      <c r="D384" s="2" t="s">
        <v>2648</v>
      </c>
      <c r="E384" s="2" t="s">
        <v>2649</v>
      </c>
      <c r="F384" s="2" t="s">
        <v>20</v>
      </c>
      <c r="G384" s="2" t="s">
        <v>19</v>
      </c>
      <c r="H384" s="2">
        <v>21239</v>
      </c>
      <c r="I384" t="s">
        <v>6191</v>
      </c>
    </row>
    <row r="385" spans="1:9" x14ac:dyDescent="0.25">
      <c r="A385" s="2" t="s">
        <v>2651</v>
      </c>
      <c r="B385" s="2" t="s">
        <v>2652</v>
      </c>
      <c r="C385" s="2"/>
      <c r="D385" s="2" t="s">
        <v>2653</v>
      </c>
      <c r="E385" s="2" t="s">
        <v>2654</v>
      </c>
      <c r="F385" s="2" t="s">
        <v>172</v>
      </c>
      <c r="G385" s="2" t="s">
        <v>19</v>
      </c>
      <c r="H385" s="2">
        <v>17126</v>
      </c>
      <c r="I385" t="s">
        <v>6190</v>
      </c>
    </row>
    <row r="386" spans="1:9" x14ac:dyDescent="0.25">
      <c r="A386" s="2" t="s">
        <v>2656</v>
      </c>
      <c r="B386" s="2" t="s">
        <v>2657</v>
      </c>
      <c r="C386" s="2"/>
      <c r="D386" s="2" t="s">
        <v>2658</v>
      </c>
      <c r="E386" s="2" t="s">
        <v>2659</v>
      </c>
      <c r="F386" s="2" t="s">
        <v>52</v>
      </c>
      <c r="G386" s="2" t="s">
        <v>19</v>
      </c>
      <c r="H386" s="2">
        <v>75216</v>
      </c>
      <c r="I386" t="s">
        <v>6191</v>
      </c>
    </row>
    <row r="387" spans="1:9" x14ac:dyDescent="0.25">
      <c r="A387" s="2" t="s">
        <v>2661</v>
      </c>
      <c r="B387" s="2" t="s">
        <v>2662</v>
      </c>
      <c r="C387" s="2" t="s">
        <v>2663</v>
      </c>
      <c r="D387" s="2" t="s">
        <v>2664</v>
      </c>
      <c r="E387" s="2" t="s">
        <v>2665</v>
      </c>
      <c r="F387" s="2" t="s">
        <v>116</v>
      </c>
      <c r="G387" s="2" t="s">
        <v>19</v>
      </c>
      <c r="H387" s="2">
        <v>64125</v>
      </c>
      <c r="I387" t="s">
        <v>6190</v>
      </c>
    </row>
    <row r="388" spans="1:9" x14ac:dyDescent="0.25">
      <c r="A388" s="2" t="s">
        <v>2667</v>
      </c>
      <c r="B388" s="2" t="s">
        <v>2668</v>
      </c>
      <c r="C388" s="2"/>
      <c r="D388" s="2" t="s">
        <v>2669</v>
      </c>
      <c r="E388" s="2" t="s">
        <v>2670</v>
      </c>
      <c r="F388" s="2" t="s">
        <v>83</v>
      </c>
      <c r="G388" s="2" t="s">
        <v>19</v>
      </c>
      <c r="H388" s="2">
        <v>62723</v>
      </c>
      <c r="I388" t="s">
        <v>6190</v>
      </c>
    </row>
    <row r="389" spans="1:9" x14ac:dyDescent="0.25">
      <c r="A389" s="2" t="s">
        <v>2672</v>
      </c>
      <c r="B389" s="2" t="s">
        <v>2673</v>
      </c>
      <c r="C389" s="2" t="s">
        <v>2674</v>
      </c>
      <c r="D389" s="2" t="s">
        <v>2675</v>
      </c>
      <c r="E389" s="2" t="s">
        <v>2676</v>
      </c>
      <c r="F389" s="2" t="s">
        <v>18</v>
      </c>
      <c r="G389" s="2" t="s">
        <v>19</v>
      </c>
      <c r="H389" s="2">
        <v>6510</v>
      </c>
      <c r="I389" t="s">
        <v>6190</v>
      </c>
    </row>
    <row r="390" spans="1:9" x14ac:dyDescent="0.25">
      <c r="A390" s="2" t="s">
        <v>2678</v>
      </c>
      <c r="B390" s="2" t="s">
        <v>2679</v>
      </c>
      <c r="C390" s="2" t="s">
        <v>2680</v>
      </c>
      <c r="D390" s="2" t="s">
        <v>2681</v>
      </c>
      <c r="E390" s="2" t="s">
        <v>2682</v>
      </c>
      <c r="F390" s="2" t="s">
        <v>259</v>
      </c>
      <c r="G390" s="2" t="s">
        <v>19</v>
      </c>
      <c r="H390" s="2">
        <v>30045</v>
      </c>
      <c r="I390" t="s">
        <v>6190</v>
      </c>
    </row>
    <row r="391" spans="1:9" x14ac:dyDescent="0.25">
      <c r="A391" s="2" t="s">
        <v>2684</v>
      </c>
      <c r="B391" s="2" t="s">
        <v>2685</v>
      </c>
      <c r="C391" s="2" t="s">
        <v>2686</v>
      </c>
      <c r="D391" s="2" t="s">
        <v>2687</v>
      </c>
      <c r="E391" s="2" t="s">
        <v>2688</v>
      </c>
      <c r="F391" s="2" t="s">
        <v>171</v>
      </c>
      <c r="G391" s="2" t="s">
        <v>19</v>
      </c>
      <c r="H391" s="2">
        <v>28805</v>
      </c>
      <c r="I391" t="s">
        <v>6190</v>
      </c>
    </row>
    <row r="392" spans="1:9" x14ac:dyDescent="0.25">
      <c r="A392" s="2" t="s">
        <v>2690</v>
      </c>
      <c r="B392" s="2" t="s">
        <v>2691</v>
      </c>
      <c r="C392" s="2" t="s">
        <v>2692</v>
      </c>
      <c r="D392" s="2"/>
      <c r="E392" s="2" t="s">
        <v>2693</v>
      </c>
      <c r="F392" s="2" t="s">
        <v>173</v>
      </c>
      <c r="G392" s="2" t="s">
        <v>19</v>
      </c>
      <c r="H392" s="2">
        <v>55123</v>
      </c>
      <c r="I392" t="s">
        <v>6190</v>
      </c>
    </row>
    <row r="393" spans="1:9" x14ac:dyDescent="0.25">
      <c r="A393" s="2" t="s">
        <v>2695</v>
      </c>
      <c r="B393" s="2" t="s">
        <v>2696</v>
      </c>
      <c r="C393" s="2" t="s">
        <v>2697</v>
      </c>
      <c r="D393" s="2"/>
      <c r="E393" s="2" t="s">
        <v>2698</v>
      </c>
      <c r="F393" s="2" t="s">
        <v>33</v>
      </c>
      <c r="G393" s="2" t="s">
        <v>19</v>
      </c>
      <c r="H393" s="2">
        <v>55458</v>
      </c>
      <c r="I393" t="s">
        <v>6191</v>
      </c>
    </row>
    <row r="394" spans="1:9" x14ac:dyDescent="0.25">
      <c r="A394" s="2" t="s">
        <v>2700</v>
      </c>
      <c r="B394" s="2" t="s">
        <v>2701</v>
      </c>
      <c r="C394" s="2" t="s">
        <v>2702</v>
      </c>
      <c r="D394" s="2" t="s">
        <v>2703</v>
      </c>
      <c r="E394" s="2" t="s">
        <v>2704</v>
      </c>
      <c r="F394" s="2" t="s">
        <v>178</v>
      </c>
      <c r="G394" s="2" t="s">
        <v>19</v>
      </c>
      <c r="H394" s="2">
        <v>92725</v>
      </c>
      <c r="I394" t="s">
        <v>6191</v>
      </c>
    </row>
    <row r="395" spans="1:9" x14ac:dyDescent="0.25">
      <c r="A395" s="2" t="s">
        <v>2705</v>
      </c>
      <c r="B395" s="2" t="s">
        <v>2706</v>
      </c>
      <c r="C395" s="2" t="s">
        <v>2707</v>
      </c>
      <c r="D395" s="2" t="s">
        <v>2708</v>
      </c>
      <c r="E395" s="2" t="s">
        <v>2709</v>
      </c>
      <c r="F395" s="2" t="s">
        <v>261</v>
      </c>
      <c r="G395" s="2" t="s">
        <v>19</v>
      </c>
      <c r="H395" s="2">
        <v>21747</v>
      </c>
      <c r="I395" t="s">
        <v>6190</v>
      </c>
    </row>
    <row r="396" spans="1:9" x14ac:dyDescent="0.25">
      <c r="A396" s="2" t="s">
        <v>2711</v>
      </c>
      <c r="B396" s="2" t="s">
        <v>2712</v>
      </c>
      <c r="C396" s="2" t="s">
        <v>2713</v>
      </c>
      <c r="D396" s="2" t="s">
        <v>2714</v>
      </c>
      <c r="E396" s="2" t="s">
        <v>2715</v>
      </c>
      <c r="F396" s="2" t="s">
        <v>33</v>
      </c>
      <c r="G396" s="2" t="s">
        <v>19</v>
      </c>
      <c r="H396" s="2">
        <v>55458</v>
      </c>
      <c r="I396" t="s">
        <v>6191</v>
      </c>
    </row>
    <row r="397" spans="1:9" x14ac:dyDescent="0.25">
      <c r="A397" s="2" t="s">
        <v>2717</v>
      </c>
      <c r="B397" s="2" t="s">
        <v>2718</v>
      </c>
      <c r="C397" s="2" t="s">
        <v>2719</v>
      </c>
      <c r="D397" s="2"/>
      <c r="E397" s="2" t="s">
        <v>2720</v>
      </c>
      <c r="F397" s="2" t="s">
        <v>47</v>
      </c>
      <c r="G397" s="2" t="s">
        <v>19</v>
      </c>
      <c r="H397" s="2">
        <v>20420</v>
      </c>
      <c r="I397" t="s">
        <v>6190</v>
      </c>
    </row>
    <row r="398" spans="1:9" x14ac:dyDescent="0.25">
      <c r="A398" s="2" t="s">
        <v>2722</v>
      </c>
      <c r="B398" s="2" t="s">
        <v>2723</v>
      </c>
      <c r="C398" s="2" t="s">
        <v>2724</v>
      </c>
      <c r="D398" s="2" t="s">
        <v>2725</v>
      </c>
      <c r="E398" s="2" t="s">
        <v>2726</v>
      </c>
      <c r="F398" s="2" t="s">
        <v>272</v>
      </c>
      <c r="G398" s="2" t="s">
        <v>19</v>
      </c>
      <c r="H398" s="2">
        <v>92415</v>
      </c>
      <c r="I398" t="s">
        <v>6191</v>
      </c>
    </row>
    <row r="399" spans="1:9" x14ac:dyDescent="0.25">
      <c r="A399" s="2" t="s">
        <v>2728</v>
      </c>
      <c r="B399" s="2" t="s">
        <v>2729</v>
      </c>
      <c r="C399" s="2" t="s">
        <v>2730</v>
      </c>
      <c r="D399" s="2" t="s">
        <v>2731</v>
      </c>
      <c r="E399" s="2" t="s">
        <v>2732</v>
      </c>
      <c r="F399" s="2" t="s">
        <v>219</v>
      </c>
      <c r="G399" s="2" t="s">
        <v>19</v>
      </c>
      <c r="H399" s="2">
        <v>14609</v>
      </c>
      <c r="I399" t="s">
        <v>6190</v>
      </c>
    </row>
    <row r="400" spans="1:9" x14ac:dyDescent="0.25">
      <c r="A400" s="2" t="s">
        <v>2734</v>
      </c>
      <c r="B400" s="2" t="s">
        <v>2735</v>
      </c>
      <c r="C400" s="2" t="s">
        <v>2736</v>
      </c>
      <c r="D400" s="2" t="s">
        <v>2737</v>
      </c>
      <c r="E400" s="2" t="s">
        <v>2738</v>
      </c>
      <c r="F400" s="2" t="s">
        <v>91</v>
      </c>
      <c r="G400" s="2" t="s">
        <v>19</v>
      </c>
      <c r="H400" s="2">
        <v>98664</v>
      </c>
      <c r="I400" t="s">
        <v>6190</v>
      </c>
    </row>
    <row r="401" spans="1:9" x14ac:dyDescent="0.25">
      <c r="A401" s="2" t="s">
        <v>2740</v>
      </c>
      <c r="B401" s="2" t="s">
        <v>2741</v>
      </c>
      <c r="C401" s="2" t="s">
        <v>2742</v>
      </c>
      <c r="D401" s="2" t="s">
        <v>2743</v>
      </c>
      <c r="E401" s="2" t="s">
        <v>2744</v>
      </c>
      <c r="F401" s="2" t="s">
        <v>305</v>
      </c>
      <c r="G401" s="2" t="s">
        <v>28</v>
      </c>
      <c r="H401" s="2" t="s">
        <v>306</v>
      </c>
      <c r="I401" t="s">
        <v>6191</v>
      </c>
    </row>
    <row r="402" spans="1:9" x14ac:dyDescent="0.25">
      <c r="A402" s="2" t="s">
        <v>2746</v>
      </c>
      <c r="B402" s="2" t="s">
        <v>2747</v>
      </c>
      <c r="C402" s="2" t="s">
        <v>2748</v>
      </c>
      <c r="D402" s="2" t="s">
        <v>2749</v>
      </c>
      <c r="E402" s="2" t="s">
        <v>2750</v>
      </c>
      <c r="F402" s="2" t="s">
        <v>47</v>
      </c>
      <c r="G402" s="2" t="s">
        <v>19</v>
      </c>
      <c r="H402" s="2">
        <v>20057</v>
      </c>
      <c r="I402" t="s">
        <v>6191</v>
      </c>
    </row>
    <row r="403" spans="1:9" x14ac:dyDescent="0.25">
      <c r="A403" s="2" t="s">
        <v>2752</v>
      </c>
      <c r="B403" s="2" t="s">
        <v>2753</v>
      </c>
      <c r="C403" s="2" t="s">
        <v>2754</v>
      </c>
      <c r="D403" s="2" t="s">
        <v>2755</v>
      </c>
      <c r="E403" s="2" t="s">
        <v>2756</v>
      </c>
      <c r="F403" s="2" t="s">
        <v>49</v>
      </c>
      <c r="G403" s="2" t="s">
        <v>19</v>
      </c>
      <c r="H403" s="2">
        <v>37924</v>
      </c>
      <c r="I403" t="s">
        <v>6190</v>
      </c>
    </row>
    <row r="404" spans="1:9" x14ac:dyDescent="0.25">
      <c r="A404" s="2" t="s">
        <v>2758</v>
      </c>
      <c r="B404" s="2" t="s">
        <v>2759</v>
      </c>
      <c r="C404" s="2" t="s">
        <v>2760</v>
      </c>
      <c r="D404" s="2" t="s">
        <v>2761</v>
      </c>
      <c r="E404" s="2" t="s">
        <v>2762</v>
      </c>
      <c r="F404" s="2" t="s">
        <v>48</v>
      </c>
      <c r="G404" s="2" t="s">
        <v>19</v>
      </c>
      <c r="H404" s="2">
        <v>25336</v>
      </c>
      <c r="I404" t="s">
        <v>6190</v>
      </c>
    </row>
    <row r="405" spans="1:9" x14ac:dyDescent="0.25">
      <c r="A405" s="2" t="s">
        <v>2764</v>
      </c>
      <c r="B405" s="2" t="s">
        <v>2765</v>
      </c>
      <c r="C405" s="2" t="s">
        <v>2766</v>
      </c>
      <c r="D405" s="2" t="s">
        <v>2767</v>
      </c>
      <c r="E405" s="2" t="s">
        <v>2768</v>
      </c>
      <c r="F405" s="2" t="s">
        <v>52</v>
      </c>
      <c r="G405" s="2" t="s">
        <v>19</v>
      </c>
      <c r="H405" s="2">
        <v>75372</v>
      </c>
      <c r="I405" t="s">
        <v>6191</v>
      </c>
    </row>
    <row r="406" spans="1:9" x14ac:dyDescent="0.25">
      <c r="A406" s="2" t="s">
        <v>2770</v>
      </c>
      <c r="B406" s="2" t="s">
        <v>2771</v>
      </c>
      <c r="C406" s="2" t="s">
        <v>2772</v>
      </c>
      <c r="D406" s="2" t="s">
        <v>2773</v>
      </c>
      <c r="E406" s="2" t="s">
        <v>2774</v>
      </c>
      <c r="F406" s="2" t="s">
        <v>469</v>
      </c>
      <c r="G406" s="2" t="s">
        <v>318</v>
      </c>
      <c r="H406" s="2" t="s">
        <v>470</v>
      </c>
      <c r="I406" t="s">
        <v>6191</v>
      </c>
    </row>
    <row r="407" spans="1:9" x14ac:dyDescent="0.25">
      <c r="A407" s="2" t="s">
        <v>2776</v>
      </c>
      <c r="B407" s="2" t="s">
        <v>2777</v>
      </c>
      <c r="C407" s="2" t="s">
        <v>2778</v>
      </c>
      <c r="D407" s="2" t="s">
        <v>2779</v>
      </c>
      <c r="E407" s="2" t="s">
        <v>2780</v>
      </c>
      <c r="F407" s="2" t="s">
        <v>237</v>
      </c>
      <c r="G407" s="2" t="s">
        <v>19</v>
      </c>
      <c r="H407" s="2">
        <v>95973</v>
      </c>
      <c r="I407" t="s">
        <v>6190</v>
      </c>
    </row>
    <row r="408" spans="1:9" x14ac:dyDescent="0.25">
      <c r="A408" s="2" t="s">
        <v>2782</v>
      </c>
      <c r="B408" s="2" t="s">
        <v>2783</v>
      </c>
      <c r="C408" s="2" t="s">
        <v>2784</v>
      </c>
      <c r="D408" s="2" t="s">
        <v>2785</v>
      </c>
      <c r="E408" s="2" t="s">
        <v>2786</v>
      </c>
      <c r="F408" s="2" t="s">
        <v>88</v>
      </c>
      <c r="G408" s="2" t="s">
        <v>19</v>
      </c>
      <c r="H408" s="2">
        <v>72215</v>
      </c>
      <c r="I408" t="s">
        <v>6190</v>
      </c>
    </row>
    <row r="409" spans="1:9" x14ac:dyDescent="0.25">
      <c r="A409" s="2" t="s">
        <v>2788</v>
      </c>
      <c r="B409" s="2" t="s">
        <v>2789</v>
      </c>
      <c r="C409" s="2"/>
      <c r="D409" s="2" t="s">
        <v>2790</v>
      </c>
      <c r="E409" s="2" t="s">
        <v>2791</v>
      </c>
      <c r="F409" s="2" t="s">
        <v>373</v>
      </c>
      <c r="G409" s="2" t="s">
        <v>318</v>
      </c>
      <c r="H409" s="2" t="s">
        <v>374</v>
      </c>
      <c r="I409" t="s">
        <v>6191</v>
      </c>
    </row>
    <row r="410" spans="1:9" x14ac:dyDescent="0.25">
      <c r="A410" s="2" t="s">
        <v>2793</v>
      </c>
      <c r="B410" s="2" t="s">
        <v>2794</v>
      </c>
      <c r="C410" s="2" t="s">
        <v>2795</v>
      </c>
      <c r="D410" s="2" t="s">
        <v>2796</v>
      </c>
      <c r="E410" s="2" t="s">
        <v>2797</v>
      </c>
      <c r="F410" s="2" t="s">
        <v>304</v>
      </c>
      <c r="G410" s="2" t="s">
        <v>19</v>
      </c>
      <c r="H410" s="2">
        <v>8922</v>
      </c>
      <c r="I410" t="s">
        <v>6190</v>
      </c>
    </row>
    <row r="411" spans="1:9" x14ac:dyDescent="0.25">
      <c r="A411" s="2" t="s">
        <v>2799</v>
      </c>
      <c r="B411" s="2" t="s">
        <v>2800</v>
      </c>
      <c r="C411" s="2"/>
      <c r="D411" s="2" t="s">
        <v>2801</v>
      </c>
      <c r="E411" s="2" t="s">
        <v>2802</v>
      </c>
      <c r="F411" s="2" t="s">
        <v>486</v>
      </c>
      <c r="G411" s="2" t="s">
        <v>318</v>
      </c>
      <c r="H411" s="2" t="s">
        <v>487</v>
      </c>
      <c r="I411" t="s">
        <v>6190</v>
      </c>
    </row>
    <row r="412" spans="1:9" x14ac:dyDescent="0.25">
      <c r="A412" s="2" t="s">
        <v>2804</v>
      </c>
      <c r="B412" s="2" t="s">
        <v>2805</v>
      </c>
      <c r="C412" s="2"/>
      <c r="D412" s="2" t="s">
        <v>2806</v>
      </c>
      <c r="E412" s="2" t="s">
        <v>2807</v>
      </c>
      <c r="F412" s="2" t="s">
        <v>150</v>
      </c>
      <c r="G412" s="2" t="s">
        <v>19</v>
      </c>
      <c r="H412" s="2">
        <v>94132</v>
      </c>
      <c r="I412" t="s">
        <v>6191</v>
      </c>
    </row>
    <row r="413" spans="1:9" x14ac:dyDescent="0.25">
      <c r="A413" s="2" t="s">
        <v>2809</v>
      </c>
      <c r="B413" s="2" t="s">
        <v>2810</v>
      </c>
      <c r="C413" s="2"/>
      <c r="D413" s="2" t="s">
        <v>2811</v>
      </c>
      <c r="E413" s="2" t="s">
        <v>2812</v>
      </c>
      <c r="F413" s="2" t="s">
        <v>292</v>
      </c>
      <c r="G413" s="2" t="s">
        <v>19</v>
      </c>
      <c r="H413" s="2">
        <v>70505</v>
      </c>
      <c r="I413" t="s">
        <v>6190</v>
      </c>
    </row>
    <row r="414" spans="1:9" x14ac:dyDescent="0.25">
      <c r="A414" s="2" t="s">
        <v>2814</v>
      </c>
      <c r="B414" s="2" t="s">
        <v>2815</v>
      </c>
      <c r="C414" s="2"/>
      <c r="D414" s="2" t="s">
        <v>2816</v>
      </c>
      <c r="E414" s="2" t="s">
        <v>2817</v>
      </c>
      <c r="F414" s="2" t="s">
        <v>58</v>
      </c>
      <c r="G414" s="2" t="s">
        <v>19</v>
      </c>
      <c r="H414" s="2">
        <v>92191</v>
      </c>
      <c r="I414" t="s">
        <v>6190</v>
      </c>
    </row>
    <row r="415" spans="1:9" x14ac:dyDescent="0.25">
      <c r="A415" s="2" t="s">
        <v>2819</v>
      </c>
      <c r="B415" s="2" t="s">
        <v>2820</v>
      </c>
      <c r="C415" s="2" t="s">
        <v>2821</v>
      </c>
      <c r="D415" s="2" t="s">
        <v>2822</v>
      </c>
      <c r="E415" s="2" t="s">
        <v>2823</v>
      </c>
      <c r="F415" s="2" t="s">
        <v>109</v>
      </c>
      <c r="G415" s="2" t="s">
        <v>19</v>
      </c>
      <c r="H415" s="2">
        <v>91841</v>
      </c>
      <c r="I415" t="s">
        <v>6190</v>
      </c>
    </row>
    <row r="416" spans="1:9" x14ac:dyDescent="0.25">
      <c r="A416" s="2" t="s">
        <v>2825</v>
      </c>
      <c r="B416" s="2" t="s">
        <v>2826</v>
      </c>
      <c r="C416" s="2"/>
      <c r="D416" s="2" t="s">
        <v>2827</v>
      </c>
      <c r="E416" s="2" t="s">
        <v>2828</v>
      </c>
      <c r="F416" s="2" t="s">
        <v>185</v>
      </c>
      <c r="G416" s="2" t="s">
        <v>19</v>
      </c>
      <c r="H416" s="2">
        <v>75799</v>
      </c>
      <c r="I416" t="s">
        <v>6190</v>
      </c>
    </row>
    <row r="417" spans="1:9" x14ac:dyDescent="0.25">
      <c r="A417" s="2" t="s">
        <v>2830</v>
      </c>
      <c r="B417" s="2" t="s">
        <v>2831</v>
      </c>
      <c r="C417" s="2" t="s">
        <v>2832</v>
      </c>
      <c r="D417" s="2"/>
      <c r="E417" s="2" t="s">
        <v>2833</v>
      </c>
      <c r="F417" s="2" t="s">
        <v>292</v>
      </c>
      <c r="G417" s="2" t="s">
        <v>19</v>
      </c>
      <c r="H417" s="2">
        <v>70593</v>
      </c>
      <c r="I417" t="s">
        <v>6191</v>
      </c>
    </row>
    <row r="418" spans="1:9" x14ac:dyDescent="0.25">
      <c r="A418" s="2" t="s">
        <v>2835</v>
      </c>
      <c r="B418" s="2" t="s">
        <v>2836</v>
      </c>
      <c r="C418" s="2"/>
      <c r="D418" s="2" t="s">
        <v>2837</v>
      </c>
      <c r="E418" s="2" t="s">
        <v>2838</v>
      </c>
      <c r="F418" s="2" t="s">
        <v>203</v>
      </c>
      <c r="G418" s="2" t="s">
        <v>19</v>
      </c>
      <c r="H418" s="2">
        <v>45426</v>
      </c>
      <c r="I418" t="s">
        <v>6190</v>
      </c>
    </row>
    <row r="419" spans="1:9" x14ac:dyDescent="0.25">
      <c r="A419" s="2" t="s">
        <v>2840</v>
      </c>
      <c r="B419" s="2" t="s">
        <v>2841</v>
      </c>
      <c r="C419" s="2"/>
      <c r="D419" s="2" t="s">
        <v>2842</v>
      </c>
      <c r="E419" s="2" t="s">
        <v>2843</v>
      </c>
      <c r="F419" s="2" t="s">
        <v>184</v>
      </c>
      <c r="G419" s="2" t="s">
        <v>19</v>
      </c>
      <c r="H419" s="2">
        <v>85072</v>
      </c>
      <c r="I419" t="s">
        <v>6190</v>
      </c>
    </row>
    <row r="420" spans="1:9" x14ac:dyDescent="0.25">
      <c r="A420" s="2" t="s">
        <v>2845</v>
      </c>
      <c r="B420" s="2" t="s">
        <v>2846</v>
      </c>
      <c r="C420" s="2" t="s">
        <v>2847</v>
      </c>
      <c r="D420" s="2"/>
      <c r="E420" s="2" t="s">
        <v>2848</v>
      </c>
      <c r="F420" s="2" t="s">
        <v>131</v>
      </c>
      <c r="G420" s="2" t="s">
        <v>19</v>
      </c>
      <c r="H420" s="2">
        <v>94263</v>
      </c>
      <c r="I420" t="s">
        <v>6190</v>
      </c>
    </row>
    <row r="421" spans="1:9" x14ac:dyDescent="0.25">
      <c r="A421" s="2" t="s">
        <v>2850</v>
      </c>
      <c r="B421" s="2" t="s">
        <v>2851</v>
      </c>
      <c r="C421" s="2" t="s">
        <v>2852</v>
      </c>
      <c r="D421" s="2" t="s">
        <v>2853</v>
      </c>
      <c r="E421" s="2" t="s">
        <v>2854</v>
      </c>
      <c r="F421" s="2" t="s">
        <v>236</v>
      </c>
      <c r="G421" s="2" t="s">
        <v>19</v>
      </c>
      <c r="H421" s="2">
        <v>68505</v>
      </c>
      <c r="I421" t="s">
        <v>6190</v>
      </c>
    </row>
    <row r="422" spans="1:9" x14ac:dyDescent="0.25">
      <c r="A422" s="2" t="s">
        <v>2856</v>
      </c>
      <c r="B422" s="2" t="s">
        <v>2857</v>
      </c>
      <c r="C422" s="2" t="s">
        <v>2858</v>
      </c>
      <c r="D422" s="2" t="s">
        <v>2859</v>
      </c>
      <c r="E422" s="2" t="s">
        <v>2860</v>
      </c>
      <c r="F422" s="2" t="s">
        <v>172</v>
      </c>
      <c r="G422" s="2" t="s">
        <v>19</v>
      </c>
      <c r="H422" s="2">
        <v>17126</v>
      </c>
      <c r="I422" t="s">
        <v>6191</v>
      </c>
    </row>
    <row r="423" spans="1:9" x14ac:dyDescent="0.25">
      <c r="A423" s="2" t="s">
        <v>2861</v>
      </c>
      <c r="B423" s="2" t="s">
        <v>2862</v>
      </c>
      <c r="C423" s="2" t="s">
        <v>2863</v>
      </c>
      <c r="D423" s="2" t="s">
        <v>2864</v>
      </c>
      <c r="E423" s="2" t="s">
        <v>2865</v>
      </c>
      <c r="F423" s="2" t="s">
        <v>69</v>
      </c>
      <c r="G423" s="2" t="s">
        <v>19</v>
      </c>
      <c r="H423" s="2">
        <v>70174</v>
      </c>
      <c r="I423" t="s">
        <v>6190</v>
      </c>
    </row>
    <row r="424" spans="1:9" x14ac:dyDescent="0.25">
      <c r="A424" s="2" t="s">
        <v>2867</v>
      </c>
      <c r="B424" s="2" t="s">
        <v>2868</v>
      </c>
      <c r="C424" s="2"/>
      <c r="D424" s="2" t="s">
        <v>2869</v>
      </c>
      <c r="E424" s="2" t="s">
        <v>2870</v>
      </c>
      <c r="F424" s="2" t="s">
        <v>231</v>
      </c>
      <c r="G424" s="2" t="s">
        <v>19</v>
      </c>
      <c r="H424" s="2">
        <v>53726</v>
      </c>
      <c r="I424" t="s">
        <v>6191</v>
      </c>
    </row>
    <row r="425" spans="1:9" x14ac:dyDescent="0.25">
      <c r="A425" s="2" t="s">
        <v>2872</v>
      </c>
      <c r="B425" s="2" t="s">
        <v>2873</v>
      </c>
      <c r="C425" s="2"/>
      <c r="D425" s="2" t="s">
        <v>2874</v>
      </c>
      <c r="E425" s="2" t="s">
        <v>2875</v>
      </c>
      <c r="F425" s="2" t="s">
        <v>48</v>
      </c>
      <c r="G425" s="2" t="s">
        <v>19</v>
      </c>
      <c r="H425" s="2">
        <v>25336</v>
      </c>
      <c r="I425" t="s">
        <v>6191</v>
      </c>
    </row>
    <row r="426" spans="1:9" x14ac:dyDescent="0.25">
      <c r="A426" s="2" t="s">
        <v>2877</v>
      </c>
      <c r="B426" s="2" t="s">
        <v>2878</v>
      </c>
      <c r="C426" s="2" t="s">
        <v>2879</v>
      </c>
      <c r="D426" s="2" t="s">
        <v>2880</v>
      </c>
      <c r="E426" s="2" t="s">
        <v>2881</v>
      </c>
      <c r="F426" s="2" t="s">
        <v>88</v>
      </c>
      <c r="G426" s="2" t="s">
        <v>19</v>
      </c>
      <c r="H426" s="2">
        <v>72204</v>
      </c>
      <c r="I426" t="s">
        <v>6190</v>
      </c>
    </row>
    <row r="427" spans="1:9" x14ac:dyDescent="0.25">
      <c r="A427" s="2" t="s">
        <v>2883</v>
      </c>
      <c r="B427" s="2" t="s">
        <v>2884</v>
      </c>
      <c r="C427" s="2" t="s">
        <v>2885</v>
      </c>
      <c r="D427" s="2" t="s">
        <v>2886</v>
      </c>
      <c r="E427" s="2" t="s">
        <v>2887</v>
      </c>
      <c r="F427" s="2" t="s">
        <v>72</v>
      </c>
      <c r="G427" s="2" t="s">
        <v>19</v>
      </c>
      <c r="H427" s="2">
        <v>99507</v>
      </c>
      <c r="I427" t="s">
        <v>6191</v>
      </c>
    </row>
    <row r="428" spans="1:9" x14ac:dyDescent="0.25">
      <c r="A428" s="2" t="s">
        <v>2889</v>
      </c>
      <c r="B428" s="2" t="s">
        <v>2890</v>
      </c>
      <c r="C428" s="2" t="s">
        <v>2891</v>
      </c>
      <c r="D428" s="2" t="s">
        <v>2892</v>
      </c>
      <c r="E428" s="2" t="s">
        <v>2893</v>
      </c>
      <c r="F428" s="2" t="s">
        <v>380</v>
      </c>
      <c r="G428" s="2" t="s">
        <v>318</v>
      </c>
      <c r="H428" s="2" t="s">
        <v>381</v>
      </c>
      <c r="I428" t="s">
        <v>6190</v>
      </c>
    </row>
    <row r="429" spans="1:9" x14ac:dyDescent="0.25">
      <c r="A429" s="2" t="s">
        <v>2895</v>
      </c>
      <c r="B429" s="2" t="s">
        <v>2896</v>
      </c>
      <c r="C429" s="2"/>
      <c r="D429" s="2" t="s">
        <v>2897</v>
      </c>
      <c r="E429" s="2" t="s">
        <v>2898</v>
      </c>
      <c r="F429" s="2" t="s">
        <v>150</v>
      </c>
      <c r="G429" s="2" t="s">
        <v>19</v>
      </c>
      <c r="H429" s="2">
        <v>94110</v>
      </c>
      <c r="I429" t="s">
        <v>6190</v>
      </c>
    </row>
    <row r="430" spans="1:9" x14ac:dyDescent="0.25">
      <c r="A430" s="2" t="s">
        <v>2900</v>
      </c>
      <c r="B430" s="2" t="s">
        <v>2901</v>
      </c>
      <c r="C430" s="2" t="s">
        <v>2902</v>
      </c>
      <c r="D430" s="2" t="s">
        <v>2903</v>
      </c>
      <c r="E430" s="2" t="s">
        <v>2904</v>
      </c>
      <c r="F430" s="2" t="s">
        <v>181</v>
      </c>
      <c r="G430" s="2" t="s">
        <v>19</v>
      </c>
      <c r="H430" s="2">
        <v>44485</v>
      </c>
      <c r="I430" t="s">
        <v>6191</v>
      </c>
    </row>
    <row r="431" spans="1:9" x14ac:dyDescent="0.25">
      <c r="A431" s="2" t="s">
        <v>2906</v>
      </c>
      <c r="B431" s="2" t="s">
        <v>2907</v>
      </c>
      <c r="C431" s="2" t="s">
        <v>2908</v>
      </c>
      <c r="D431" s="2" t="s">
        <v>2909</v>
      </c>
      <c r="E431" s="2" t="s">
        <v>2910</v>
      </c>
      <c r="F431" s="2" t="s">
        <v>233</v>
      </c>
      <c r="G431" s="2" t="s">
        <v>19</v>
      </c>
      <c r="H431" s="2">
        <v>23324</v>
      </c>
      <c r="I431" t="s">
        <v>6191</v>
      </c>
    </row>
    <row r="432" spans="1:9" x14ac:dyDescent="0.25">
      <c r="A432" s="2" t="s">
        <v>2912</v>
      </c>
      <c r="B432" s="2" t="s">
        <v>2913</v>
      </c>
      <c r="C432" s="2" t="s">
        <v>2914</v>
      </c>
      <c r="D432" s="2" t="s">
        <v>2915</v>
      </c>
      <c r="E432" s="2" t="s">
        <v>2916</v>
      </c>
      <c r="F432" s="2" t="s">
        <v>93</v>
      </c>
      <c r="G432" s="2" t="s">
        <v>19</v>
      </c>
      <c r="H432" s="2">
        <v>39236</v>
      </c>
      <c r="I432" t="s">
        <v>6190</v>
      </c>
    </row>
    <row r="433" spans="1:9" x14ac:dyDescent="0.25">
      <c r="A433" s="2" t="s">
        <v>2918</v>
      </c>
      <c r="B433" s="2" t="s">
        <v>2919</v>
      </c>
      <c r="C433" s="2" t="s">
        <v>2920</v>
      </c>
      <c r="D433" s="2" t="s">
        <v>2921</v>
      </c>
      <c r="E433" s="2" t="s">
        <v>2922</v>
      </c>
      <c r="F433" s="2" t="s">
        <v>337</v>
      </c>
      <c r="G433" s="2" t="s">
        <v>318</v>
      </c>
      <c r="H433" s="2" t="s">
        <v>338</v>
      </c>
      <c r="I433" t="s">
        <v>6190</v>
      </c>
    </row>
    <row r="434" spans="1:9" x14ac:dyDescent="0.25">
      <c r="A434" s="2" t="s">
        <v>2924</v>
      </c>
      <c r="B434" s="2" t="s">
        <v>2925</v>
      </c>
      <c r="C434" s="2"/>
      <c r="D434" s="2" t="s">
        <v>2926</v>
      </c>
      <c r="E434" s="2" t="s">
        <v>2927</v>
      </c>
      <c r="F434" s="2" t="s">
        <v>45</v>
      </c>
      <c r="G434" s="2" t="s">
        <v>19</v>
      </c>
      <c r="H434" s="2">
        <v>53277</v>
      </c>
      <c r="I434" t="s">
        <v>6191</v>
      </c>
    </row>
    <row r="435" spans="1:9" x14ac:dyDescent="0.25">
      <c r="A435" s="2" t="s">
        <v>2929</v>
      </c>
      <c r="B435" s="2" t="s">
        <v>2930</v>
      </c>
      <c r="C435" s="2" t="s">
        <v>2931</v>
      </c>
      <c r="D435" s="2" t="s">
        <v>2932</v>
      </c>
      <c r="E435" s="2" t="s">
        <v>2933</v>
      </c>
      <c r="F435" s="2" t="s">
        <v>131</v>
      </c>
      <c r="G435" s="2" t="s">
        <v>19</v>
      </c>
      <c r="H435" s="2">
        <v>94250</v>
      </c>
      <c r="I435" t="s">
        <v>6190</v>
      </c>
    </row>
    <row r="436" spans="1:9" x14ac:dyDescent="0.25">
      <c r="A436" s="2" t="s">
        <v>2935</v>
      </c>
      <c r="B436" s="2" t="s">
        <v>2936</v>
      </c>
      <c r="C436" s="2"/>
      <c r="D436" s="2" t="s">
        <v>2937</v>
      </c>
      <c r="E436" s="2" t="s">
        <v>2938</v>
      </c>
      <c r="F436" s="2" t="s">
        <v>241</v>
      </c>
      <c r="G436" s="2" t="s">
        <v>19</v>
      </c>
      <c r="H436" s="2">
        <v>2298</v>
      </c>
      <c r="I436" t="s">
        <v>6191</v>
      </c>
    </row>
    <row r="437" spans="1:9" x14ac:dyDescent="0.25">
      <c r="A437" s="2" t="s">
        <v>2940</v>
      </c>
      <c r="B437" s="2" t="s">
        <v>2941</v>
      </c>
      <c r="C437" s="2" t="s">
        <v>2942</v>
      </c>
      <c r="D437" s="2" t="s">
        <v>2943</v>
      </c>
      <c r="E437" s="2" t="s">
        <v>2944</v>
      </c>
      <c r="F437" s="2" t="s">
        <v>148</v>
      </c>
      <c r="G437" s="2" t="s">
        <v>19</v>
      </c>
      <c r="H437" s="2">
        <v>66622</v>
      </c>
      <c r="I437" t="s">
        <v>6191</v>
      </c>
    </row>
    <row r="438" spans="1:9" x14ac:dyDescent="0.25">
      <c r="A438" s="2" t="s">
        <v>2946</v>
      </c>
      <c r="B438" s="2" t="s">
        <v>2947</v>
      </c>
      <c r="C438" s="2" t="s">
        <v>2948</v>
      </c>
      <c r="D438" s="2" t="s">
        <v>2949</v>
      </c>
      <c r="E438" s="2" t="s">
        <v>2950</v>
      </c>
      <c r="F438" s="2" t="s">
        <v>97</v>
      </c>
      <c r="G438" s="2" t="s">
        <v>19</v>
      </c>
      <c r="H438" s="2">
        <v>58122</v>
      </c>
      <c r="I438" t="s">
        <v>6190</v>
      </c>
    </row>
    <row r="439" spans="1:9" x14ac:dyDescent="0.25">
      <c r="A439" s="2" t="s">
        <v>2952</v>
      </c>
      <c r="B439" s="2" t="s">
        <v>2953</v>
      </c>
      <c r="C439" s="2"/>
      <c r="D439" s="2" t="s">
        <v>2954</v>
      </c>
      <c r="E439" s="2" t="s">
        <v>2955</v>
      </c>
      <c r="F439" s="2" t="s">
        <v>63</v>
      </c>
      <c r="G439" s="2" t="s">
        <v>19</v>
      </c>
      <c r="H439" s="2">
        <v>77095</v>
      </c>
      <c r="I439" t="s">
        <v>6191</v>
      </c>
    </row>
    <row r="440" spans="1:9" x14ac:dyDescent="0.25">
      <c r="A440" s="2" t="s">
        <v>2957</v>
      </c>
      <c r="B440" s="2" t="s">
        <v>2958</v>
      </c>
      <c r="C440" s="2" t="s">
        <v>2959</v>
      </c>
      <c r="D440" s="2" t="s">
        <v>2960</v>
      </c>
      <c r="E440" s="2" t="s">
        <v>2961</v>
      </c>
      <c r="F440" s="2" t="s">
        <v>77</v>
      </c>
      <c r="G440" s="2" t="s">
        <v>19</v>
      </c>
      <c r="H440" s="2">
        <v>73190</v>
      </c>
      <c r="I440" t="s">
        <v>6191</v>
      </c>
    </row>
    <row r="441" spans="1:9" x14ac:dyDescent="0.25">
      <c r="A441" s="2" t="s">
        <v>2963</v>
      </c>
      <c r="B441" s="2" t="s">
        <v>2964</v>
      </c>
      <c r="C441" s="2" t="s">
        <v>2965</v>
      </c>
      <c r="D441" s="2" t="s">
        <v>2966</v>
      </c>
      <c r="E441" s="2" t="s">
        <v>2967</v>
      </c>
      <c r="F441" s="2" t="s">
        <v>474</v>
      </c>
      <c r="G441" s="2" t="s">
        <v>318</v>
      </c>
      <c r="H441" s="2" t="s">
        <v>416</v>
      </c>
      <c r="I441" t="s">
        <v>6191</v>
      </c>
    </row>
    <row r="442" spans="1:9" x14ac:dyDescent="0.25">
      <c r="A442" s="2" t="s">
        <v>2969</v>
      </c>
      <c r="B442" s="2" t="s">
        <v>2970</v>
      </c>
      <c r="C442" s="2" t="s">
        <v>2971</v>
      </c>
      <c r="D442" s="2" t="s">
        <v>2972</v>
      </c>
      <c r="E442" s="2" t="s">
        <v>2973</v>
      </c>
      <c r="F442" s="2" t="s">
        <v>120</v>
      </c>
      <c r="G442" s="2" t="s">
        <v>19</v>
      </c>
      <c r="H442" s="2">
        <v>14205</v>
      </c>
      <c r="I442" t="s">
        <v>6190</v>
      </c>
    </row>
    <row r="443" spans="1:9" x14ac:dyDescent="0.25">
      <c r="A443" s="2" t="s">
        <v>2975</v>
      </c>
      <c r="B443" s="2" t="s">
        <v>2976</v>
      </c>
      <c r="C443" s="2" t="s">
        <v>2977</v>
      </c>
      <c r="D443" s="2" t="s">
        <v>2978</v>
      </c>
      <c r="E443" s="2" t="s">
        <v>2979</v>
      </c>
      <c r="F443" s="2" t="s">
        <v>2031</v>
      </c>
      <c r="G443" s="2" t="s">
        <v>318</v>
      </c>
      <c r="H443" s="2" t="s">
        <v>454</v>
      </c>
      <c r="I443" t="s">
        <v>6190</v>
      </c>
    </row>
    <row r="444" spans="1:9" x14ac:dyDescent="0.25">
      <c r="A444" s="2" t="s">
        <v>2981</v>
      </c>
      <c r="B444" s="2" t="s">
        <v>2982</v>
      </c>
      <c r="C444" s="2" t="s">
        <v>2983</v>
      </c>
      <c r="D444" s="2" t="s">
        <v>2984</v>
      </c>
      <c r="E444" s="2" t="s">
        <v>2985</v>
      </c>
      <c r="F444" s="2" t="s">
        <v>294</v>
      </c>
      <c r="G444" s="2" t="s">
        <v>19</v>
      </c>
      <c r="H444" s="2">
        <v>18018</v>
      </c>
      <c r="I444" t="s">
        <v>6191</v>
      </c>
    </row>
    <row r="445" spans="1:9" x14ac:dyDescent="0.25">
      <c r="A445" s="2" t="s">
        <v>2987</v>
      </c>
      <c r="B445" s="2" t="s">
        <v>2988</v>
      </c>
      <c r="C445" s="2" t="s">
        <v>2989</v>
      </c>
      <c r="D445" s="2" t="s">
        <v>2990</v>
      </c>
      <c r="E445" s="2" t="s">
        <v>2991</v>
      </c>
      <c r="F445" s="2" t="s">
        <v>465</v>
      </c>
      <c r="G445" s="2" t="s">
        <v>318</v>
      </c>
      <c r="H445" s="2" t="s">
        <v>383</v>
      </c>
      <c r="I445" t="s">
        <v>6190</v>
      </c>
    </row>
    <row r="446" spans="1:9" x14ac:dyDescent="0.25">
      <c r="A446" s="2" t="s">
        <v>2993</v>
      </c>
      <c r="B446" s="2" t="s">
        <v>2994</v>
      </c>
      <c r="C446" s="2" t="s">
        <v>2995</v>
      </c>
      <c r="D446" s="2" t="s">
        <v>2996</v>
      </c>
      <c r="E446" s="2" t="s">
        <v>2997</v>
      </c>
      <c r="F446" s="2" t="s">
        <v>2998</v>
      </c>
      <c r="G446" s="2" t="s">
        <v>318</v>
      </c>
      <c r="H446" s="2" t="s">
        <v>395</v>
      </c>
      <c r="I446" t="s">
        <v>6191</v>
      </c>
    </row>
    <row r="447" spans="1:9" x14ac:dyDescent="0.25">
      <c r="A447" s="2" t="s">
        <v>3000</v>
      </c>
      <c r="B447" s="2" t="s">
        <v>3001</v>
      </c>
      <c r="C447" s="2" t="s">
        <v>3002</v>
      </c>
      <c r="D447" s="2"/>
      <c r="E447" s="2" t="s">
        <v>3003</v>
      </c>
      <c r="F447" s="2" t="s">
        <v>390</v>
      </c>
      <c r="G447" s="2" t="s">
        <v>318</v>
      </c>
      <c r="H447" s="2" t="s">
        <v>348</v>
      </c>
      <c r="I447" t="s">
        <v>6190</v>
      </c>
    </row>
    <row r="448" spans="1:9" x14ac:dyDescent="0.25">
      <c r="A448" s="2" t="s">
        <v>3005</v>
      </c>
      <c r="B448" s="2" t="s">
        <v>3006</v>
      </c>
      <c r="C448" s="2" t="s">
        <v>3007</v>
      </c>
      <c r="D448" s="2" t="s">
        <v>3008</v>
      </c>
      <c r="E448" s="2" t="s">
        <v>3009</v>
      </c>
      <c r="F448" s="2" t="s">
        <v>144</v>
      </c>
      <c r="G448" s="2" t="s">
        <v>28</v>
      </c>
      <c r="H448" s="2" t="s">
        <v>215</v>
      </c>
      <c r="I448" t="s">
        <v>6190</v>
      </c>
    </row>
    <row r="449" spans="1:9" x14ac:dyDescent="0.25">
      <c r="A449" s="2" t="s">
        <v>3011</v>
      </c>
      <c r="B449" s="2" t="s">
        <v>3012</v>
      </c>
      <c r="C449" s="2" t="s">
        <v>3013</v>
      </c>
      <c r="D449" s="2"/>
      <c r="E449" s="2" t="s">
        <v>3014</v>
      </c>
      <c r="F449" s="2" t="s">
        <v>184</v>
      </c>
      <c r="G449" s="2" t="s">
        <v>19</v>
      </c>
      <c r="H449" s="2">
        <v>85099</v>
      </c>
      <c r="I449" t="s">
        <v>6191</v>
      </c>
    </row>
    <row r="450" spans="1:9" x14ac:dyDescent="0.25">
      <c r="A450" s="2" t="s">
        <v>3016</v>
      </c>
      <c r="B450" s="2" t="s">
        <v>3017</v>
      </c>
      <c r="C450" s="2" t="s">
        <v>3018</v>
      </c>
      <c r="D450" s="2" t="s">
        <v>3019</v>
      </c>
      <c r="E450" s="2" t="s">
        <v>3020</v>
      </c>
      <c r="F450" s="2" t="s">
        <v>344</v>
      </c>
      <c r="G450" s="2" t="s">
        <v>318</v>
      </c>
      <c r="H450" s="2" t="s">
        <v>345</v>
      </c>
      <c r="I450" t="s">
        <v>6191</v>
      </c>
    </row>
    <row r="451" spans="1:9" x14ac:dyDescent="0.25">
      <c r="A451" s="2" t="s">
        <v>3022</v>
      </c>
      <c r="B451" s="2" t="s">
        <v>3023</v>
      </c>
      <c r="C451" s="2" t="s">
        <v>3024</v>
      </c>
      <c r="D451" s="2" t="s">
        <v>3025</v>
      </c>
      <c r="E451" s="2" t="s">
        <v>3026</v>
      </c>
      <c r="F451" s="2" t="s">
        <v>260</v>
      </c>
      <c r="G451" s="2" t="s">
        <v>19</v>
      </c>
      <c r="H451" s="2">
        <v>43610</v>
      </c>
      <c r="I451" t="s">
        <v>6191</v>
      </c>
    </row>
    <row r="452" spans="1:9" x14ac:dyDescent="0.25">
      <c r="A452" s="2" t="s">
        <v>3028</v>
      </c>
      <c r="B452" s="2" t="s">
        <v>3029</v>
      </c>
      <c r="C452" s="2" t="s">
        <v>3030</v>
      </c>
      <c r="D452" s="2" t="s">
        <v>3031</v>
      </c>
      <c r="E452" s="2" t="s">
        <v>3032</v>
      </c>
      <c r="F452" s="2" t="s">
        <v>3033</v>
      </c>
      <c r="G452" s="2" t="s">
        <v>318</v>
      </c>
      <c r="H452" s="2" t="s">
        <v>3034</v>
      </c>
      <c r="I452" t="s">
        <v>6191</v>
      </c>
    </row>
    <row r="453" spans="1:9" x14ac:dyDescent="0.25">
      <c r="A453" s="2" t="s">
        <v>3036</v>
      </c>
      <c r="B453" s="2" t="s">
        <v>3037</v>
      </c>
      <c r="C453" s="2" t="s">
        <v>3038</v>
      </c>
      <c r="D453" s="2" t="s">
        <v>3039</v>
      </c>
      <c r="E453" s="2" t="s">
        <v>3040</v>
      </c>
      <c r="F453" s="2" t="s">
        <v>35</v>
      </c>
      <c r="G453" s="2" t="s">
        <v>19</v>
      </c>
      <c r="H453" s="2">
        <v>28210</v>
      </c>
      <c r="I453" t="s">
        <v>6190</v>
      </c>
    </row>
    <row r="454" spans="1:9" x14ac:dyDescent="0.25">
      <c r="A454" s="2" t="s">
        <v>3042</v>
      </c>
      <c r="B454" s="2" t="s">
        <v>3043</v>
      </c>
      <c r="C454" s="2" t="s">
        <v>3044</v>
      </c>
      <c r="D454" s="2" t="s">
        <v>3045</v>
      </c>
      <c r="E454" s="2" t="s">
        <v>3046</v>
      </c>
      <c r="F454" s="2" t="s">
        <v>105</v>
      </c>
      <c r="G454" s="2" t="s">
        <v>19</v>
      </c>
      <c r="H454" s="2">
        <v>98109</v>
      </c>
      <c r="I454" t="s">
        <v>6191</v>
      </c>
    </row>
    <row r="455" spans="1:9" x14ac:dyDescent="0.25">
      <c r="A455" s="2" t="s">
        <v>3048</v>
      </c>
      <c r="B455" s="2" t="s">
        <v>3049</v>
      </c>
      <c r="C455" s="2" t="s">
        <v>3050</v>
      </c>
      <c r="D455" s="2" t="s">
        <v>3051</v>
      </c>
      <c r="E455" s="2" t="s">
        <v>3052</v>
      </c>
      <c r="F455" s="2" t="s">
        <v>202</v>
      </c>
      <c r="G455" s="2" t="s">
        <v>19</v>
      </c>
      <c r="H455" s="2">
        <v>18706</v>
      </c>
      <c r="I455" t="s">
        <v>6191</v>
      </c>
    </row>
    <row r="456" spans="1:9" x14ac:dyDescent="0.25">
      <c r="A456" s="2" t="s">
        <v>3054</v>
      </c>
      <c r="B456" s="2" t="s">
        <v>3055</v>
      </c>
      <c r="C456" s="2" t="s">
        <v>3056</v>
      </c>
      <c r="D456" s="2"/>
      <c r="E456" s="2" t="s">
        <v>3057</v>
      </c>
      <c r="F456" s="2" t="s">
        <v>449</v>
      </c>
      <c r="G456" s="2" t="s">
        <v>318</v>
      </c>
      <c r="H456" s="2" t="s">
        <v>330</v>
      </c>
      <c r="I456" t="s">
        <v>6190</v>
      </c>
    </row>
    <row r="457" spans="1:9" x14ac:dyDescent="0.25">
      <c r="A457" s="2" t="s">
        <v>3059</v>
      </c>
      <c r="B457" s="2" t="s">
        <v>3060</v>
      </c>
      <c r="C457" s="2" t="s">
        <v>3061</v>
      </c>
      <c r="D457" s="2" t="s">
        <v>3062</v>
      </c>
      <c r="E457" s="2" t="s">
        <v>3063</v>
      </c>
      <c r="F457" s="2" t="s">
        <v>488</v>
      </c>
      <c r="G457" s="2" t="s">
        <v>318</v>
      </c>
      <c r="H457" s="2" t="s">
        <v>363</v>
      </c>
      <c r="I457" t="s">
        <v>6190</v>
      </c>
    </row>
    <row r="458" spans="1:9" x14ac:dyDescent="0.25">
      <c r="A458" s="2" t="s">
        <v>3065</v>
      </c>
      <c r="B458" s="2" t="s">
        <v>3066</v>
      </c>
      <c r="C458" s="2" t="s">
        <v>3067</v>
      </c>
      <c r="D458" s="2" t="s">
        <v>3068</v>
      </c>
      <c r="E458" s="2" t="s">
        <v>3069</v>
      </c>
      <c r="F458" s="2" t="s">
        <v>284</v>
      </c>
      <c r="G458" s="2" t="s">
        <v>28</v>
      </c>
      <c r="H458" s="2" t="s">
        <v>285</v>
      </c>
      <c r="I458" t="s">
        <v>6191</v>
      </c>
    </row>
    <row r="459" spans="1:9" x14ac:dyDescent="0.25">
      <c r="A459" s="2" t="s">
        <v>3071</v>
      </c>
      <c r="B459" s="2" t="s">
        <v>3072</v>
      </c>
      <c r="C459" s="2" t="s">
        <v>3073</v>
      </c>
      <c r="D459" s="2" t="s">
        <v>3074</v>
      </c>
      <c r="E459" s="2" t="s">
        <v>3075</v>
      </c>
      <c r="F459" s="2" t="s">
        <v>219</v>
      </c>
      <c r="G459" s="2" t="s">
        <v>19</v>
      </c>
      <c r="H459" s="2">
        <v>14652</v>
      </c>
      <c r="I459" t="s">
        <v>6191</v>
      </c>
    </row>
    <row r="460" spans="1:9" x14ac:dyDescent="0.25">
      <c r="A460" s="2" t="s">
        <v>3077</v>
      </c>
      <c r="B460" s="2" t="s">
        <v>3078</v>
      </c>
      <c r="C460" s="2" t="s">
        <v>3079</v>
      </c>
      <c r="D460" s="2" t="s">
        <v>3080</v>
      </c>
      <c r="E460" s="2" t="s">
        <v>3081</v>
      </c>
      <c r="F460" s="2" t="s">
        <v>126</v>
      </c>
      <c r="G460" s="2" t="s">
        <v>19</v>
      </c>
      <c r="H460" s="2">
        <v>85754</v>
      </c>
      <c r="I460" t="s">
        <v>6191</v>
      </c>
    </row>
    <row r="461" spans="1:9" x14ac:dyDescent="0.25">
      <c r="A461" s="2" t="s">
        <v>3083</v>
      </c>
      <c r="B461" s="2" t="s">
        <v>3084</v>
      </c>
      <c r="C461" s="2" t="s">
        <v>3085</v>
      </c>
      <c r="D461" s="2" t="s">
        <v>3086</v>
      </c>
      <c r="E461" s="2" t="s">
        <v>3087</v>
      </c>
      <c r="F461" s="2" t="s">
        <v>33</v>
      </c>
      <c r="G461" s="2" t="s">
        <v>19</v>
      </c>
      <c r="H461" s="2">
        <v>55480</v>
      </c>
      <c r="I461" t="s">
        <v>6191</v>
      </c>
    </row>
    <row r="462" spans="1:9" x14ac:dyDescent="0.25">
      <c r="A462" s="2" t="s">
        <v>3089</v>
      </c>
      <c r="B462" s="2" t="s">
        <v>3090</v>
      </c>
      <c r="C462" s="2" t="s">
        <v>3091</v>
      </c>
      <c r="D462" s="2" t="s">
        <v>3092</v>
      </c>
      <c r="E462" s="2" t="s">
        <v>3093</v>
      </c>
      <c r="F462" s="2" t="s">
        <v>399</v>
      </c>
      <c r="G462" s="2" t="s">
        <v>318</v>
      </c>
      <c r="H462" s="2" t="s">
        <v>400</v>
      </c>
      <c r="I462" t="s">
        <v>6190</v>
      </c>
    </row>
    <row r="463" spans="1:9" x14ac:dyDescent="0.25">
      <c r="A463" s="2" t="s">
        <v>3095</v>
      </c>
      <c r="B463" s="2" t="s">
        <v>3096</v>
      </c>
      <c r="C463" s="2" t="s">
        <v>3097</v>
      </c>
      <c r="D463" s="2" t="s">
        <v>3098</v>
      </c>
      <c r="E463" s="2" t="s">
        <v>3099</v>
      </c>
      <c r="F463" s="2" t="s">
        <v>85</v>
      </c>
      <c r="G463" s="2" t="s">
        <v>28</v>
      </c>
      <c r="H463" s="2" t="s">
        <v>86</v>
      </c>
      <c r="I463" t="s">
        <v>6190</v>
      </c>
    </row>
    <row r="464" spans="1:9" x14ac:dyDescent="0.25">
      <c r="A464" s="2" t="s">
        <v>3101</v>
      </c>
      <c r="B464" s="2" t="s">
        <v>3102</v>
      </c>
      <c r="C464" s="2" t="s">
        <v>3103</v>
      </c>
      <c r="D464" s="2" t="s">
        <v>3104</v>
      </c>
      <c r="E464" s="2" t="s">
        <v>3105</v>
      </c>
      <c r="F464" s="2" t="s">
        <v>84</v>
      </c>
      <c r="G464" s="2" t="s">
        <v>19</v>
      </c>
      <c r="H464" s="2">
        <v>31119</v>
      </c>
      <c r="I464" t="s">
        <v>6190</v>
      </c>
    </row>
    <row r="465" spans="1:9" x14ac:dyDescent="0.25">
      <c r="A465" s="2" t="s">
        <v>3107</v>
      </c>
      <c r="B465" s="2" t="s">
        <v>3108</v>
      </c>
      <c r="C465" s="2" t="s">
        <v>3109</v>
      </c>
      <c r="D465" s="2" t="s">
        <v>3110</v>
      </c>
      <c r="E465" s="2" t="s">
        <v>3111</v>
      </c>
      <c r="F465" s="2" t="s">
        <v>439</v>
      </c>
      <c r="G465" s="2" t="s">
        <v>318</v>
      </c>
      <c r="H465" s="2" t="s">
        <v>346</v>
      </c>
      <c r="I465" t="s">
        <v>6191</v>
      </c>
    </row>
    <row r="466" spans="1:9" x14ac:dyDescent="0.25">
      <c r="A466" s="2" t="s">
        <v>3113</v>
      </c>
      <c r="B466" s="2" t="s">
        <v>3114</v>
      </c>
      <c r="C466" s="2" t="s">
        <v>3115</v>
      </c>
      <c r="D466" s="2" t="s">
        <v>3116</v>
      </c>
      <c r="E466" s="2" t="s">
        <v>3117</v>
      </c>
      <c r="F466" s="2" t="s">
        <v>299</v>
      </c>
      <c r="G466" s="2" t="s">
        <v>28</v>
      </c>
      <c r="H466" s="2" t="s">
        <v>300</v>
      </c>
      <c r="I466" t="s">
        <v>6191</v>
      </c>
    </row>
    <row r="467" spans="1:9" x14ac:dyDescent="0.25">
      <c r="A467" s="2" t="s">
        <v>3119</v>
      </c>
      <c r="B467" s="2" t="s">
        <v>3120</v>
      </c>
      <c r="C467" s="2" t="s">
        <v>3121</v>
      </c>
      <c r="D467" s="2" t="s">
        <v>3122</v>
      </c>
      <c r="E467" s="2" t="s">
        <v>3123</v>
      </c>
      <c r="F467" s="2" t="s">
        <v>49</v>
      </c>
      <c r="G467" s="2" t="s">
        <v>19</v>
      </c>
      <c r="H467" s="2">
        <v>37939</v>
      </c>
      <c r="I467" t="s">
        <v>6190</v>
      </c>
    </row>
    <row r="468" spans="1:9" x14ac:dyDescent="0.25">
      <c r="A468" s="2" t="s">
        <v>3125</v>
      </c>
      <c r="B468" s="2" t="s">
        <v>3126</v>
      </c>
      <c r="C468" s="2" t="s">
        <v>3127</v>
      </c>
      <c r="D468" s="2" t="s">
        <v>3128</v>
      </c>
      <c r="E468" s="2" t="s">
        <v>3129</v>
      </c>
      <c r="F468" s="2" t="s">
        <v>158</v>
      </c>
      <c r="G468" s="2" t="s">
        <v>19</v>
      </c>
      <c r="H468" s="2">
        <v>48604</v>
      </c>
      <c r="I468" t="s">
        <v>6190</v>
      </c>
    </row>
    <row r="469" spans="1:9" x14ac:dyDescent="0.25">
      <c r="A469" s="2" t="s">
        <v>3131</v>
      </c>
      <c r="B469" s="2" t="s">
        <v>3132</v>
      </c>
      <c r="C469" s="2" t="s">
        <v>3133</v>
      </c>
      <c r="D469" s="2" t="s">
        <v>3134</v>
      </c>
      <c r="E469" s="2" t="s">
        <v>3135</v>
      </c>
      <c r="F469" s="2" t="s">
        <v>201</v>
      </c>
      <c r="G469" s="2" t="s">
        <v>19</v>
      </c>
      <c r="H469" s="2">
        <v>32092</v>
      </c>
      <c r="I469" t="s">
        <v>6191</v>
      </c>
    </row>
    <row r="470" spans="1:9" x14ac:dyDescent="0.25">
      <c r="A470" s="2" t="s">
        <v>3137</v>
      </c>
      <c r="B470" s="2" t="s">
        <v>3138</v>
      </c>
      <c r="C470" s="2" t="s">
        <v>3139</v>
      </c>
      <c r="D470" s="2"/>
      <c r="E470" s="2" t="s">
        <v>3140</v>
      </c>
      <c r="F470" s="2" t="s">
        <v>140</v>
      </c>
      <c r="G470" s="2" t="s">
        <v>19</v>
      </c>
      <c r="H470" s="2">
        <v>94913</v>
      </c>
      <c r="I470" t="s">
        <v>6190</v>
      </c>
    </row>
    <row r="471" spans="1:9" x14ac:dyDescent="0.25">
      <c r="A471" s="2" t="s">
        <v>3142</v>
      </c>
      <c r="B471" s="2" t="s">
        <v>3143</v>
      </c>
      <c r="C471" s="2" t="s">
        <v>3144</v>
      </c>
      <c r="D471" s="2" t="s">
        <v>3145</v>
      </c>
      <c r="E471" s="2" t="s">
        <v>3146</v>
      </c>
      <c r="F471" s="2" t="s">
        <v>98</v>
      </c>
      <c r="G471" s="2" t="s">
        <v>19</v>
      </c>
      <c r="H471" s="2">
        <v>95113</v>
      </c>
      <c r="I471" t="s">
        <v>6190</v>
      </c>
    </row>
    <row r="472" spans="1:9" x14ac:dyDescent="0.25">
      <c r="A472" s="2" t="s">
        <v>3148</v>
      </c>
      <c r="B472" s="2" t="s">
        <v>3149</v>
      </c>
      <c r="C472" s="2" t="s">
        <v>3150</v>
      </c>
      <c r="D472" s="2" t="s">
        <v>3151</v>
      </c>
      <c r="E472" s="2" t="s">
        <v>3152</v>
      </c>
      <c r="F472" s="2" t="s">
        <v>259</v>
      </c>
      <c r="G472" s="2" t="s">
        <v>19</v>
      </c>
      <c r="H472" s="2">
        <v>30045</v>
      </c>
      <c r="I472" t="s">
        <v>6190</v>
      </c>
    </row>
    <row r="473" spans="1:9" x14ac:dyDescent="0.25">
      <c r="A473" s="2" t="s">
        <v>3154</v>
      </c>
      <c r="B473" s="2" t="s">
        <v>3155</v>
      </c>
      <c r="C473" s="2"/>
      <c r="D473" s="2" t="s">
        <v>3156</v>
      </c>
      <c r="E473" s="2" t="s">
        <v>3157</v>
      </c>
      <c r="F473" s="2" t="s">
        <v>148</v>
      </c>
      <c r="G473" s="2" t="s">
        <v>19</v>
      </c>
      <c r="H473" s="2">
        <v>66622</v>
      </c>
      <c r="I473" t="s">
        <v>6190</v>
      </c>
    </row>
    <row r="474" spans="1:9" x14ac:dyDescent="0.25">
      <c r="A474" s="2" t="s">
        <v>3159</v>
      </c>
      <c r="B474" s="2" t="s">
        <v>3160</v>
      </c>
      <c r="C474" s="2" t="s">
        <v>3161</v>
      </c>
      <c r="D474" s="2" t="s">
        <v>3162</v>
      </c>
      <c r="E474" s="2" t="s">
        <v>3163</v>
      </c>
      <c r="F474" s="2" t="s">
        <v>67</v>
      </c>
      <c r="G474" s="2" t="s">
        <v>19</v>
      </c>
      <c r="H474" s="2">
        <v>66276</v>
      </c>
      <c r="I474" t="s">
        <v>6191</v>
      </c>
    </row>
    <row r="475" spans="1:9" x14ac:dyDescent="0.25">
      <c r="A475" s="2" t="s">
        <v>3165</v>
      </c>
      <c r="B475" s="2" t="s">
        <v>3166</v>
      </c>
      <c r="C475" s="2" t="s">
        <v>3167</v>
      </c>
      <c r="D475" s="2" t="s">
        <v>3168</v>
      </c>
      <c r="E475" s="2" t="s">
        <v>3169</v>
      </c>
      <c r="F475" s="2" t="s">
        <v>105</v>
      </c>
      <c r="G475" s="2" t="s">
        <v>19</v>
      </c>
      <c r="H475" s="2">
        <v>98148</v>
      </c>
      <c r="I475" t="s">
        <v>6191</v>
      </c>
    </row>
    <row r="476" spans="1:9" x14ac:dyDescent="0.25">
      <c r="A476" s="2" t="s">
        <v>3171</v>
      </c>
      <c r="B476" s="2" t="s">
        <v>3172</v>
      </c>
      <c r="C476" s="2" t="s">
        <v>3173</v>
      </c>
      <c r="D476" s="2" t="s">
        <v>3174</v>
      </c>
      <c r="E476" s="2" t="s">
        <v>3175</v>
      </c>
      <c r="F476" s="2" t="s">
        <v>393</v>
      </c>
      <c r="G476" s="2" t="s">
        <v>318</v>
      </c>
      <c r="H476" s="2" t="s">
        <v>394</v>
      </c>
      <c r="I476" t="s">
        <v>6190</v>
      </c>
    </row>
    <row r="477" spans="1:9" x14ac:dyDescent="0.25">
      <c r="A477" s="2" t="s">
        <v>3177</v>
      </c>
      <c r="B477" s="2" t="s">
        <v>3178</v>
      </c>
      <c r="C477" s="2" t="s">
        <v>3179</v>
      </c>
      <c r="D477" s="2"/>
      <c r="E477" s="2" t="s">
        <v>3180</v>
      </c>
      <c r="F477" s="2" t="s">
        <v>315</v>
      </c>
      <c r="G477" s="2" t="s">
        <v>19</v>
      </c>
      <c r="H477" s="2">
        <v>34745</v>
      </c>
      <c r="I477" t="s">
        <v>6191</v>
      </c>
    </row>
    <row r="478" spans="1:9" x14ac:dyDescent="0.25">
      <c r="A478" s="2" t="s">
        <v>3182</v>
      </c>
      <c r="B478" s="2" t="s">
        <v>3183</v>
      </c>
      <c r="C478" s="2" t="s">
        <v>3184</v>
      </c>
      <c r="D478" s="2" t="s">
        <v>3185</v>
      </c>
      <c r="E478" s="2" t="s">
        <v>3186</v>
      </c>
      <c r="F478" s="2" t="s">
        <v>219</v>
      </c>
      <c r="G478" s="2" t="s">
        <v>19</v>
      </c>
      <c r="H478" s="2">
        <v>14683</v>
      </c>
      <c r="I478" t="s">
        <v>6190</v>
      </c>
    </row>
    <row r="479" spans="1:9" x14ac:dyDescent="0.25">
      <c r="A479" s="2" t="s">
        <v>3188</v>
      </c>
      <c r="B479" s="2" t="s">
        <v>3189</v>
      </c>
      <c r="C479" s="2" t="s">
        <v>3190</v>
      </c>
      <c r="D479" s="2" t="s">
        <v>3191</v>
      </c>
      <c r="E479" s="2" t="s">
        <v>3192</v>
      </c>
      <c r="F479" s="2" t="s">
        <v>185</v>
      </c>
      <c r="G479" s="2" t="s">
        <v>19</v>
      </c>
      <c r="H479" s="2">
        <v>75799</v>
      </c>
      <c r="I479" t="s">
        <v>6191</v>
      </c>
    </row>
    <row r="480" spans="1:9" x14ac:dyDescent="0.25">
      <c r="A480" s="2" t="s">
        <v>3194</v>
      </c>
      <c r="B480" s="2" t="s">
        <v>3195</v>
      </c>
      <c r="C480" s="2" t="s">
        <v>3196</v>
      </c>
      <c r="D480" s="2" t="s">
        <v>3197</v>
      </c>
      <c r="E480" s="2" t="s">
        <v>3198</v>
      </c>
      <c r="F480" s="2" t="s">
        <v>89</v>
      </c>
      <c r="G480" s="2" t="s">
        <v>19</v>
      </c>
      <c r="H480" s="2">
        <v>11388</v>
      </c>
      <c r="I480" t="s">
        <v>6190</v>
      </c>
    </row>
    <row r="481" spans="1:9" x14ac:dyDescent="0.25">
      <c r="A481" s="2" t="s">
        <v>3199</v>
      </c>
      <c r="B481" s="2" t="s">
        <v>3200</v>
      </c>
      <c r="C481" s="2"/>
      <c r="D481" s="2" t="s">
        <v>3201</v>
      </c>
      <c r="E481" s="2" t="s">
        <v>3202</v>
      </c>
      <c r="F481" s="2" t="s">
        <v>34</v>
      </c>
      <c r="G481" s="2" t="s">
        <v>19</v>
      </c>
      <c r="H481" s="2">
        <v>20167</v>
      </c>
      <c r="I481" t="s">
        <v>6190</v>
      </c>
    </row>
    <row r="482" spans="1:9" x14ac:dyDescent="0.25">
      <c r="A482" s="2" t="s">
        <v>3203</v>
      </c>
      <c r="B482" s="2" t="s">
        <v>3204</v>
      </c>
      <c r="C482" s="2" t="s">
        <v>3205</v>
      </c>
      <c r="D482" s="2" t="s">
        <v>3206</v>
      </c>
      <c r="E482" s="2" t="s">
        <v>3207</v>
      </c>
      <c r="F482" s="2" t="s">
        <v>38</v>
      </c>
      <c r="G482" s="2" t="s">
        <v>19</v>
      </c>
      <c r="H482" s="2">
        <v>23203</v>
      </c>
      <c r="I482" t="s">
        <v>6191</v>
      </c>
    </row>
    <row r="483" spans="1:9" x14ac:dyDescent="0.25">
      <c r="A483" s="2" t="s">
        <v>3209</v>
      </c>
      <c r="B483" s="2" t="s">
        <v>3210</v>
      </c>
      <c r="C483" s="2" t="s">
        <v>3211</v>
      </c>
      <c r="D483" s="2" t="s">
        <v>3212</v>
      </c>
      <c r="E483" s="2" t="s">
        <v>3213</v>
      </c>
      <c r="F483" s="2" t="s">
        <v>251</v>
      </c>
      <c r="G483" s="2" t="s">
        <v>28</v>
      </c>
      <c r="H483" s="2" t="s">
        <v>114</v>
      </c>
      <c r="I483" t="s">
        <v>6191</v>
      </c>
    </row>
    <row r="484" spans="1:9" x14ac:dyDescent="0.25">
      <c r="A484" s="2" t="s">
        <v>3215</v>
      </c>
      <c r="B484" s="2" t="s">
        <v>3216</v>
      </c>
      <c r="C484" s="2" t="s">
        <v>3217</v>
      </c>
      <c r="D484" s="2" t="s">
        <v>3218</v>
      </c>
      <c r="E484" s="2" t="s">
        <v>3219</v>
      </c>
      <c r="F484" s="2" t="s">
        <v>164</v>
      </c>
      <c r="G484" s="2" t="s">
        <v>19</v>
      </c>
      <c r="H484" s="2">
        <v>22309</v>
      </c>
      <c r="I484" t="s">
        <v>6190</v>
      </c>
    </row>
    <row r="485" spans="1:9" x14ac:dyDescent="0.25">
      <c r="A485" s="2" t="s">
        <v>3221</v>
      </c>
      <c r="B485" s="2" t="s">
        <v>3222</v>
      </c>
      <c r="C485" s="2"/>
      <c r="D485" s="2" t="s">
        <v>3223</v>
      </c>
      <c r="E485" s="2" t="s">
        <v>3224</v>
      </c>
      <c r="F485" s="2" t="s">
        <v>216</v>
      </c>
      <c r="G485" s="2" t="s">
        <v>19</v>
      </c>
      <c r="H485" s="2">
        <v>84115</v>
      </c>
      <c r="I485" t="s">
        <v>6190</v>
      </c>
    </row>
    <row r="486" spans="1:9" x14ac:dyDescent="0.25">
      <c r="A486" s="2" t="s">
        <v>3226</v>
      </c>
      <c r="B486" s="2" t="s">
        <v>3227</v>
      </c>
      <c r="C486" s="2" t="s">
        <v>3228</v>
      </c>
      <c r="D486" s="2"/>
      <c r="E486" s="2" t="s">
        <v>3229</v>
      </c>
      <c r="F486" s="2" t="s">
        <v>98</v>
      </c>
      <c r="G486" s="2" t="s">
        <v>19</v>
      </c>
      <c r="H486" s="2">
        <v>95108</v>
      </c>
      <c r="I486" t="s">
        <v>6191</v>
      </c>
    </row>
    <row r="487" spans="1:9" x14ac:dyDescent="0.25">
      <c r="A487" s="2" t="s">
        <v>3231</v>
      </c>
      <c r="B487" s="2" t="s">
        <v>3232</v>
      </c>
      <c r="C487" s="2" t="s">
        <v>3233</v>
      </c>
      <c r="D487" s="2" t="s">
        <v>3234</v>
      </c>
      <c r="E487" s="2" t="s">
        <v>3235</v>
      </c>
      <c r="F487" s="2" t="s">
        <v>371</v>
      </c>
      <c r="G487" s="2" t="s">
        <v>318</v>
      </c>
      <c r="H487" s="2" t="s">
        <v>372</v>
      </c>
      <c r="I487" t="s">
        <v>6190</v>
      </c>
    </row>
    <row r="488" spans="1:9" x14ac:dyDescent="0.25">
      <c r="A488" s="2" t="s">
        <v>3237</v>
      </c>
      <c r="B488" s="2" t="s">
        <v>3238</v>
      </c>
      <c r="C488" s="2" t="s">
        <v>3239</v>
      </c>
      <c r="D488" s="2" t="s">
        <v>3240</v>
      </c>
      <c r="E488" s="2" t="s">
        <v>3241</v>
      </c>
      <c r="F488" s="2" t="s">
        <v>471</v>
      </c>
      <c r="G488" s="2" t="s">
        <v>318</v>
      </c>
      <c r="H488" s="2" t="s">
        <v>444</v>
      </c>
      <c r="I488" t="s">
        <v>6190</v>
      </c>
    </row>
    <row r="489" spans="1:9" x14ac:dyDescent="0.25">
      <c r="A489" s="2" t="s">
        <v>3243</v>
      </c>
      <c r="B489" s="2" t="s">
        <v>3244</v>
      </c>
      <c r="C489" s="2" t="s">
        <v>3245</v>
      </c>
      <c r="D489" s="2" t="s">
        <v>3246</v>
      </c>
      <c r="E489" s="2" t="s">
        <v>3247</v>
      </c>
      <c r="F489" s="2" t="s">
        <v>471</v>
      </c>
      <c r="G489" s="2" t="s">
        <v>318</v>
      </c>
      <c r="H489" s="2" t="s">
        <v>444</v>
      </c>
      <c r="I489" t="s">
        <v>6191</v>
      </c>
    </row>
    <row r="490" spans="1:9" x14ac:dyDescent="0.25">
      <c r="A490" s="2" t="s">
        <v>3249</v>
      </c>
      <c r="B490" s="2" t="s">
        <v>3250</v>
      </c>
      <c r="C490" s="2" t="s">
        <v>3251</v>
      </c>
      <c r="D490" s="2" t="s">
        <v>3252</v>
      </c>
      <c r="E490" s="2" t="s">
        <v>3253</v>
      </c>
      <c r="F490" s="2" t="s">
        <v>424</v>
      </c>
      <c r="G490" s="2" t="s">
        <v>318</v>
      </c>
      <c r="H490" s="2" t="s">
        <v>425</v>
      </c>
      <c r="I490" t="s">
        <v>6190</v>
      </c>
    </row>
    <row r="491" spans="1:9" x14ac:dyDescent="0.25">
      <c r="A491" s="2" t="s">
        <v>3255</v>
      </c>
      <c r="B491" s="2" t="s">
        <v>3256</v>
      </c>
      <c r="C491" s="2" t="s">
        <v>3257</v>
      </c>
      <c r="D491" s="2" t="s">
        <v>3258</v>
      </c>
      <c r="E491" s="2" t="s">
        <v>3259</v>
      </c>
      <c r="F491" s="2" t="s">
        <v>50</v>
      </c>
      <c r="G491" s="2" t="s">
        <v>19</v>
      </c>
      <c r="H491" s="2">
        <v>79945</v>
      </c>
      <c r="I491" t="s">
        <v>6191</v>
      </c>
    </row>
    <row r="492" spans="1:9" x14ac:dyDescent="0.25">
      <c r="A492" s="2" t="s">
        <v>3261</v>
      </c>
      <c r="B492" s="2" t="s">
        <v>3262</v>
      </c>
      <c r="C492" s="2" t="s">
        <v>3263</v>
      </c>
      <c r="D492" s="2" t="s">
        <v>3264</v>
      </c>
      <c r="E492" s="2" t="s">
        <v>3265</v>
      </c>
      <c r="F492" s="2" t="s">
        <v>271</v>
      </c>
      <c r="G492" s="2" t="s">
        <v>19</v>
      </c>
      <c r="H492" s="2">
        <v>33355</v>
      </c>
      <c r="I492" t="s">
        <v>6191</v>
      </c>
    </row>
    <row r="493" spans="1:9" x14ac:dyDescent="0.25">
      <c r="A493" s="2" t="s">
        <v>3267</v>
      </c>
      <c r="B493" s="2" t="s">
        <v>3268</v>
      </c>
      <c r="C493" s="2"/>
      <c r="D493" s="2" t="s">
        <v>3269</v>
      </c>
      <c r="E493" s="2" t="s">
        <v>3270</v>
      </c>
      <c r="F493" s="2" t="s">
        <v>36</v>
      </c>
      <c r="G493" s="2" t="s">
        <v>19</v>
      </c>
      <c r="H493" s="2">
        <v>46295</v>
      </c>
      <c r="I493" t="s">
        <v>6191</v>
      </c>
    </row>
    <row r="494" spans="1:9" x14ac:dyDescent="0.25">
      <c r="A494" s="2" t="s">
        <v>3272</v>
      </c>
      <c r="B494" s="2" t="s">
        <v>3273</v>
      </c>
      <c r="C494" s="2" t="s">
        <v>3274</v>
      </c>
      <c r="D494" s="2" t="s">
        <v>3275</v>
      </c>
      <c r="E494" s="2" t="s">
        <v>3276</v>
      </c>
      <c r="F494" s="2" t="s">
        <v>45</v>
      </c>
      <c r="G494" s="2" t="s">
        <v>19</v>
      </c>
      <c r="H494" s="2">
        <v>53234</v>
      </c>
      <c r="I494" t="s">
        <v>6190</v>
      </c>
    </row>
    <row r="495" spans="1:9" x14ac:dyDescent="0.25">
      <c r="A495" s="2" t="s">
        <v>3278</v>
      </c>
      <c r="B495" s="2" t="s">
        <v>3279</v>
      </c>
      <c r="C495" s="2" t="s">
        <v>3280</v>
      </c>
      <c r="D495" s="2" t="s">
        <v>3281</v>
      </c>
      <c r="E495" s="2" t="s">
        <v>3282</v>
      </c>
      <c r="F495" s="2" t="s">
        <v>273</v>
      </c>
      <c r="G495" s="2" t="s">
        <v>28</v>
      </c>
      <c r="H495" s="2" t="s">
        <v>274</v>
      </c>
      <c r="I495" t="s">
        <v>6191</v>
      </c>
    </row>
    <row r="496" spans="1:9" x14ac:dyDescent="0.25">
      <c r="A496" s="2" t="s">
        <v>3284</v>
      </c>
      <c r="B496" s="2" t="s">
        <v>3285</v>
      </c>
      <c r="C496" s="2" t="s">
        <v>3286</v>
      </c>
      <c r="D496" s="2" t="s">
        <v>3287</v>
      </c>
      <c r="E496" s="2" t="s">
        <v>3288</v>
      </c>
      <c r="F496" s="2" t="s">
        <v>32</v>
      </c>
      <c r="G496" s="2" t="s">
        <v>19</v>
      </c>
      <c r="H496" s="2">
        <v>70836</v>
      </c>
      <c r="I496" t="s">
        <v>6191</v>
      </c>
    </row>
    <row r="497" spans="1:9" x14ac:dyDescent="0.25">
      <c r="A497" s="2" t="s">
        <v>3290</v>
      </c>
      <c r="B497" s="2" t="s">
        <v>3291</v>
      </c>
      <c r="C497" s="2"/>
      <c r="D497" s="2" t="s">
        <v>3292</v>
      </c>
      <c r="E497" s="2" t="s">
        <v>3293</v>
      </c>
      <c r="F497" s="2" t="s">
        <v>170</v>
      </c>
      <c r="G497" s="2" t="s">
        <v>19</v>
      </c>
      <c r="H497" s="2">
        <v>6816</v>
      </c>
      <c r="I497" t="s">
        <v>6190</v>
      </c>
    </row>
    <row r="498" spans="1:9" x14ac:dyDescent="0.25">
      <c r="A498" s="2" t="s">
        <v>3295</v>
      </c>
      <c r="B498" s="2" t="s">
        <v>3296</v>
      </c>
      <c r="C498" s="2" t="s">
        <v>3297</v>
      </c>
      <c r="D498" s="2" t="s">
        <v>3298</v>
      </c>
      <c r="E498" s="2" t="s">
        <v>3299</v>
      </c>
      <c r="F498" s="2" t="s">
        <v>250</v>
      </c>
      <c r="G498" s="2" t="s">
        <v>19</v>
      </c>
      <c r="H498" s="2">
        <v>32590</v>
      </c>
      <c r="I498" t="s">
        <v>6191</v>
      </c>
    </row>
    <row r="499" spans="1:9" x14ac:dyDescent="0.25">
      <c r="A499" s="2" t="s">
        <v>3301</v>
      </c>
      <c r="B499" s="2" t="s">
        <v>3302</v>
      </c>
      <c r="C499" s="2" t="s">
        <v>3303</v>
      </c>
      <c r="D499" s="2" t="s">
        <v>3304</v>
      </c>
      <c r="E499" s="2" t="s">
        <v>3305</v>
      </c>
      <c r="F499" s="2" t="s">
        <v>3306</v>
      </c>
      <c r="G499" s="2" t="s">
        <v>318</v>
      </c>
      <c r="H499" s="2" t="s">
        <v>348</v>
      </c>
      <c r="I499" t="s">
        <v>6191</v>
      </c>
    </row>
    <row r="500" spans="1:9" x14ac:dyDescent="0.25">
      <c r="A500" s="2" t="s">
        <v>3308</v>
      </c>
      <c r="B500" s="2" t="s">
        <v>3309</v>
      </c>
      <c r="C500" s="2" t="s">
        <v>3310</v>
      </c>
      <c r="D500" s="2" t="s">
        <v>3311</v>
      </c>
      <c r="E500" s="2" t="s">
        <v>3312</v>
      </c>
      <c r="F500" s="2" t="s">
        <v>220</v>
      </c>
      <c r="G500" s="2" t="s">
        <v>28</v>
      </c>
      <c r="H500" s="2" t="s">
        <v>336</v>
      </c>
      <c r="I500" t="s">
        <v>6190</v>
      </c>
    </row>
    <row r="501" spans="1:9" x14ac:dyDescent="0.25">
      <c r="A501" s="2" t="s">
        <v>3314</v>
      </c>
      <c r="B501" s="2" t="s">
        <v>3315</v>
      </c>
      <c r="C501" s="2"/>
      <c r="D501" s="2" t="s">
        <v>3316</v>
      </c>
      <c r="E501" s="2" t="s">
        <v>3317</v>
      </c>
      <c r="F501" s="2" t="s">
        <v>1700</v>
      </c>
      <c r="G501" s="2" t="s">
        <v>318</v>
      </c>
      <c r="H501" s="2" t="s">
        <v>348</v>
      </c>
      <c r="I501" t="s">
        <v>6190</v>
      </c>
    </row>
    <row r="502" spans="1:9" x14ac:dyDescent="0.25">
      <c r="A502" s="2" t="s">
        <v>3319</v>
      </c>
      <c r="B502" s="2" t="s">
        <v>3320</v>
      </c>
      <c r="C502" s="2"/>
      <c r="D502" s="2" t="s">
        <v>3321</v>
      </c>
      <c r="E502" s="2" t="s">
        <v>3322</v>
      </c>
      <c r="F502" s="2" t="s">
        <v>183</v>
      </c>
      <c r="G502" s="2" t="s">
        <v>19</v>
      </c>
      <c r="H502" s="2">
        <v>49518</v>
      </c>
      <c r="I502" t="s">
        <v>6191</v>
      </c>
    </row>
    <row r="503" spans="1:9" x14ac:dyDescent="0.25">
      <c r="A503" s="2" t="s">
        <v>3324</v>
      </c>
      <c r="B503" s="2" t="s">
        <v>3325</v>
      </c>
      <c r="C503" s="2" t="s">
        <v>3326</v>
      </c>
      <c r="D503" s="2" t="s">
        <v>3327</v>
      </c>
      <c r="E503" s="2" t="s">
        <v>3328</v>
      </c>
      <c r="F503" s="2" t="s">
        <v>365</v>
      </c>
      <c r="G503" s="2" t="s">
        <v>28</v>
      </c>
      <c r="H503" s="2" t="s">
        <v>366</v>
      </c>
      <c r="I503" t="s">
        <v>6191</v>
      </c>
    </row>
    <row r="504" spans="1:9" x14ac:dyDescent="0.25">
      <c r="A504" s="2" t="s">
        <v>3329</v>
      </c>
      <c r="B504" s="2" t="s">
        <v>3330</v>
      </c>
      <c r="C504" s="2" t="s">
        <v>3331</v>
      </c>
      <c r="D504" s="2" t="s">
        <v>3332</v>
      </c>
      <c r="E504" s="2" t="s">
        <v>3333</v>
      </c>
      <c r="F504" s="2" t="s">
        <v>116</v>
      </c>
      <c r="G504" s="2" t="s">
        <v>19</v>
      </c>
      <c r="H504" s="2">
        <v>66160</v>
      </c>
      <c r="I504" t="s">
        <v>6191</v>
      </c>
    </row>
    <row r="505" spans="1:9" x14ac:dyDescent="0.25">
      <c r="A505" s="2" t="s">
        <v>3334</v>
      </c>
      <c r="B505" s="2" t="s">
        <v>3335</v>
      </c>
      <c r="C505" s="2"/>
      <c r="D505" s="2" t="s">
        <v>3336</v>
      </c>
      <c r="E505" s="2" t="s">
        <v>3337</v>
      </c>
      <c r="F505" s="2" t="s">
        <v>450</v>
      </c>
      <c r="G505" s="2" t="s">
        <v>19</v>
      </c>
      <c r="H505" s="2">
        <v>14905</v>
      </c>
      <c r="I505" t="s">
        <v>6191</v>
      </c>
    </row>
    <row r="506" spans="1:9" x14ac:dyDescent="0.25">
      <c r="A506" s="2" t="s">
        <v>3338</v>
      </c>
      <c r="B506" s="2" t="s">
        <v>3339</v>
      </c>
      <c r="C506" s="2" t="s">
        <v>3340</v>
      </c>
      <c r="D506" s="2" t="s">
        <v>3341</v>
      </c>
      <c r="E506" s="2" t="s">
        <v>3342</v>
      </c>
      <c r="F506" s="2" t="s">
        <v>45</v>
      </c>
      <c r="G506" s="2" t="s">
        <v>19</v>
      </c>
      <c r="H506" s="2">
        <v>53205</v>
      </c>
      <c r="I506" t="s">
        <v>6190</v>
      </c>
    </row>
    <row r="507" spans="1:9" x14ac:dyDescent="0.25">
      <c r="A507" s="2" t="s">
        <v>3344</v>
      </c>
      <c r="B507" s="2" t="s">
        <v>3345</v>
      </c>
      <c r="C507" s="2" t="s">
        <v>3346</v>
      </c>
      <c r="D507" s="2" t="s">
        <v>3347</v>
      </c>
      <c r="E507" s="2" t="s">
        <v>3348</v>
      </c>
      <c r="F507" s="2" t="s">
        <v>257</v>
      </c>
      <c r="G507" s="2" t="s">
        <v>19</v>
      </c>
      <c r="H507" s="2">
        <v>27264</v>
      </c>
      <c r="I507" t="s">
        <v>6191</v>
      </c>
    </row>
    <row r="508" spans="1:9" x14ac:dyDescent="0.25">
      <c r="A508" s="2" t="s">
        <v>3350</v>
      </c>
      <c r="B508" s="2" t="s">
        <v>3351</v>
      </c>
      <c r="C508" s="2" t="s">
        <v>3352</v>
      </c>
      <c r="D508" s="2" t="s">
        <v>3353</v>
      </c>
      <c r="E508" s="2" t="s">
        <v>3354</v>
      </c>
      <c r="F508" s="2" t="s">
        <v>50</v>
      </c>
      <c r="G508" s="2" t="s">
        <v>19</v>
      </c>
      <c r="H508" s="2">
        <v>88546</v>
      </c>
      <c r="I508" t="s">
        <v>6190</v>
      </c>
    </row>
    <row r="509" spans="1:9" x14ac:dyDescent="0.25">
      <c r="A509" s="2" t="s">
        <v>3356</v>
      </c>
      <c r="B509" s="2" t="s">
        <v>3357</v>
      </c>
      <c r="C509" s="2" t="s">
        <v>3358</v>
      </c>
      <c r="D509" s="2" t="s">
        <v>3359</v>
      </c>
      <c r="E509" s="2" t="s">
        <v>3360</v>
      </c>
      <c r="F509" s="2" t="s">
        <v>255</v>
      </c>
      <c r="G509" s="2" t="s">
        <v>19</v>
      </c>
      <c r="H509" s="2">
        <v>44185</v>
      </c>
      <c r="I509" t="s">
        <v>6190</v>
      </c>
    </row>
    <row r="510" spans="1:9" x14ac:dyDescent="0.25">
      <c r="A510" s="2" t="s">
        <v>3362</v>
      </c>
      <c r="B510" s="2" t="s">
        <v>3363</v>
      </c>
      <c r="C510" s="2" t="s">
        <v>3364</v>
      </c>
      <c r="D510" s="2" t="s">
        <v>3365</v>
      </c>
      <c r="E510" s="2" t="s">
        <v>3366</v>
      </c>
      <c r="F510" s="2" t="s">
        <v>377</v>
      </c>
      <c r="G510" s="2" t="s">
        <v>318</v>
      </c>
      <c r="H510" s="2" t="s">
        <v>378</v>
      </c>
      <c r="I510" t="s">
        <v>6191</v>
      </c>
    </row>
    <row r="511" spans="1:9" x14ac:dyDescent="0.25">
      <c r="A511" s="2" t="s">
        <v>3368</v>
      </c>
      <c r="B511" s="2" t="s">
        <v>3369</v>
      </c>
      <c r="C511" s="2" t="s">
        <v>3370</v>
      </c>
      <c r="D511" s="2" t="s">
        <v>3371</v>
      </c>
      <c r="E511" s="2" t="s">
        <v>3372</v>
      </c>
      <c r="F511" s="2" t="s">
        <v>466</v>
      </c>
      <c r="G511" s="2" t="s">
        <v>318</v>
      </c>
      <c r="H511" s="2" t="s">
        <v>385</v>
      </c>
      <c r="I511" t="s">
        <v>6190</v>
      </c>
    </row>
    <row r="512" spans="1:9" x14ac:dyDescent="0.25">
      <c r="A512" s="2" t="s">
        <v>3374</v>
      </c>
      <c r="B512" s="2" t="s">
        <v>3375</v>
      </c>
      <c r="C512" s="2" t="s">
        <v>3376</v>
      </c>
      <c r="D512" s="2" t="s">
        <v>3377</v>
      </c>
      <c r="E512" s="2" t="s">
        <v>3378</v>
      </c>
      <c r="F512" s="2" t="s">
        <v>469</v>
      </c>
      <c r="G512" s="2" t="s">
        <v>318</v>
      </c>
      <c r="H512" s="2" t="s">
        <v>470</v>
      </c>
      <c r="I512" t="s">
        <v>6190</v>
      </c>
    </row>
    <row r="513" spans="1:9" x14ac:dyDescent="0.25">
      <c r="A513" s="2" t="s">
        <v>3380</v>
      </c>
      <c r="B513" s="2" t="s">
        <v>3381</v>
      </c>
      <c r="C513" s="2" t="s">
        <v>3382</v>
      </c>
      <c r="D513" s="2" t="s">
        <v>3383</v>
      </c>
      <c r="E513" s="2" t="s">
        <v>3384</v>
      </c>
      <c r="F513" s="2" t="s">
        <v>144</v>
      </c>
      <c r="G513" s="2" t="s">
        <v>19</v>
      </c>
      <c r="H513" s="2">
        <v>35244</v>
      </c>
      <c r="I513" t="s">
        <v>6190</v>
      </c>
    </row>
    <row r="514" spans="1:9" x14ac:dyDescent="0.25">
      <c r="A514" s="2" t="s">
        <v>3386</v>
      </c>
      <c r="B514" s="2" t="s">
        <v>3387</v>
      </c>
      <c r="C514" s="2" t="s">
        <v>3388</v>
      </c>
      <c r="D514" s="2" t="s">
        <v>3389</v>
      </c>
      <c r="E514" s="2" t="s">
        <v>3390</v>
      </c>
      <c r="F514" s="2" t="s">
        <v>328</v>
      </c>
      <c r="G514" s="2" t="s">
        <v>19</v>
      </c>
      <c r="H514" s="2">
        <v>56372</v>
      </c>
      <c r="I514" t="s">
        <v>6191</v>
      </c>
    </row>
    <row r="515" spans="1:9" x14ac:dyDescent="0.25">
      <c r="A515" s="2" t="s">
        <v>3392</v>
      </c>
      <c r="B515" s="2" t="s">
        <v>3393</v>
      </c>
      <c r="C515" s="2" t="s">
        <v>3394</v>
      </c>
      <c r="D515" s="2"/>
      <c r="E515" s="2" t="s">
        <v>3395</v>
      </c>
      <c r="F515" s="2" t="s">
        <v>46</v>
      </c>
      <c r="G515" s="2" t="s">
        <v>19</v>
      </c>
      <c r="H515" s="2">
        <v>19191</v>
      </c>
      <c r="I515" t="s">
        <v>6191</v>
      </c>
    </row>
    <row r="516" spans="1:9" x14ac:dyDescent="0.25">
      <c r="A516" s="2" t="s">
        <v>3397</v>
      </c>
      <c r="B516" s="2" t="s">
        <v>3398</v>
      </c>
      <c r="C516" s="2" t="s">
        <v>3399</v>
      </c>
      <c r="D516" s="2" t="s">
        <v>3400</v>
      </c>
      <c r="E516" s="2" t="s">
        <v>3401</v>
      </c>
      <c r="F516" s="2" t="s">
        <v>41</v>
      </c>
      <c r="G516" s="2" t="s">
        <v>19</v>
      </c>
      <c r="H516" s="2">
        <v>48211</v>
      </c>
      <c r="I516" t="s">
        <v>6190</v>
      </c>
    </row>
    <row r="517" spans="1:9" x14ac:dyDescent="0.25">
      <c r="A517" s="2" t="s">
        <v>3403</v>
      </c>
      <c r="B517" s="2" t="s">
        <v>3404</v>
      </c>
      <c r="C517" s="2" t="s">
        <v>3405</v>
      </c>
      <c r="D517" s="2" t="s">
        <v>3406</v>
      </c>
      <c r="E517" s="2" t="s">
        <v>3407</v>
      </c>
      <c r="F517" s="2" t="s">
        <v>104</v>
      </c>
      <c r="G517" s="2" t="s">
        <v>19</v>
      </c>
      <c r="H517" s="2">
        <v>63180</v>
      </c>
      <c r="I517" t="s">
        <v>6191</v>
      </c>
    </row>
    <row r="518" spans="1:9" x14ac:dyDescent="0.25">
      <c r="A518" s="2" t="s">
        <v>3409</v>
      </c>
      <c r="B518" s="2" t="s">
        <v>3410</v>
      </c>
      <c r="C518" s="2"/>
      <c r="D518" s="2" t="s">
        <v>3411</v>
      </c>
      <c r="E518" s="2" t="s">
        <v>3412</v>
      </c>
      <c r="F518" s="2" t="s">
        <v>283</v>
      </c>
      <c r="G518" s="2" t="s">
        <v>19</v>
      </c>
      <c r="H518" s="2">
        <v>12305</v>
      </c>
      <c r="I518" t="s">
        <v>6190</v>
      </c>
    </row>
    <row r="519" spans="1:9" x14ac:dyDescent="0.25">
      <c r="A519" s="2" t="s">
        <v>3414</v>
      </c>
      <c r="B519" s="2" t="s">
        <v>3415</v>
      </c>
      <c r="C519" s="2"/>
      <c r="D519" s="2" t="s">
        <v>3416</v>
      </c>
      <c r="E519" s="2" t="s">
        <v>3417</v>
      </c>
      <c r="F519" s="2" t="s">
        <v>319</v>
      </c>
      <c r="G519" s="2" t="s">
        <v>19</v>
      </c>
      <c r="H519" s="2">
        <v>33805</v>
      </c>
      <c r="I519" t="s">
        <v>6191</v>
      </c>
    </row>
    <row r="520" spans="1:9" x14ac:dyDescent="0.25">
      <c r="A520" s="2" t="s">
        <v>3419</v>
      </c>
      <c r="B520" s="2" t="s">
        <v>3420</v>
      </c>
      <c r="C520" s="2" t="s">
        <v>3421</v>
      </c>
      <c r="D520" s="2" t="s">
        <v>3422</v>
      </c>
      <c r="E520" s="2" t="s">
        <v>3423</v>
      </c>
      <c r="F520" s="2" t="s">
        <v>356</v>
      </c>
      <c r="G520" s="2" t="s">
        <v>19</v>
      </c>
      <c r="H520" s="2">
        <v>32941</v>
      </c>
      <c r="I520" t="s">
        <v>6191</v>
      </c>
    </row>
    <row r="521" spans="1:9" x14ac:dyDescent="0.25">
      <c r="A521" s="2" t="s">
        <v>3425</v>
      </c>
      <c r="B521" s="2" t="s">
        <v>3426</v>
      </c>
      <c r="C521" s="2" t="s">
        <v>3427</v>
      </c>
      <c r="D521" s="2" t="s">
        <v>3428</v>
      </c>
      <c r="E521" s="2" t="s">
        <v>3429</v>
      </c>
      <c r="F521" s="2" t="s">
        <v>63</v>
      </c>
      <c r="G521" s="2" t="s">
        <v>19</v>
      </c>
      <c r="H521" s="2">
        <v>77075</v>
      </c>
      <c r="I521" t="s">
        <v>6191</v>
      </c>
    </row>
    <row r="522" spans="1:9" x14ac:dyDescent="0.25">
      <c r="A522" s="2" t="s">
        <v>3431</v>
      </c>
      <c r="B522" s="2" t="s">
        <v>3432</v>
      </c>
      <c r="C522" s="2" t="s">
        <v>3433</v>
      </c>
      <c r="D522" s="2" t="s">
        <v>3434</v>
      </c>
      <c r="E522" s="2" t="s">
        <v>3435</v>
      </c>
      <c r="F522" s="2" t="s">
        <v>69</v>
      </c>
      <c r="G522" s="2" t="s">
        <v>19</v>
      </c>
      <c r="H522" s="2">
        <v>70179</v>
      </c>
      <c r="I522" t="s">
        <v>6191</v>
      </c>
    </row>
    <row r="523" spans="1:9" x14ac:dyDescent="0.25">
      <c r="A523" s="2" t="s">
        <v>3436</v>
      </c>
      <c r="B523" s="2" t="s">
        <v>3437</v>
      </c>
      <c r="C523" s="2" t="s">
        <v>3438</v>
      </c>
      <c r="D523" s="2" t="s">
        <v>3439</v>
      </c>
      <c r="E523" s="2" t="s">
        <v>3440</v>
      </c>
      <c r="F523" s="2" t="s">
        <v>77</v>
      </c>
      <c r="G523" s="2" t="s">
        <v>19</v>
      </c>
      <c r="H523" s="2">
        <v>73142</v>
      </c>
      <c r="I523" t="s">
        <v>6191</v>
      </c>
    </row>
    <row r="524" spans="1:9" x14ac:dyDescent="0.25">
      <c r="A524" s="2" t="s">
        <v>3442</v>
      </c>
      <c r="B524" s="2" t="s">
        <v>3443</v>
      </c>
      <c r="C524" s="2" t="s">
        <v>3444</v>
      </c>
      <c r="D524" s="2" t="s">
        <v>3445</v>
      </c>
      <c r="E524" s="2" t="s">
        <v>3446</v>
      </c>
      <c r="F524" s="2" t="s">
        <v>148</v>
      </c>
      <c r="G524" s="2" t="s">
        <v>19</v>
      </c>
      <c r="H524" s="2">
        <v>66617</v>
      </c>
      <c r="I524" t="s">
        <v>6191</v>
      </c>
    </row>
    <row r="525" spans="1:9" x14ac:dyDescent="0.25">
      <c r="A525" s="2" t="s">
        <v>3448</v>
      </c>
      <c r="B525" s="2" t="s">
        <v>3449</v>
      </c>
      <c r="C525" s="2" t="s">
        <v>3450</v>
      </c>
      <c r="D525" s="2" t="s">
        <v>3451</v>
      </c>
      <c r="E525" s="2" t="s">
        <v>3452</v>
      </c>
      <c r="F525" s="2" t="s">
        <v>426</v>
      </c>
      <c r="G525" s="2" t="s">
        <v>318</v>
      </c>
      <c r="H525" s="2" t="s">
        <v>427</v>
      </c>
      <c r="I525" t="s">
        <v>6191</v>
      </c>
    </row>
    <row r="526" spans="1:9" x14ac:dyDescent="0.25">
      <c r="A526" s="2" t="s">
        <v>3454</v>
      </c>
      <c r="B526" s="2" t="s">
        <v>3455</v>
      </c>
      <c r="C526" s="2"/>
      <c r="D526" s="2" t="s">
        <v>3456</v>
      </c>
      <c r="E526" s="2" t="s">
        <v>3457</v>
      </c>
      <c r="F526" s="2" t="s">
        <v>83</v>
      </c>
      <c r="G526" s="2" t="s">
        <v>19</v>
      </c>
      <c r="H526" s="2">
        <v>62723</v>
      </c>
      <c r="I526" t="s">
        <v>6191</v>
      </c>
    </row>
    <row r="527" spans="1:9" x14ac:dyDescent="0.25">
      <c r="A527" s="2" t="s">
        <v>3459</v>
      </c>
      <c r="B527" s="2" t="s">
        <v>3460</v>
      </c>
      <c r="C527" s="2"/>
      <c r="D527" s="2" t="s">
        <v>3461</v>
      </c>
      <c r="E527" s="2" t="s">
        <v>3462</v>
      </c>
      <c r="F527" s="2" t="s">
        <v>21</v>
      </c>
      <c r="G527" s="2" t="s">
        <v>19</v>
      </c>
      <c r="H527" s="2">
        <v>8104</v>
      </c>
      <c r="I527" t="s">
        <v>6190</v>
      </c>
    </row>
    <row r="528" spans="1:9" x14ac:dyDescent="0.25">
      <c r="A528" s="2" t="s">
        <v>3464</v>
      </c>
      <c r="B528" s="2" t="s">
        <v>3465</v>
      </c>
      <c r="C528" s="2" t="s">
        <v>3466</v>
      </c>
      <c r="D528" s="2" t="s">
        <v>3467</v>
      </c>
      <c r="E528" s="2" t="s">
        <v>3468</v>
      </c>
      <c r="F528" s="2" t="s">
        <v>105</v>
      </c>
      <c r="G528" s="2" t="s">
        <v>19</v>
      </c>
      <c r="H528" s="2">
        <v>98185</v>
      </c>
      <c r="I528" t="s">
        <v>6190</v>
      </c>
    </row>
    <row r="529" spans="1:9" x14ac:dyDescent="0.25">
      <c r="A529" s="2" t="s">
        <v>3470</v>
      </c>
      <c r="B529" s="2" t="s">
        <v>3471</v>
      </c>
      <c r="C529" s="2" t="s">
        <v>3472</v>
      </c>
      <c r="D529" s="2" t="s">
        <v>3473</v>
      </c>
      <c r="E529" s="2" t="s">
        <v>3474</v>
      </c>
      <c r="F529" s="2" t="s">
        <v>151</v>
      </c>
      <c r="G529" s="2" t="s">
        <v>28</v>
      </c>
      <c r="H529" s="2" t="s">
        <v>152</v>
      </c>
      <c r="I529" t="s">
        <v>6191</v>
      </c>
    </row>
    <row r="530" spans="1:9" x14ac:dyDescent="0.25">
      <c r="A530" s="2" t="s">
        <v>3476</v>
      </c>
      <c r="B530" s="2" t="s">
        <v>3477</v>
      </c>
      <c r="C530" s="2" t="s">
        <v>3478</v>
      </c>
      <c r="D530" s="2" t="s">
        <v>3479</v>
      </c>
      <c r="E530" s="2" t="s">
        <v>3480</v>
      </c>
      <c r="F530" s="2" t="s">
        <v>96</v>
      </c>
      <c r="G530" s="2" t="s">
        <v>19</v>
      </c>
      <c r="H530" s="2">
        <v>76711</v>
      </c>
      <c r="I530" t="s">
        <v>6191</v>
      </c>
    </row>
    <row r="531" spans="1:9" x14ac:dyDescent="0.25">
      <c r="A531" s="2" t="s">
        <v>3482</v>
      </c>
      <c r="B531" s="2" t="s">
        <v>3483</v>
      </c>
      <c r="C531" s="2" t="s">
        <v>3484</v>
      </c>
      <c r="D531" s="2" t="s">
        <v>3485</v>
      </c>
      <c r="E531" s="2" t="s">
        <v>3486</v>
      </c>
      <c r="F531" s="2" t="s">
        <v>38</v>
      </c>
      <c r="G531" s="2" t="s">
        <v>19</v>
      </c>
      <c r="H531" s="2">
        <v>23242</v>
      </c>
      <c r="I531" t="s">
        <v>6191</v>
      </c>
    </row>
    <row r="532" spans="1:9" x14ac:dyDescent="0.25">
      <c r="A532" s="2" t="s">
        <v>3488</v>
      </c>
      <c r="B532" s="2" t="s">
        <v>3489</v>
      </c>
      <c r="C532" s="2" t="s">
        <v>3490</v>
      </c>
      <c r="D532" s="2" t="s">
        <v>3491</v>
      </c>
      <c r="E532" s="2" t="s">
        <v>3492</v>
      </c>
      <c r="F532" s="2" t="s">
        <v>260</v>
      </c>
      <c r="G532" s="2" t="s">
        <v>19</v>
      </c>
      <c r="H532" s="2">
        <v>43610</v>
      </c>
      <c r="I532" t="s">
        <v>6191</v>
      </c>
    </row>
    <row r="533" spans="1:9" x14ac:dyDescent="0.25">
      <c r="A533" s="2" t="s">
        <v>3494</v>
      </c>
      <c r="B533" s="2" t="s">
        <v>3495</v>
      </c>
      <c r="C533" s="2" t="s">
        <v>3496</v>
      </c>
      <c r="D533" s="2" t="s">
        <v>3497</v>
      </c>
      <c r="E533" s="2" t="s">
        <v>3498</v>
      </c>
      <c r="F533" s="2" t="s">
        <v>26</v>
      </c>
      <c r="G533" s="2" t="s">
        <v>19</v>
      </c>
      <c r="H533" s="2">
        <v>25705</v>
      </c>
      <c r="I533" t="s">
        <v>6191</v>
      </c>
    </row>
    <row r="534" spans="1:9" x14ac:dyDescent="0.25">
      <c r="A534" s="2" t="s">
        <v>3500</v>
      </c>
      <c r="B534" s="2" t="s">
        <v>3501</v>
      </c>
      <c r="C534" s="2" t="s">
        <v>3502</v>
      </c>
      <c r="D534" s="2" t="s">
        <v>3503</v>
      </c>
      <c r="E534" s="2" t="s">
        <v>3504</v>
      </c>
      <c r="F534" s="2" t="s">
        <v>413</v>
      </c>
      <c r="G534" s="2" t="s">
        <v>19</v>
      </c>
      <c r="H534" s="2">
        <v>33884</v>
      </c>
      <c r="I534" t="s">
        <v>6190</v>
      </c>
    </row>
    <row r="535" spans="1:9" x14ac:dyDescent="0.25">
      <c r="A535" s="2" t="s">
        <v>3506</v>
      </c>
      <c r="B535" s="2" t="s">
        <v>3507</v>
      </c>
      <c r="C535" s="2"/>
      <c r="D535" s="2" t="s">
        <v>3508</v>
      </c>
      <c r="E535" s="2" t="s">
        <v>3509</v>
      </c>
      <c r="F535" s="2" t="s">
        <v>52</v>
      </c>
      <c r="G535" s="2" t="s">
        <v>19</v>
      </c>
      <c r="H535" s="2">
        <v>75323</v>
      </c>
      <c r="I535" t="s">
        <v>6191</v>
      </c>
    </row>
    <row r="536" spans="1:9" x14ac:dyDescent="0.25">
      <c r="A536" s="2" t="s">
        <v>3511</v>
      </c>
      <c r="B536" s="2" t="s">
        <v>3512</v>
      </c>
      <c r="C536" s="2" t="s">
        <v>3513</v>
      </c>
      <c r="D536" s="2" t="s">
        <v>3514</v>
      </c>
      <c r="E536" s="2" t="s">
        <v>3515</v>
      </c>
      <c r="F536" s="2" t="s">
        <v>456</v>
      </c>
      <c r="G536" s="2" t="s">
        <v>318</v>
      </c>
      <c r="H536" s="2" t="s">
        <v>457</v>
      </c>
      <c r="I536" t="s">
        <v>6190</v>
      </c>
    </row>
    <row r="537" spans="1:9" x14ac:dyDescent="0.25">
      <c r="A537" s="2" t="s">
        <v>3517</v>
      </c>
      <c r="B537" s="2" t="s">
        <v>3518</v>
      </c>
      <c r="C537" s="2"/>
      <c r="D537" s="2" t="s">
        <v>3519</v>
      </c>
      <c r="E537" s="2" t="s">
        <v>3520</v>
      </c>
      <c r="F537" s="2" t="s">
        <v>1282</v>
      </c>
      <c r="G537" s="2" t="s">
        <v>318</v>
      </c>
      <c r="H537" s="2" t="s">
        <v>444</v>
      </c>
      <c r="I537" t="s">
        <v>6191</v>
      </c>
    </row>
    <row r="538" spans="1:9" x14ac:dyDescent="0.25">
      <c r="A538" s="2" t="s">
        <v>3522</v>
      </c>
      <c r="B538" s="2" t="s">
        <v>3523</v>
      </c>
      <c r="C538" s="2" t="s">
        <v>3524</v>
      </c>
      <c r="D538" s="2" t="s">
        <v>3525</v>
      </c>
      <c r="E538" s="2" t="s">
        <v>3526</v>
      </c>
      <c r="F538" s="2" t="s">
        <v>39</v>
      </c>
      <c r="G538" s="2" t="s">
        <v>19</v>
      </c>
      <c r="H538" s="2">
        <v>43231</v>
      </c>
      <c r="I538" t="s">
        <v>6191</v>
      </c>
    </row>
    <row r="539" spans="1:9" x14ac:dyDescent="0.25">
      <c r="A539" s="2" t="s">
        <v>3528</v>
      </c>
      <c r="B539" s="2" t="s">
        <v>3529</v>
      </c>
      <c r="C539" s="2" t="s">
        <v>3530</v>
      </c>
      <c r="D539" s="2"/>
      <c r="E539" s="2" t="s">
        <v>3531</v>
      </c>
      <c r="F539" s="2" t="s">
        <v>95</v>
      </c>
      <c r="G539" s="2" t="s">
        <v>19</v>
      </c>
      <c r="H539" s="2">
        <v>47747</v>
      </c>
      <c r="I539" t="s">
        <v>6190</v>
      </c>
    </row>
    <row r="540" spans="1:9" x14ac:dyDescent="0.25">
      <c r="A540" s="2" t="s">
        <v>3533</v>
      </c>
      <c r="B540" s="2" t="s">
        <v>3534</v>
      </c>
      <c r="C540" s="2" t="s">
        <v>3535</v>
      </c>
      <c r="D540" s="2"/>
      <c r="E540" s="2" t="s">
        <v>3536</v>
      </c>
      <c r="F540" s="2" t="s">
        <v>217</v>
      </c>
      <c r="G540" s="2" t="s">
        <v>19</v>
      </c>
      <c r="H540" s="2">
        <v>60567</v>
      </c>
      <c r="I540" t="s">
        <v>6190</v>
      </c>
    </row>
    <row r="541" spans="1:9" x14ac:dyDescent="0.25">
      <c r="A541" s="2" t="s">
        <v>3538</v>
      </c>
      <c r="B541" s="2" t="s">
        <v>3539</v>
      </c>
      <c r="C541" s="2" t="s">
        <v>3540</v>
      </c>
      <c r="D541" s="2"/>
      <c r="E541" s="2" t="s">
        <v>3541</v>
      </c>
      <c r="F541" s="2" t="s">
        <v>48</v>
      </c>
      <c r="G541" s="2" t="s">
        <v>19</v>
      </c>
      <c r="H541" s="2">
        <v>29424</v>
      </c>
      <c r="I541" t="s">
        <v>6191</v>
      </c>
    </row>
    <row r="542" spans="1:9" x14ac:dyDescent="0.25">
      <c r="A542" s="2" t="s">
        <v>3543</v>
      </c>
      <c r="B542" s="2" t="s">
        <v>3544</v>
      </c>
      <c r="C542" s="2" t="s">
        <v>3545</v>
      </c>
      <c r="D542" s="2" t="s">
        <v>3546</v>
      </c>
      <c r="E542" s="2" t="s">
        <v>3547</v>
      </c>
      <c r="F542" s="2" t="s">
        <v>174</v>
      </c>
      <c r="G542" s="2" t="s">
        <v>19</v>
      </c>
      <c r="H542" s="2">
        <v>48930</v>
      </c>
      <c r="I542" t="s">
        <v>6190</v>
      </c>
    </row>
    <row r="543" spans="1:9" x14ac:dyDescent="0.25">
      <c r="A543" s="2" t="s">
        <v>3549</v>
      </c>
      <c r="B543" s="2" t="s">
        <v>3550</v>
      </c>
      <c r="C543" s="2"/>
      <c r="D543" s="2" t="s">
        <v>3551</v>
      </c>
      <c r="E543" s="2" t="s">
        <v>3552</v>
      </c>
      <c r="F543" s="2" t="s">
        <v>443</v>
      </c>
      <c r="G543" s="2" t="s">
        <v>318</v>
      </c>
      <c r="H543" s="2" t="s">
        <v>378</v>
      </c>
      <c r="I543" t="s">
        <v>6190</v>
      </c>
    </row>
    <row r="544" spans="1:9" x14ac:dyDescent="0.25">
      <c r="A544" s="2" t="s">
        <v>3554</v>
      </c>
      <c r="B544" s="2" t="s">
        <v>3555</v>
      </c>
      <c r="C544" s="2" t="s">
        <v>3556</v>
      </c>
      <c r="D544" s="2" t="s">
        <v>3557</v>
      </c>
      <c r="E544" s="2" t="s">
        <v>3558</v>
      </c>
      <c r="F544" s="2" t="s">
        <v>175</v>
      </c>
      <c r="G544" s="2" t="s">
        <v>19</v>
      </c>
      <c r="H544" s="2">
        <v>71115</v>
      </c>
      <c r="I544" t="s">
        <v>6191</v>
      </c>
    </row>
    <row r="545" spans="1:9" x14ac:dyDescent="0.25">
      <c r="A545" s="2" t="s">
        <v>3560</v>
      </c>
      <c r="B545" s="2" t="s">
        <v>3561</v>
      </c>
      <c r="C545" s="2" t="s">
        <v>3562</v>
      </c>
      <c r="D545" s="2" t="s">
        <v>3563</v>
      </c>
      <c r="E545" s="2" t="s">
        <v>3564</v>
      </c>
      <c r="F545" s="2" t="s">
        <v>98</v>
      </c>
      <c r="G545" s="2" t="s">
        <v>19</v>
      </c>
      <c r="H545" s="2">
        <v>95194</v>
      </c>
      <c r="I545" t="s">
        <v>6191</v>
      </c>
    </row>
    <row r="546" spans="1:9" x14ac:dyDescent="0.25">
      <c r="A546" s="2" t="s">
        <v>3566</v>
      </c>
      <c r="B546" s="2" t="s">
        <v>3567</v>
      </c>
      <c r="C546" s="2" t="s">
        <v>3568</v>
      </c>
      <c r="D546" s="2" t="s">
        <v>3569</v>
      </c>
      <c r="E546" s="2" t="s">
        <v>3570</v>
      </c>
      <c r="F546" s="2" t="s">
        <v>46</v>
      </c>
      <c r="G546" s="2" t="s">
        <v>19</v>
      </c>
      <c r="H546" s="2">
        <v>19104</v>
      </c>
      <c r="I546" t="s">
        <v>6191</v>
      </c>
    </row>
    <row r="547" spans="1:9" x14ac:dyDescent="0.25">
      <c r="A547" s="2" t="s">
        <v>3572</v>
      </c>
      <c r="B547" s="2" t="s">
        <v>3573</v>
      </c>
      <c r="C547" s="2" t="s">
        <v>3574</v>
      </c>
      <c r="D547" s="2" t="s">
        <v>3575</v>
      </c>
      <c r="E547" s="2" t="s">
        <v>3576</v>
      </c>
      <c r="F547" s="2" t="s">
        <v>176</v>
      </c>
      <c r="G547" s="2" t="s">
        <v>28</v>
      </c>
      <c r="H547" s="2" t="s">
        <v>177</v>
      </c>
      <c r="I547" t="s">
        <v>6191</v>
      </c>
    </row>
    <row r="548" spans="1:9" x14ac:dyDescent="0.25">
      <c r="A548" s="2" t="s">
        <v>3578</v>
      </c>
      <c r="B548" s="2" t="s">
        <v>3579</v>
      </c>
      <c r="C548" s="2"/>
      <c r="D548" s="2" t="s">
        <v>3580</v>
      </c>
      <c r="E548" s="2" t="s">
        <v>3581</v>
      </c>
      <c r="F548" s="2" t="s">
        <v>375</v>
      </c>
      <c r="G548" s="2" t="s">
        <v>318</v>
      </c>
      <c r="H548" s="2" t="s">
        <v>376</v>
      </c>
      <c r="I548" t="s">
        <v>6191</v>
      </c>
    </row>
    <row r="549" spans="1:9" x14ac:dyDescent="0.25">
      <c r="A549" s="2" t="s">
        <v>3583</v>
      </c>
      <c r="B549" s="2" t="s">
        <v>3584</v>
      </c>
      <c r="C549" s="2"/>
      <c r="D549" s="2" t="s">
        <v>3585</v>
      </c>
      <c r="E549" s="2" t="s">
        <v>3586</v>
      </c>
      <c r="F549" s="2" t="s">
        <v>20</v>
      </c>
      <c r="G549" s="2" t="s">
        <v>19</v>
      </c>
      <c r="H549" s="2">
        <v>21229</v>
      </c>
      <c r="I549" t="s">
        <v>6190</v>
      </c>
    </row>
    <row r="550" spans="1:9" x14ac:dyDescent="0.25">
      <c r="A550" s="2" t="s">
        <v>3588</v>
      </c>
      <c r="B550" s="2" t="s">
        <v>3589</v>
      </c>
      <c r="C550" s="2" t="s">
        <v>3590</v>
      </c>
      <c r="D550" s="2" t="s">
        <v>3591</v>
      </c>
      <c r="E550" s="2" t="s">
        <v>3592</v>
      </c>
      <c r="F550" s="2" t="s">
        <v>77</v>
      </c>
      <c r="G550" s="2" t="s">
        <v>19</v>
      </c>
      <c r="H550" s="2">
        <v>73119</v>
      </c>
      <c r="I550" t="s">
        <v>6190</v>
      </c>
    </row>
    <row r="551" spans="1:9" x14ac:dyDescent="0.25">
      <c r="A551" s="2" t="s">
        <v>3594</v>
      </c>
      <c r="B551" s="2" t="s">
        <v>3595</v>
      </c>
      <c r="C551" s="2" t="s">
        <v>3596</v>
      </c>
      <c r="D551" s="2" t="s">
        <v>3597</v>
      </c>
      <c r="E551" s="2" t="s">
        <v>3598</v>
      </c>
      <c r="F551" s="2" t="s">
        <v>57</v>
      </c>
      <c r="G551" s="2" t="s">
        <v>19</v>
      </c>
      <c r="H551" s="2">
        <v>10060</v>
      </c>
      <c r="I551" t="s">
        <v>6190</v>
      </c>
    </row>
    <row r="552" spans="1:9" x14ac:dyDescent="0.25">
      <c r="A552" s="2" t="s">
        <v>3600</v>
      </c>
      <c r="B552" s="2" t="s">
        <v>3601</v>
      </c>
      <c r="C552" s="2" t="s">
        <v>3602</v>
      </c>
      <c r="D552" s="2" t="s">
        <v>3603</v>
      </c>
      <c r="E552" s="2" t="s">
        <v>3604</v>
      </c>
      <c r="F552" s="2" t="s">
        <v>199</v>
      </c>
      <c r="G552" s="2" t="s">
        <v>19</v>
      </c>
      <c r="H552" s="2">
        <v>7112</v>
      </c>
      <c r="I552" t="s">
        <v>6190</v>
      </c>
    </row>
    <row r="553" spans="1:9" x14ac:dyDescent="0.25">
      <c r="A553" s="2" t="s">
        <v>3606</v>
      </c>
      <c r="B553" s="2" t="s">
        <v>3607</v>
      </c>
      <c r="C553" s="2" t="s">
        <v>3608</v>
      </c>
      <c r="D553" s="2" t="s">
        <v>3609</v>
      </c>
      <c r="E553" s="2" t="s">
        <v>3610</v>
      </c>
      <c r="F553" s="2" t="s">
        <v>18</v>
      </c>
      <c r="G553" s="2" t="s">
        <v>19</v>
      </c>
      <c r="H553" s="2">
        <v>6510</v>
      </c>
      <c r="I553" t="s">
        <v>6191</v>
      </c>
    </row>
    <row r="554" spans="1:9" x14ac:dyDescent="0.25">
      <c r="A554" s="2" t="s">
        <v>3612</v>
      </c>
      <c r="B554" s="2" t="s">
        <v>3613</v>
      </c>
      <c r="C554" s="2" t="s">
        <v>3614</v>
      </c>
      <c r="D554" s="2" t="s">
        <v>3615</v>
      </c>
      <c r="E554" s="2" t="s">
        <v>3616</v>
      </c>
      <c r="F554" s="2" t="s">
        <v>365</v>
      </c>
      <c r="G554" s="2" t="s">
        <v>28</v>
      </c>
      <c r="H554" s="2" t="s">
        <v>366</v>
      </c>
      <c r="I554" t="s">
        <v>6190</v>
      </c>
    </row>
    <row r="555" spans="1:9" x14ac:dyDescent="0.25">
      <c r="A555" s="2" t="s">
        <v>3618</v>
      </c>
      <c r="B555" s="2" t="s">
        <v>3619</v>
      </c>
      <c r="C555" s="2" t="s">
        <v>3620</v>
      </c>
      <c r="D555" s="2"/>
      <c r="E555" s="2" t="s">
        <v>3621</v>
      </c>
      <c r="F555" s="2" t="s">
        <v>260</v>
      </c>
      <c r="G555" s="2" t="s">
        <v>19</v>
      </c>
      <c r="H555" s="2">
        <v>43610</v>
      </c>
      <c r="I555" t="s">
        <v>6191</v>
      </c>
    </row>
    <row r="556" spans="1:9" x14ac:dyDescent="0.25">
      <c r="A556" s="2" t="s">
        <v>3623</v>
      </c>
      <c r="B556" s="2" t="s">
        <v>3624</v>
      </c>
      <c r="C556" s="2"/>
      <c r="D556" s="2" t="s">
        <v>3625</v>
      </c>
      <c r="E556" s="2" t="s">
        <v>3626</v>
      </c>
      <c r="F556" s="2" t="s">
        <v>280</v>
      </c>
      <c r="G556" s="2" t="s">
        <v>28</v>
      </c>
      <c r="H556" s="2" t="s">
        <v>281</v>
      </c>
      <c r="I556" t="s">
        <v>6190</v>
      </c>
    </row>
    <row r="557" spans="1:9" x14ac:dyDescent="0.25">
      <c r="A557" s="2" t="s">
        <v>3628</v>
      </c>
      <c r="B557" s="2" t="s">
        <v>3629</v>
      </c>
      <c r="C557" s="2" t="s">
        <v>3630</v>
      </c>
      <c r="D557" s="2" t="s">
        <v>3631</v>
      </c>
      <c r="E557" s="2" t="s">
        <v>3632</v>
      </c>
      <c r="F557" s="2" t="s">
        <v>418</v>
      </c>
      <c r="G557" s="2" t="s">
        <v>318</v>
      </c>
      <c r="H557" s="2" t="s">
        <v>419</v>
      </c>
      <c r="I557" t="s">
        <v>6191</v>
      </c>
    </row>
    <row r="558" spans="1:9" x14ac:dyDescent="0.25">
      <c r="A558" s="2" t="s">
        <v>3634</v>
      </c>
      <c r="B558" s="2" t="s">
        <v>3635</v>
      </c>
      <c r="C558" s="2" t="s">
        <v>3636</v>
      </c>
      <c r="D558" s="2"/>
      <c r="E558" s="2" t="s">
        <v>3637</v>
      </c>
      <c r="F558" s="2" t="s">
        <v>175</v>
      </c>
      <c r="G558" s="2" t="s">
        <v>19</v>
      </c>
      <c r="H558" s="2">
        <v>71161</v>
      </c>
      <c r="I558" t="s">
        <v>6190</v>
      </c>
    </row>
    <row r="559" spans="1:9" x14ac:dyDescent="0.25">
      <c r="A559" s="2" t="s">
        <v>3639</v>
      </c>
      <c r="B559" s="2" t="s">
        <v>3640</v>
      </c>
      <c r="C559" s="2"/>
      <c r="D559" s="2" t="s">
        <v>3641</v>
      </c>
      <c r="E559" s="2" t="s">
        <v>3642</v>
      </c>
      <c r="F559" s="2" t="s">
        <v>80</v>
      </c>
      <c r="G559" s="2" t="s">
        <v>19</v>
      </c>
      <c r="H559" s="2">
        <v>32835</v>
      </c>
      <c r="I559" t="s">
        <v>6191</v>
      </c>
    </row>
    <row r="560" spans="1:9" x14ac:dyDescent="0.25">
      <c r="A560" s="2" t="s">
        <v>3644</v>
      </c>
      <c r="B560" s="2" t="s">
        <v>3645</v>
      </c>
      <c r="C560" s="2"/>
      <c r="D560" s="2" t="s">
        <v>3646</v>
      </c>
      <c r="E560" s="2" t="s">
        <v>3647</v>
      </c>
      <c r="F560" s="2" t="s">
        <v>43</v>
      </c>
      <c r="G560" s="2" t="s">
        <v>19</v>
      </c>
      <c r="H560" s="2">
        <v>40515</v>
      </c>
      <c r="I560" t="s">
        <v>6190</v>
      </c>
    </row>
    <row r="561" spans="1:9" x14ac:dyDescent="0.25">
      <c r="A561" s="2" t="s">
        <v>3649</v>
      </c>
      <c r="B561" s="2" t="s">
        <v>3650</v>
      </c>
      <c r="C561" s="2" t="s">
        <v>3651</v>
      </c>
      <c r="D561" s="2" t="s">
        <v>3652</v>
      </c>
      <c r="E561" s="2" t="s">
        <v>3653</v>
      </c>
      <c r="F561" s="2" t="s">
        <v>45</v>
      </c>
      <c r="G561" s="2" t="s">
        <v>19</v>
      </c>
      <c r="H561" s="2">
        <v>53263</v>
      </c>
      <c r="I561" t="s">
        <v>6190</v>
      </c>
    </row>
    <row r="562" spans="1:9" x14ac:dyDescent="0.25">
      <c r="A562" s="2" t="s">
        <v>3655</v>
      </c>
      <c r="B562" s="2" t="s">
        <v>3656</v>
      </c>
      <c r="C562" s="2"/>
      <c r="D562" s="2" t="s">
        <v>3657</v>
      </c>
      <c r="E562" s="2" t="s">
        <v>3658</v>
      </c>
      <c r="F562" s="2" t="s">
        <v>240</v>
      </c>
      <c r="G562" s="2" t="s">
        <v>19</v>
      </c>
      <c r="H562" s="2">
        <v>79176</v>
      </c>
      <c r="I562" t="s">
        <v>6190</v>
      </c>
    </row>
    <row r="563" spans="1:9" x14ac:dyDescent="0.25">
      <c r="A563" s="2" t="s">
        <v>3660</v>
      </c>
      <c r="B563" s="2" t="s">
        <v>3661</v>
      </c>
      <c r="C563" s="2"/>
      <c r="D563" s="2" t="s">
        <v>3662</v>
      </c>
      <c r="E563" s="2" t="s">
        <v>3663</v>
      </c>
      <c r="F563" s="2" t="s">
        <v>3664</v>
      </c>
      <c r="G563" s="2" t="s">
        <v>318</v>
      </c>
      <c r="H563" s="2" t="s">
        <v>398</v>
      </c>
      <c r="I563" t="s">
        <v>6190</v>
      </c>
    </row>
    <row r="564" spans="1:9" x14ac:dyDescent="0.25">
      <c r="A564" s="2" t="s">
        <v>3666</v>
      </c>
      <c r="B564" s="2" t="s">
        <v>3667</v>
      </c>
      <c r="C564" s="2" t="s">
        <v>3668</v>
      </c>
      <c r="D564" s="2" t="s">
        <v>3669</v>
      </c>
      <c r="E564" s="2" t="s">
        <v>3670</v>
      </c>
      <c r="F564" s="2" t="s">
        <v>159</v>
      </c>
      <c r="G564" s="2" t="s">
        <v>28</v>
      </c>
      <c r="H564" s="2" t="s">
        <v>160</v>
      </c>
      <c r="I564" t="s">
        <v>6191</v>
      </c>
    </row>
    <row r="565" spans="1:9" x14ac:dyDescent="0.25">
      <c r="A565" s="2" t="s">
        <v>3672</v>
      </c>
      <c r="B565" s="2" t="s">
        <v>3673</v>
      </c>
      <c r="C565" s="2" t="s">
        <v>3674</v>
      </c>
      <c r="D565" s="2" t="s">
        <v>3675</v>
      </c>
      <c r="E565" s="2" t="s">
        <v>3676</v>
      </c>
      <c r="F565" s="2" t="s">
        <v>84</v>
      </c>
      <c r="G565" s="2" t="s">
        <v>19</v>
      </c>
      <c r="H565" s="2">
        <v>30323</v>
      </c>
      <c r="I565" t="s">
        <v>6191</v>
      </c>
    </row>
    <row r="566" spans="1:9" x14ac:dyDescent="0.25">
      <c r="A566" s="2" t="s">
        <v>3678</v>
      </c>
      <c r="B566" s="2" t="s">
        <v>3679</v>
      </c>
      <c r="C566" s="2" t="s">
        <v>3680</v>
      </c>
      <c r="D566" s="2" t="s">
        <v>3681</v>
      </c>
      <c r="E566" s="2" t="s">
        <v>3682</v>
      </c>
      <c r="F566" s="2" t="s">
        <v>49</v>
      </c>
      <c r="G566" s="2" t="s">
        <v>19</v>
      </c>
      <c r="H566" s="2">
        <v>37924</v>
      </c>
      <c r="I566" t="s">
        <v>6191</v>
      </c>
    </row>
    <row r="567" spans="1:9" x14ac:dyDescent="0.25">
      <c r="A567" s="2" t="s">
        <v>3684</v>
      </c>
      <c r="B567" s="2" t="s">
        <v>3685</v>
      </c>
      <c r="C567" s="2" t="s">
        <v>3686</v>
      </c>
      <c r="D567" s="2" t="s">
        <v>3687</v>
      </c>
      <c r="E567" s="2" t="s">
        <v>3688</v>
      </c>
      <c r="F567" s="2" t="s">
        <v>67</v>
      </c>
      <c r="G567" s="2" t="s">
        <v>19</v>
      </c>
      <c r="H567" s="2">
        <v>66225</v>
      </c>
      <c r="I567" t="s">
        <v>6191</v>
      </c>
    </row>
    <row r="568" spans="1:9" x14ac:dyDescent="0.25">
      <c r="A568" s="2" t="s">
        <v>3690</v>
      </c>
      <c r="B568" s="2" t="s">
        <v>3691</v>
      </c>
      <c r="C568" s="2" t="s">
        <v>3692</v>
      </c>
      <c r="D568" s="2" t="s">
        <v>3693</v>
      </c>
      <c r="E568" s="2" t="s">
        <v>3694</v>
      </c>
      <c r="F568" s="2" t="s">
        <v>271</v>
      </c>
      <c r="G568" s="2" t="s">
        <v>19</v>
      </c>
      <c r="H568" s="2">
        <v>33330</v>
      </c>
      <c r="I568" t="s">
        <v>6190</v>
      </c>
    </row>
    <row r="569" spans="1:9" x14ac:dyDescent="0.25">
      <c r="A569" s="2" t="s">
        <v>3696</v>
      </c>
      <c r="B569" s="2" t="s">
        <v>3697</v>
      </c>
      <c r="C569" s="2"/>
      <c r="D569" s="2" t="s">
        <v>3698</v>
      </c>
      <c r="E569" s="2" t="s">
        <v>3699</v>
      </c>
      <c r="F569" s="2" t="s">
        <v>433</v>
      </c>
      <c r="G569" s="2" t="s">
        <v>318</v>
      </c>
      <c r="H569" s="2" t="s">
        <v>434</v>
      </c>
      <c r="I569" t="s">
        <v>6191</v>
      </c>
    </row>
    <row r="570" spans="1:9" x14ac:dyDescent="0.25">
      <c r="A570" s="2" t="s">
        <v>3701</v>
      </c>
      <c r="B570" s="2" t="s">
        <v>3702</v>
      </c>
      <c r="C570" s="2" t="s">
        <v>3703</v>
      </c>
      <c r="D570" s="2" t="s">
        <v>3704</v>
      </c>
      <c r="E570" s="2" t="s">
        <v>3705</v>
      </c>
      <c r="F570" s="2" t="s">
        <v>123</v>
      </c>
      <c r="G570" s="2" t="s">
        <v>19</v>
      </c>
      <c r="H570" s="2">
        <v>78715</v>
      </c>
      <c r="I570" t="s">
        <v>6190</v>
      </c>
    </row>
    <row r="571" spans="1:9" x14ac:dyDescent="0.25">
      <c r="A571" s="2" t="s">
        <v>3707</v>
      </c>
      <c r="B571" s="2" t="s">
        <v>3708</v>
      </c>
      <c r="C571" s="2" t="s">
        <v>3709</v>
      </c>
      <c r="D571" s="2" t="s">
        <v>3710</v>
      </c>
      <c r="E571" s="2" t="s">
        <v>3711</v>
      </c>
      <c r="F571" s="2" t="s">
        <v>255</v>
      </c>
      <c r="G571" s="2" t="s">
        <v>19</v>
      </c>
      <c r="H571" s="2">
        <v>44105</v>
      </c>
      <c r="I571" t="s">
        <v>6191</v>
      </c>
    </row>
    <row r="572" spans="1:9" x14ac:dyDescent="0.25">
      <c r="A572" s="2" t="s">
        <v>3713</v>
      </c>
      <c r="B572" s="2" t="s">
        <v>3714</v>
      </c>
      <c r="C572" s="2" t="s">
        <v>3715</v>
      </c>
      <c r="D572" s="2" t="s">
        <v>3716</v>
      </c>
      <c r="E572" s="2" t="s">
        <v>3717</v>
      </c>
      <c r="F572" s="2" t="s">
        <v>68</v>
      </c>
      <c r="G572" s="2" t="s">
        <v>19</v>
      </c>
      <c r="H572" s="2">
        <v>20784</v>
      </c>
      <c r="I572" t="s">
        <v>6191</v>
      </c>
    </row>
    <row r="573" spans="1:9" x14ac:dyDescent="0.25">
      <c r="A573" s="2" t="s">
        <v>3719</v>
      </c>
      <c r="B573" s="2" t="s">
        <v>3720</v>
      </c>
      <c r="C573" s="2" t="s">
        <v>3721</v>
      </c>
      <c r="D573" s="2" t="s">
        <v>3722</v>
      </c>
      <c r="E573" s="2" t="s">
        <v>3723</v>
      </c>
      <c r="F573" s="2" t="s">
        <v>244</v>
      </c>
      <c r="G573" s="2" t="s">
        <v>28</v>
      </c>
      <c r="H573" s="2" t="s">
        <v>245</v>
      </c>
      <c r="I573" t="s">
        <v>6191</v>
      </c>
    </row>
    <row r="574" spans="1:9" x14ac:dyDescent="0.25">
      <c r="A574" s="2" t="s">
        <v>3725</v>
      </c>
      <c r="B574" s="2" t="s">
        <v>3726</v>
      </c>
      <c r="C574" s="2"/>
      <c r="D574" s="2"/>
      <c r="E574" s="2" t="s">
        <v>3727</v>
      </c>
      <c r="F574" s="2" t="s">
        <v>87</v>
      </c>
      <c r="G574" s="2" t="s">
        <v>19</v>
      </c>
      <c r="H574" s="2">
        <v>91103</v>
      </c>
      <c r="I574" t="s">
        <v>6190</v>
      </c>
    </row>
    <row r="575" spans="1:9" x14ac:dyDescent="0.25">
      <c r="A575" s="2" t="s">
        <v>3729</v>
      </c>
      <c r="B575" s="2" t="s">
        <v>3730</v>
      </c>
      <c r="C575" s="2" t="s">
        <v>3731</v>
      </c>
      <c r="D575" s="2" t="s">
        <v>3732</v>
      </c>
      <c r="E575" s="2" t="s">
        <v>3733</v>
      </c>
      <c r="F575" s="2" t="s">
        <v>175</v>
      </c>
      <c r="G575" s="2" t="s">
        <v>19</v>
      </c>
      <c r="H575" s="2">
        <v>71161</v>
      </c>
      <c r="I575" t="s">
        <v>6191</v>
      </c>
    </row>
    <row r="576" spans="1:9" x14ac:dyDescent="0.25">
      <c r="A576" s="2" t="s">
        <v>3735</v>
      </c>
      <c r="B576" s="2" t="s">
        <v>3736</v>
      </c>
      <c r="C576" s="2" t="s">
        <v>3737</v>
      </c>
      <c r="D576" s="2"/>
      <c r="E576" s="2" t="s">
        <v>3738</v>
      </c>
      <c r="F576" s="2" t="s">
        <v>250</v>
      </c>
      <c r="G576" s="2" t="s">
        <v>19</v>
      </c>
      <c r="H576" s="2">
        <v>32590</v>
      </c>
      <c r="I576" t="s">
        <v>6190</v>
      </c>
    </row>
    <row r="577" spans="1:9" x14ac:dyDescent="0.25">
      <c r="A577" s="2" t="s">
        <v>3740</v>
      </c>
      <c r="B577" s="2" t="s">
        <v>3741</v>
      </c>
      <c r="C577" s="2" t="s">
        <v>3742</v>
      </c>
      <c r="D577" s="2" t="s">
        <v>3743</v>
      </c>
      <c r="E577" s="2" t="s">
        <v>3744</v>
      </c>
      <c r="F577" s="2" t="s">
        <v>27</v>
      </c>
      <c r="G577" s="2" t="s">
        <v>19</v>
      </c>
      <c r="H577" s="2">
        <v>90035</v>
      </c>
      <c r="I577" t="s">
        <v>6191</v>
      </c>
    </row>
    <row r="578" spans="1:9" x14ac:dyDescent="0.25">
      <c r="A578" s="2" t="s">
        <v>3746</v>
      </c>
      <c r="B578" s="2" t="s">
        <v>3747</v>
      </c>
      <c r="C578" s="2" t="s">
        <v>3748</v>
      </c>
      <c r="D578" s="2" t="s">
        <v>3749</v>
      </c>
      <c r="E578" s="2" t="s">
        <v>3750</v>
      </c>
      <c r="F578" s="2" t="s">
        <v>31</v>
      </c>
      <c r="G578" s="2" t="s">
        <v>19</v>
      </c>
      <c r="H578" s="2">
        <v>27705</v>
      </c>
      <c r="I578" t="s">
        <v>6191</v>
      </c>
    </row>
    <row r="579" spans="1:9" x14ac:dyDescent="0.25">
      <c r="A579" s="2" t="s">
        <v>3752</v>
      </c>
      <c r="B579" s="2" t="s">
        <v>3753</v>
      </c>
      <c r="C579" s="2" t="s">
        <v>3754</v>
      </c>
      <c r="D579" s="2"/>
      <c r="E579" s="2" t="s">
        <v>3755</v>
      </c>
      <c r="F579" s="2" t="s">
        <v>180</v>
      </c>
      <c r="G579" s="2" t="s">
        <v>28</v>
      </c>
      <c r="H579" s="2" t="s">
        <v>192</v>
      </c>
      <c r="I579" t="s">
        <v>6191</v>
      </c>
    </row>
    <row r="580" spans="1:9" x14ac:dyDescent="0.25">
      <c r="A580" s="2" t="s">
        <v>3757</v>
      </c>
      <c r="B580" s="2" t="s">
        <v>3758</v>
      </c>
      <c r="C580" s="2" t="s">
        <v>3759</v>
      </c>
      <c r="D580" s="2" t="s">
        <v>3760</v>
      </c>
      <c r="E580" s="2" t="s">
        <v>3761</v>
      </c>
      <c r="F580" s="2" t="s">
        <v>414</v>
      </c>
      <c r="G580" s="2" t="s">
        <v>318</v>
      </c>
      <c r="H580" s="2" t="s">
        <v>415</v>
      </c>
      <c r="I580" t="s">
        <v>6191</v>
      </c>
    </row>
    <row r="581" spans="1:9" x14ac:dyDescent="0.25">
      <c r="A581" s="2" t="s">
        <v>3762</v>
      </c>
      <c r="B581" s="2" t="s">
        <v>3763</v>
      </c>
      <c r="C581" s="2" t="s">
        <v>3764</v>
      </c>
      <c r="D581" s="2" t="s">
        <v>3765</v>
      </c>
      <c r="E581" s="2" t="s">
        <v>3766</v>
      </c>
      <c r="F581" s="2" t="s">
        <v>3664</v>
      </c>
      <c r="G581" s="2" t="s">
        <v>318</v>
      </c>
      <c r="H581" s="2" t="s">
        <v>398</v>
      </c>
      <c r="I581" t="s">
        <v>6191</v>
      </c>
    </row>
    <row r="582" spans="1:9" x14ac:dyDescent="0.25">
      <c r="A582" s="2" t="s">
        <v>3768</v>
      </c>
      <c r="B582" s="2" t="s">
        <v>3769</v>
      </c>
      <c r="C582" s="2" t="s">
        <v>3770</v>
      </c>
      <c r="D582" s="2" t="s">
        <v>3771</v>
      </c>
      <c r="E582" s="2" t="s">
        <v>3772</v>
      </c>
      <c r="F582" s="2" t="s">
        <v>146</v>
      </c>
      <c r="G582" s="2" t="s">
        <v>19</v>
      </c>
      <c r="H582" s="2">
        <v>90605</v>
      </c>
      <c r="I582" t="s">
        <v>6190</v>
      </c>
    </row>
    <row r="583" spans="1:9" x14ac:dyDescent="0.25">
      <c r="A583" s="2" t="s">
        <v>3774</v>
      </c>
      <c r="B583" s="2" t="s">
        <v>3775</v>
      </c>
      <c r="C583" s="2" t="s">
        <v>3776</v>
      </c>
      <c r="D583" s="2"/>
      <c r="E583" s="2" t="s">
        <v>3777</v>
      </c>
      <c r="F583" s="2" t="s">
        <v>144</v>
      </c>
      <c r="G583" s="2" t="s">
        <v>28</v>
      </c>
      <c r="H583" s="2" t="s">
        <v>145</v>
      </c>
      <c r="I583" t="s">
        <v>6190</v>
      </c>
    </row>
    <row r="584" spans="1:9" x14ac:dyDescent="0.25">
      <c r="A584" s="2" t="s">
        <v>3779</v>
      </c>
      <c r="B584" s="2" t="s">
        <v>3780</v>
      </c>
      <c r="C584" s="2" t="s">
        <v>3781</v>
      </c>
      <c r="D584" s="2" t="s">
        <v>3782</v>
      </c>
      <c r="E584" s="2" t="s">
        <v>3783</v>
      </c>
      <c r="F584" s="2" t="s">
        <v>38</v>
      </c>
      <c r="G584" s="2" t="s">
        <v>19</v>
      </c>
      <c r="H584" s="2">
        <v>23237</v>
      </c>
      <c r="I584" t="s">
        <v>6191</v>
      </c>
    </row>
    <row r="585" spans="1:9" x14ac:dyDescent="0.25">
      <c r="A585" s="2" t="s">
        <v>3785</v>
      </c>
      <c r="B585" s="2" t="s">
        <v>3786</v>
      </c>
      <c r="C585" s="2" t="s">
        <v>3787</v>
      </c>
      <c r="D585" s="2" t="s">
        <v>3788</v>
      </c>
      <c r="E585" s="2" t="s">
        <v>3789</v>
      </c>
      <c r="F585" s="2" t="s">
        <v>34</v>
      </c>
      <c r="G585" s="2" t="s">
        <v>19</v>
      </c>
      <c r="H585" s="2">
        <v>20167</v>
      </c>
      <c r="I585" t="s">
        <v>6190</v>
      </c>
    </row>
    <row r="586" spans="1:9" x14ac:dyDescent="0.25">
      <c r="A586" s="2" t="s">
        <v>3791</v>
      </c>
      <c r="B586" s="2" t="s">
        <v>3792</v>
      </c>
      <c r="C586" s="2" t="s">
        <v>3793</v>
      </c>
      <c r="D586" s="2" t="s">
        <v>3794</v>
      </c>
      <c r="E586" s="2" t="s">
        <v>3795</v>
      </c>
      <c r="F586" s="2" t="s">
        <v>352</v>
      </c>
      <c r="G586" s="2" t="s">
        <v>19</v>
      </c>
      <c r="H586" s="2">
        <v>89706</v>
      </c>
      <c r="I586" t="s">
        <v>6191</v>
      </c>
    </row>
    <row r="587" spans="1:9" x14ac:dyDescent="0.25">
      <c r="A587" s="2" t="s">
        <v>3797</v>
      </c>
      <c r="B587" s="2" t="s">
        <v>3798</v>
      </c>
      <c r="C587" s="2" t="s">
        <v>3799</v>
      </c>
      <c r="D587" s="2" t="s">
        <v>3800</v>
      </c>
      <c r="E587" s="2" t="s">
        <v>3801</v>
      </c>
      <c r="F587" s="2" t="s">
        <v>360</v>
      </c>
      <c r="G587" s="2" t="s">
        <v>318</v>
      </c>
      <c r="H587" s="2" t="s">
        <v>361</v>
      </c>
      <c r="I587" t="s">
        <v>6190</v>
      </c>
    </row>
    <row r="588" spans="1:9" x14ac:dyDescent="0.25">
      <c r="A588" s="2" t="s">
        <v>3803</v>
      </c>
      <c r="B588" s="2" t="s">
        <v>3804</v>
      </c>
      <c r="C588" s="2"/>
      <c r="D588" s="2" t="s">
        <v>3805</v>
      </c>
      <c r="E588" s="2" t="s">
        <v>3806</v>
      </c>
      <c r="F588" s="2" t="s">
        <v>173</v>
      </c>
      <c r="G588" s="2" t="s">
        <v>19</v>
      </c>
      <c r="H588" s="2">
        <v>55123</v>
      </c>
      <c r="I588" t="s">
        <v>6191</v>
      </c>
    </row>
    <row r="589" spans="1:9" x14ac:dyDescent="0.25">
      <c r="A589" s="2" t="s">
        <v>3808</v>
      </c>
      <c r="B589" s="2" t="s">
        <v>3809</v>
      </c>
      <c r="C589" s="2" t="s">
        <v>3810</v>
      </c>
      <c r="D589" s="2"/>
      <c r="E589" s="2" t="s">
        <v>3811</v>
      </c>
      <c r="F589" s="2" t="s">
        <v>223</v>
      </c>
      <c r="G589" s="2" t="s">
        <v>19</v>
      </c>
      <c r="H589" s="2">
        <v>35895</v>
      </c>
      <c r="I589" t="s">
        <v>6190</v>
      </c>
    </row>
    <row r="590" spans="1:9" x14ac:dyDescent="0.25">
      <c r="A590" s="2" t="s">
        <v>3813</v>
      </c>
      <c r="B590" s="2" t="s">
        <v>3814</v>
      </c>
      <c r="C590" s="2" t="s">
        <v>3815</v>
      </c>
      <c r="D590" s="2" t="s">
        <v>3816</v>
      </c>
      <c r="E590" s="2" t="s">
        <v>3817</v>
      </c>
      <c r="F590" s="2" t="s">
        <v>50</v>
      </c>
      <c r="G590" s="2" t="s">
        <v>19</v>
      </c>
      <c r="H590" s="2">
        <v>88553</v>
      </c>
      <c r="I590" t="s">
        <v>6190</v>
      </c>
    </row>
    <row r="591" spans="1:9" x14ac:dyDescent="0.25">
      <c r="A591" s="2" t="s">
        <v>3819</v>
      </c>
      <c r="B591" s="2" t="s">
        <v>3820</v>
      </c>
      <c r="C591" s="2" t="s">
        <v>3821</v>
      </c>
      <c r="D591" s="2"/>
      <c r="E591" s="2" t="s">
        <v>3822</v>
      </c>
      <c r="F591" s="2" t="s">
        <v>62</v>
      </c>
      <c r="G591" s="2" t="s">
        <v>19</v>
      </c>
      <c r="H591" s="2">
        <v>30033</v>
      </c>
      <c r="I591" t="s">
        <v>6191</v>
      </c>
    </row>
    <row r="592" spans="1:9" x14ac:dyDescent="0.25">
      <c r="A592" s="2" t="s">
        <v>3824</v>
      </c>
      <c r="B592" s="2" t="s">
        <v>3825</v>
      </c>
      <c r="C592" s="2" t="s">
        <v>3826</v>
      </c>
      <c r="D592" s="2" t="s">
        <v>3827</v>
      </c>
      <c r="E592" s="2" t="s">
        <v>3828</v>
      </c>
      <c r="F592" s="2" t="s">
        <v>161</v>
      </c>
      <c r="G592" s="2" t="s">
        <v>19</v>
      </c>
      <c r="H592" s="2">
        <v>92668</v>
      </c>
      <c r="I592" t="s">
        <v>6190</v>
      </c>
    </row>
    <row r="593" spans="1:9" x14ac:dyDescent="0.25">
      <c r="A593" s="2" t="s">
        <v>3830</v>
      </c>
      <c r="B593" s="2" t="s">
        <v>3831</v>
      </c>
      <c r="C593" s="2" t="s">
        <v>3832</v>
      </c>
      <c r="D593" s="2"/>
      <c r="E593" s="2" t="s">
        <v>3833</v>
      </c>
      <c r="F593" s="2" t="s">
        <v>25</v>
      </c>
      <c r="G593" s="2" t="s">
        <v>19</v>
      </c>
      <c r="H593" s="2">
        <v>92648</v>
      </c>
      <c r="I593" t="s">
        <v>6190</v>
      </c>
    </row>
    <row r="594" spans="1:9" x14ac:dyDescent="0.25">
      <c r="A594" s="2" t="s">
        <v>3835</v>
      </c>
      <c r="B594" s="2" t="s">
        <v>3836</v>
      </c>
      <c r="C594" s="2"/>
      <c r="D594" s="2" t="s">
        <v>3837</v>
      </c>
      <c r="E594" s="2" t="s">
        <v>3838</v>
      </c>
      <c r="F594" s="2" t="s">
        <v>45</v>
      </c>
      <c r="G594" s="2" t="s">
        <v>19</v>
      </c>
      <c r="H594" s="2">
        <v>53285</v>
      </c>
      <c r="I594" t="s">
        <v>6191</v>
      </c>
    </row>
    <row r="595" spans="1:9" x14ac:dyDescent="0.25">
      <c r="A595" s="2" t="s">
        <v>3840</v>
      </c>
      <c r="B595" s="2" t="s">
        <v>3841</v>
      </c>
      <c r="C595" s="2" t="s">
        <v>3842</v>
      </c>
      <c r="D595" s="2"/>
      <c r="E595" s="2" t="s">
        <v>3843</v>
      </c>
      <c r="F595" s="2" t="s">
        <v>81</v>
      </c>
      <c r="G595" s="2" t="s">
        <v>28</v>
      </c>
      <c r="H595" s="2" t="s">
        <v>258</v>
      </c>
      <c r="I595" t="s">
        <v>6190</v>
      </c>
    </row>
    <row r="596" spans="1:9" x14ac:dyDescent="0.25">
      <c r="A596" s="2" t="s">
        <v>3845</v>
      </c>
      <c r="B596" s="2" t="s">
        <v>3846</v>
      </c>
      <c r="C596" s="2" t="s">
        <v>3847</v>
      </c>
      <c r="D596" s="2" t="s">
        <v>3848</v>
      </c>
      <c r="E596" s="2" t="s">
        <v>3849</v>
      </c>
      <c r="F596" s="2" t="s">
        <v>65</v>
      </c>
      <c r="G596" s="2" t="s">
        <v>19</v>
      </c>
      <c r="H596" s="2">
        <v>37416</v>
      </c>
      <c r="I596" t="s">
        <v>6191</v>
      </c>
    </row>
    <row r="597" spans="1:9" x14ac:dyDescent="0.25">
      <c r="A597" s="2" t="s">
        <v>3851</v>
      </c>
      <c r="B597" s="2" t="s">
        <v>3852</v>
      </c>
      <c r="C597" s="2"/>
      <c r="D597" s="2"/>
      <c r="E597" s="2" t="s">
        <v>3853</v>
      </c>
      <c r="F597" s="2" t="s">
        <v>307</v>
      </c>
      <c r="G597" s="2" t="s">
        <v>28</v>
      </c>
      <c r="H597" s="2" t="s">
        <v>308</v>
      </c>
      <c r="I597" t="s">
        <v>6191</v>
      </c>
    </row>
    <row r="598" spans="1:9" x14ac:dyDescent="0.25">
      <c r="A598" s="2" t="s">
        <v>3855</v>
      </c>
      <c r="B598" s="2" t="s">
        <v>3856</v>
      </c>
      <c r="C598" s="2" t="s">
        <v>3857</v>
      </c>
      <c r="D598" s="2" t="s">
        <v>3858</v>
      </c>
      <c r="E598" s="2" t="s">
        <v>3859</v>
      </c>
      <c r="F598" s="2" t="s">
        <v>39</v>
      </c>
      <c r="G598" s="2" t="s">
        <v>19</v>
      </c>
      <c r="H598" s="2">
        <v>43268</v>
      </c>
      <c r="I598" t="s">
        <v>6191</v>
      </c>
    </row>
    <row r="599" spans="1:9" x14ac:dyDescent="0.25">
      <c r="A599" s="2" t="s">
        <v>3861</v>
      </c>
      <c r="B599" s="2" t="s">
        <v>3862</v>
      </c>
      <c r="C599" s="2" t="s">
        <v>3863</v>
      </c>
      <c r="D599" s="2" t="s">
        <v>3864</v>
      </c>
      <c r="E599" s="2" t="s">
        <v>3865</v>
      </c>
      <c r="F599" s="2" t="s">
        <v>87</v>
      </c>
      <c r="G599" s="2" t="s">
        <v>19</v>
      </c>
      <c r="H599" s="2">
        <v>91186</v>
      </c>
      <c r="I599" t="s">
        <v>6190</v>
      </c>
    </row>
    <row r="600" spans="1:9" x14ac:dyDescent="0.25">
      <c r="A600" s="2" t="s">
        <v>3867</v>
      </c>
      <c r="B600" s="2" t="s">
        <v>3868</v>
      </c>
      <c r="C600" s="2" t="s">
        <v>3869</v>
      </c>
      <c r="D600" s="2" t="s">
        <v>3870</v>
      </c>
      <c r="E600" s="2" t="s">
        <v>3871</v>
      </c>
      <c r="F600" s="2" t="s">
        <v>150</v>
      </c>
      <c r="G600" s="2" t="s">
        <v>19</v>
      </c>
      <c r="H600" s="2">
        <v>94159</v>
      </c>
      <c r="I600" t="s">
        <v>6190</v>
      </c>
    </row>
    <row r="601" spans="1:9" x14ac:dyDescent="0.25">
      <c r="A601" s="2" t="s">
        <v>3873</v>
      </c>
      <c r="B601" s="2" t="s">
        <v>3874</v>
      </c>
      <c r="C601" s="2" t="s">
        <v>3875</v>
      </c>
      <c r="D601" s="2"/>
      <c r="E601" s="2" t="s">
        <v>3876</v>
      </c>
      <c r="F601" s="2" t="s">
        <v>175</v>
      </c>
      <c r="G601" s="2" t="s">
        <v>19</v>
      </c>
      <c r="H601" s="2">
        <v>71137</v>
      </c>
      <c r="I601" t="s">
        <v>6190</v>
      </c>
    </row>
    <row r="602" spans="1:9" x14ac:dyDescent="0.25">
      <c r="A602" s="2" t="s">
        <v>3878</v>
      </c>
      <c r="B602" s="2" t="s">
        <v>3879</v>
      </c>
      <c r="C602" s="2" t="s">
        <v>3880</v>
      </c>
      <c r="D602" s="2" t="s">
        <v>3881</v>
      </c>
      <c r="E602" s="2" t="s">
        <v>3882</v>
      </c>
      <c r="F602" s="2" t="s">
        <v>46</v>
      </c>
      <c r="G602" s="2" t="s">
        <v>19</v>
      </c>
      <c r="H602" s="2">
        <v>19141</v>
      </c>
      <c r="I602" t="s">
        <v>6191</v>
      </c>
    </row>
    <row r="603" spans="1:9" x14ac:dyDescent="0.25">
      <c r="A603" s="2" t="s">
        <v>3884</v>
      </c>
      <c r="B603" s="2" t="s">
        <v>3885</v>
      </c>
      <c r="C603" s="2" t="s">
        <v>3886</v>
      </c>
      <c r="D603" s="2" t="s">
        <v>3887</v>
      </c>
      <c r="E603" s="2" t="s">
        <v>3888</v>
      </c>
      <c r="F603" s="2" t="s">
        <v>269</v>
      </c>
      <c r="G603" s="2" t="s">
        <v>19</v>
      </c>
      <c r="H603" s="2">
        <v>41905</v>
      </c>
      <c r="I603" t="s">
        <v>6190</v>
      </c>
    </row>
    <row r="604" spans="1:9" x14ac:dyDescent="0.25">
      <c r="A604" s="2" t="s">
        <v>3890</v>
      </c>
      <c r="B604" s="2" t="s">
        <v>3891</v>
      </c>
      <c r="C604" s="2" t="s">
        <v>3892</v>
      </c>
      <c r="D604" s="2" t="s">
        <v>3893</v>
      </c>
      <c r="E604" s="2" t="s">
        <v>3894</v>
      </c>
      <c r="F604" s="2" t="s">
        <v>260</v>
      </c>
      <c r="G604" s="2" t="s">
        <v>19</v>
      </c>
      <c r="H604" s="2">
        <v>43666</v>
      </c>
      <c r="I604" t="s">
        <v>6190</v>
      </c>
    </row>
    <row r="605" spans="1:9" x14ac:dyDescent="0.25">
      <c r="A605" s="2" t="s">
        <v>3896</v>
      </c>
      <c r="B605" s="2" t="s">
        <v>3897</v>
      </c>
      <c r="C605" s="2" t="s">
        <v>3898</v>
      </c>
      <c r="D605" s="2"/>
      <c r="E605" s="2" t="s">
        <v>3899</v>
      </c>
      <c r="F605" s="2" t="s">
        <v>78</v>
      </c>
      <c r="G605" s="2" t="s">
        <v>19</v>
      </c>
      <c r="H605" s="2">
        <v>80945</v>
      </c>
      <c r="I605" t="s">
        <v>6191</v>
      </c>
    </row>
    <row r="606" spans="1:9" x14ac:dyDescent="0.25">
      <c r="A606" s="2" t="s">
        <v>3901</v>
      </c>
      <c r="B606" s="2" t="s">
        <v>3902</v>
      </c>
      <c r="C606" s="2"/>
      <c r="D606" s="2" t="s">
        <v>3903</v>
      </c>
      <c r="E606" s="2" t="s">
        <v>3904</v>
      </c>
      <c r="F606" s="2" t="s">
        <v>380</v>
      </c>
      <c r="G606" s="2" t="s">
        <v>318</v>
      </c>
      <c r="H606" s="2" t="s">
        <v>381</v>
      </c>
      <c r="I606" t="s">
        <v>6191</v>
      </c>
    </row>
    <row r="607" spans="1:9" x14ac:dyDescent="0.25">
      <c r="A607" s="2" t="s">
        <v>3906</v>
      </c>
      <c r="B607" s="2" t="s">
        <v>3907</v>
      </c>
      <c r="C607" s="2" t="s">
        <v>3908</v>
      </c>
      <c r="D607" s="2" t="s">
        <v>3909</v>
      </c>
      <c r="E607" s="2" t="s">
        <v>3910</v>
      </c>
      <c r="F607" s="2" t="s">
        <v>108</v>
      </c>
      <c r="G607" s="2" t="s">
        <v>19</v>
      </c>
      <c r="H607" s="2">
        <v>15274</v>
      </c>
      <c r="I607" t="s">
        <v>6190</v>
      </c>
    </row>
    <row r="608" spans="1:9" x14ac:dyDescent="0.25">
      <c r="A608" s="2" t="s">
        <v>3912</v>
      </c>
      <c r="B608" s="2" t="s">
        <v>3913</v>
      </c>
      <c r="C608" s="2" t="s">
        <v>3914</v>
      </c>
      <c r="D608" s="2" t="s">
        <v>3915</v>
      </c>
      <c r="E608" s="2" t="s">
        <v>3916</v>
      </c>
      <c r="F608" s="2" t="s">
        <v>29</v>
      </c>
      <c r="G608" s="2" t="s">
        <v>19</v>
      </c>
      <c r="H608" s="2">
        <v>33411</v>
      </c>
      <c r="I608" t="s">
        <v>6191</v>
      </c>
    </row>
    <row r="609" spans="1:9" x14ac:dyDescent="0.25">
      <c r="A609" s="2" t="s">
        <v>3918</v>
      </c>
      <c r="B609" s="2" t="s">
        <v>3919</v>
      </c>
      <c r="C609" s="2" t="s">
        <v>3920</v>
      </c>
      <c r="D609" s="2" t="s">
        <v>3921</v>
      </c>
      <c r="E609" s="2" t="s">
        <v>3922</v>
      </c>
      <c r="F609" s="2" t="s">
        <v>175</v>
      </c>
      <c r="G609" s="2" t="s">
        <v>19</v>
      </c>
      <c r="H609" s="2">
        <v>71115</v>
      </c>
      <c r="I609" t="s">
        <v>6190</v>
      </c>
    </row>
    <row r="610" spans="1:9" x14ac:dyDescent="0.25">
      <c r="A610" s="2" t="s">
        <v>3924</v>
      </c>
      <c r="B610" s="2" t="s">
        <v>3925</v>
      </c>
      <c r="C610" s="2"/>
      <c r="D610" s="2"/>
      <c r="E610" s="2" t="s">
        <v>3926</v>
      </c>
      <c r="F610" s="2" t="s">
        <v>255</v>
      </c>
      <c r="G610" s="2" t="s">
        <v>19</v>
      </c>
      <c r="H610" s="2">
        <v>44105</v>
      </c>
      <c r="I610" t="s">
        <v>6191</v>
      </c>
    </row>
    <row r="611" spans="1:9" x14ac:dyDescent="0.25">
      <c r="A611" s="2" t="s">
        <v>3928</v>
      </c>
      <c r="B611" s="2" t="s">
        <v>3929</v>
      </c>
      <c r="C611" s="2" t="s">
        <v>3930</v>
      </c>
      <c r="D611" s="2" t="s">
        <v>3931</v>
      </c>
      <c r="E611" s="2" t="s">
        <v>3932</v>
      </c>
      <c r="F611" s="2" t="s">
        <v>45</v>
      </c>
      <c r="G611" s="2" t="s">
        <v>19</v>
      </c>
      <c r="H611" s="2">
        <v>53234</v>
      </c>
      <c r="I611" t="s">
        <v>6190</v>
      </c>
    </row>
    <row r="612" spans="1:9" x14ac:dyDescent="0.25">
      <c r="A612" s="2" t="s">
        <v>3934</v>
      </c>
      <c r="B612" s="2" t="s">
        <v>3935</v>
      </c>
      <c r="C612" s="2" t="s">
        <v>3936</v>
      </c>
      <c r="D612" s="2" t="s">
        <v>3937</v>
      </c>
      <c r="E612" s="2" t="s">
        <v>3938</v>
      </c>
      <c r="F612" s="2" t="s">
        <v>271</v>
      </c>
      <c r="G612" s="2" t="s">
        <v>19</v>
      </c>
      <c r="H612" s="2">
        <v>33345</v>
      </c>
      <c r="I612" t="s">
        <v>6191</v>
      </c>
    </row>
    <row r="613" spans="1:9" x14ac:dyDescent="0.25">
      <c r="A613" s="2" t="s">
        <v>3940</v>
      </c>
      <c r="B613" s="2" t="s">
        <v>3941</v>
      </c>
      <c r="C613" s="2" t="s">
        <v>3942</v>
      </c>
      <c r="D613" s="2" t="s">
        <v>3943</v>
      </c>
      <c r="E613" s="2" t="s">
        <v>3944</v>
      </c>
      <c r="F613" s="2" t="s">
        <v>175</v>
      </c>
      <c r="G613" s="2" t="s">
        <v>19</v>
      </c>
      <c r="H613" s="2">
        <v>71105</v>
      </c>
      <c r="I613" t="s">
        <v>6191</v>
      </c>
    </row>
    <row r="614" spans="1:9" x14ac:dyDescent="0.25">
      <c r="A614" s="2" t="s">
        <v>3946</v>
      </c>
      <c r="B614" s="2" t="s">
        <v>3947</v>
      </c>
      <c r="C614" s="2"/>
      <c r="D614" s="2" t="s">
        <v>3948</v>
      </c>
      <c r="E614" s="2" t="s">
        <v>3949</v>
      </c>
      <c r="F614" s="2" t="s">
        <v>289</v>
      </c>
      <c r="G614" s="2" t="s">
        <v>318</v>
      </c>
      <c r="H614" s="2" t="s">
        <v>444</v>
      </c>
      <c r="I614" t="s">
        <v>6191</v>
      </c>
    </row>
    <row r="615" spans="1:9" x14ac:dyDescent="0.25">
      <c r="A615" s="2" t="s">
        <v>3951</v>
      </c>
      <c r="B615" s="2" t="s">
        <v>3952</v>
      </c>
      <c r="C615" s="2"/>
      <c r="D615" s="2" t="s">
        <v>3953</v>
      </c>
      <c r="E615" s="2" t="s">
        <v>3954</v>
      </c>
      <c r="F615" s="2" t="s">
        <v>131</v>
      </c>
      <c r="G615" s="2" t="s">
        <v>19</v>
      </c>
      <c r="H615" s="2">
        <v>94207</v>
      </c>
      <c r="I615" t="s">
        <v>6191</v>
      </c>
    </row>
    <row r="616" spans="1:9" x14ac:dyDescent="0.25">
      <c r="A616" s="2" t="s">
        <v>3956</v>
      </c>
      <c r="B616" s="2" t="s">
        <v>3957</v>
      </c>
      <c r="C616" s="2"/>
      <c r="D616" s="2" t="s">
        <v>3958</v>
      </c>
      <c r="E616" s="2" t="s">
        <v>3959</v>
      </c>
      <c r="F616" s="2" t="s">
        <v>130</v>
      </c>
      <c r="G616" s="2" t="s">
        <v>19</v>
      </c>
      <c r="H616" s="2">
        <v>37240</v>
      </c>
      <c r="I616" t="s">
        <v>6191</v>
      </c>
    </row>
    <row r="617" spans="1:9" x14ac:dyDescent="0.25">
      <c r="A617" s="2" t="s">
        <v>3961</v>
      </c>
      <c r="B617" s="2" t="s">
        <v>3962</v>
      </c>
      <c r="C617" s="2" t="s">
        <v>3963</v>
      </c>
      <c r="D617" s="2" t="s">
        <v>3964</v>
      </c>
      <c r="E617" s="2" t="s">
        <v>3965</v>
      </c>
      <c r="F617" s="2" t="s">
        <v>97</v>
      </c>
      <c r="G617" s="2" t="s">
        <v>19</v>
      </c>
      <c r="H617" s="2">
        <v>58122</v>
      </c>
      <c r="I617" t="s">
        <v>6190</v>
      </c>
    </row>
    <row r="618" spans="1:9" x14ac:dyDescent="0.25">
      <c r="A618" s="2" t="s">
        <v>3967</v>
      </c>
      <c r="B618" s="2" t="s">
        <v>3968</v>
      </c>
      <c r="C618" s="2" t="s">
        <v>3969</v>
      </c>
      <c r="D618" s="2" t="s">
        <v>3970</v>
      </c>
      <c r="E618" s="2" t="s">
        <v>3971</v>
      </c>
      <c r="F618" s="2" t="s">
        <v>54</v>
      </c>
      <c r="G618" s="2" t="s">
        <v>28</v>
      </c>
      <c r="H618" s="2" t="s">
        <v>55</v>
      </c>
      <c r="I618" t="s">
        <v>6191</v>
      </c>
    </row>
    <row r="619" spans="1:9" x14ac:dyDescent="0.25">
      <c r="A619" s="2" t="s">
        <v>3973</v>
      </c>
      <c r="B619" s="2" t="s">
        <v>3974</v>
      </c>
      <c r="C619" s="2" t="s">
        <v>3975</v>
      </c>
      <c r="D619" s="2" t="s">
        <v>3976</v>
      </c>
      <c r="E619" s="2" t="s">
        <v>3977</v>
      </c>
      <c r="F619" s="2" t="s">
        <v>90</v>
      </c>
      <c r="G619" s="2" t="s">
        <v>19</v>
      </c>
      <c r="H619" s="2">
        <v>74184</v>
      </c>
      <c r="I619" t="s">
        <v>6191</v>
      </c>
    </row>
    <row r="620" spans="1:9" x14ac:dyDescent="0.25">
      <c r="A620" s="2" t="s">
        <v>3979</v>
      </c>
      <c r="B620" s="2" t="s">
        <v>3980</v>
      </c>
      <c r="C620" s="2" t="s">
        <v>3981</v>
      </c>
      <c r="D620" s="2" t="s">
        <v>3982</v>
      </c>
      <c r="E620" s="2" t="s">
        <v>3983</v>
      </c>
      <c r="F620" s="2" t="s">
        <v>57</v>
      </c>
      <c r="G620" s="2" t="s">
        <v>19</v>
      </c>
      <c r="H620" s="2">
        <v>10045</v>
      </c>
      <c r="I620" t="s">
        <v>6190</v>
      </c>
    </row>
    <row r="621" spans="1:9" x14ac:dyDescent="0.25">
      <c r="A621" s="2" t="s">
        <v>3985</v>
      </c>
      <c r="B621" s="2" t="s">
        <v>3986</v>
      </c>
      <c r="C621" s="2" t="s">
        <v>3987</v>
      </c>
      <c r="D621" s="2" t="s">
        <v>3988</v>
      </c>
      <c r="E621" s="2" t="s">
        <v>3989</v>
      </c>
      <c r="F621" s="2" t="s">
        <v>53</v>
      </c>
      <c r="G621" s="2" t="s">
        <v>19</v>
      </c>
      <c r="H621" s="2">
        <v>34642</v>
      </c>
      <c r="I621" t="s">
        <v>6190</v>
      </c>
    </row>
    <row r="622" spans="1:9" x14ac:dyDescent="0.25">
      <c r="A622" s="2" t="s">
        <v>3991</v>
      </c>
      <c r="B622" s="2" t="s">
        <v>3992</v>
      </c>
      <c r="C622" s="2" t="s">
        <v>3993</v>
      </c>
      <c r="D622" s="2" t="s">
        <v>3994</v>
      </c>
      <c r="E622" s="2" t="s">
        <v>3995</v>
      </c>
      <c r="F622" s="2" t="s">
        <v>2998</v>
      </c>
      <c r="G622" s="2" t="s">
        <v>318</v>
      </c>
      <c r="H622" s="2" t="s">
        <v>395</v>
      </c>
      <c r="I622" t="s">
        <v>6191</v>
      </c>
    </row>
    <row r="623" spans="1:9" x14ac:dyDescent="0.25">
      <c r="A623" s="2" t="s">
        <v>3997</v>
      </c>
      <c r="B623" s="2" t="s">
        <v>3998</v>
      </c>
      <c r="C623" s="2" t="s">
        <v>3999</v>
      </c>
      <c r="D623" s="2" t="s">
        <v>4000</v>
      </c>
      <c r="E623" s="2" t="s">
        <v>4001</v>
      </c>
      <c r="F623" s="2" t="s">
        <v>189</v>
      </c>
      <c r="G623" s="2" t="s">
        <v>19</v>
      </c>
      <c r="H623" s="2">
        <v>97296</v>
      </c>
      <c r="I623" t="s">
        <v>6191</v>
      </c>
    </row>
    <row r="624" spans="1:9" x14ac:dyDescent="0.25">
      <c r="A624" s="2" t="s">
        <v>4003</v>
      </c>
      <c r="B624" s="2" t="s">
        <v>4004</v>
      </c>
      <c r="C624" s="2" t="s">
        <v>4005</v>
      </c>
      <c r="D624" s="2"/>
      <c r="E624" s="2" t="s">
        <v>4006</v>
      </c>
      <c r="F624" s="2" t="s">
        <v>107</v>
      </c>
      <c r="G624" s="2" t="s">
        <v>19</v>
      </c>
      <c r="H624" s="2">
        <v>89115</v>
      </c>
      <c r="I624" t="s">
        <v>6191</v>
      </c>
    </row>
    <row r="625" spans="1:9" x14ac:dyDescent="0.25">
      <c r="A625" s="2" t="s">
        <v>4008</v>
      </c>
      <c r="B625" s="2" t="s">
        <v>4009</v>
      </c>
      <c r="C625" s="2"/>
      <c r="D625" s="2" t="s">
        <v>4010</v>
      </c>
      <c r="E625" s="2" t="s">
        <v>4011</v>
      </c>
      <c r="F625" s="2" t="s">
        <v>100</v>
      </c>
      <c r="G625" s="2" t="s">
        <v>28</v>
      </c>
      <c r="H625" s="2" t="s">
        <v>101</v>
      </c>
      <c r="I625" t="s">
        <v>6191</v>
      </c>
    </row>
    <row r="626" spans="1:9" x14ac:dyDescent="0.25">
      <c r="A626" s="2" t="s">
        <v>4013</v>
      </c>
      <c r="B626" s="2" t="s">
        <v>4014</v>
      </c>
      <c r="C626" s="2" t="s">
        <v>4015</v>
      </c>
      <c r="D626" s="2"/>
      <c r="E626" s="2" t="s">
        <v>4016</v>
      </c>
      <c r="F626" s="2" t="s">
        <v>339</v>
      </c>
      <c r="G626" s="2" t="s">
        <v>318</v>
      </c>
      <c r="H626" s="2" t="s">
        <v>340</v>
      </c>
      <c r="I626" t="s">
        <v>6190</v>
      </c>
    </row>
    <row r="627" spans="1:9" x14ac:dyDescent="0.25">
      <c r="A627" s="2" t="s">
        <v>4018</v>
      </c>
      <c r="B627" s="2" t="s">
        <v>4019</v>
      </c>
      <c r="C627" s="2" t="s">
        <v>4020</v>
      </c>
      <c r="D627" s="2" t="s">
        <v>4021</v>
      </c>
      <c r="E627" s="2" t="s">
        <v>4022</v>
      </c>
      <c r="F627" s="2" t="s">
        <v>150</v>
      </c>
      <c r="G627" s="2" t="s">
        <v>19</v>
      </c>
      <c r="H627" s="2">
        <v>94159</v>
      </c>
      <c r="I627" t="s">
        <v>6191</v>
      </c>
    </row>
    <row r="628" spans="1:9" x14ac:dyDescent="0.25">
      <c r="A628" s="2" t="s">
        <v>4024</v>
      </c>
      <c r="B628" s="2" t="s">
        <v>4025</v>
      </c>
      <c r="C628" s="2" t="s">
        <v>4026</v>
      </c>
      <c r="D628" s="2" t="s">
        <v>4027</v>
      </c>
      <c r="E628" s="2" t="s">
        <v>4028</v>
      </c>
      <c r="F628" s="2" t="s">
        <v>108</v>
      </c>
      <c r="G628" s="2" t="s">
        <v>19</v>
      </c>
      <c r="H628" s="2">
        <v>15274</v>
      </c>
      <c r="I628" t="s">
        <v>6191</v>
      </c>
    </row>
    <row r="629" spans="1:9" x14ac:dyDescent="0.25">
      <c r="A629" s="2" t="s">
        <v>4030</v>
      </c>
      <c r="B629" s="2" t="s">
        <v>4031</v>
      </c>
      <c r="C629" s="2" t="s">
        <v>4032</v>
      </c>
      <c r="D629" s="2" t="s">
        <v>4033</v>
      </c>
      <c r="E629" s="2" t="s">
        <v>4034</v>
      </c>
      <c r="F629" s="2" t="s">
        <v>63</v>
      </c>
      <c r="G629" s="2" t="s">
        <v>19</v>
      </c>
      <c r="H629" s="2">
        <v>77281</v>
      </c>
      <c r="I629" t="s">
        <v>6190</v>
      </c>
    </row>
    <row r="630" spans="1:9" x14ac:dyDescent="0.25">
      <c r="A630" s="2" t="s">
        <v>4036</v>
      </c>
      <c r="B630" s="2" t="s">
        <v>4037</v>
      </c>
      <c r="C630" s="2" t="s">
        <v>4038</v>
      </c>
      <c r="D630" s="2" t="s">
        <v>4039</v>
      </c>
      <c r="E630" s="2" t="s">
        <v>4040</v>
      </c>
      <c r="F630" s="2" t="s">
        <v>4041</v>
      </c>
      <c r="G630" s="2" t="s">
        <v>318</v>
      </c>
      <c r="H630" s="2" t="s">
        <v>416</v>
      </c>
      <c r="I630" t="s">
        <v>6190</v>
      </c>
    </row>
    <row r="631" spans="1:9" x14ac:dyDescent="0.25">
      <c r="A631" s="2" t="s">
        <v>4042</v>
      </c>
      <c r="B631" s="2" t="s">
        <v>4043</v>
      </c>
      <c r="C631" s="2" t="s">
        <v>4044</v>
      </c>
      <c r="D631" s="2"/>
      <c r="E631" s="2" t="s">
        <v>4045</v>
      </c>
      <c r="F631" s="2" t="s">
        <v>271</v>
      </c>
      <c r="G631" s="2" t="s">
        <v>19</v>
      </c>
      <c r="H631" s="2">
        <v>33345</v>
      </c>
      <c r="I631" t="s">
        <v>6191</v>
      </c>
    </row>
    <row r="632" spans="1:9" x14ac:dyDescent="0.25">
      <c r="A632" s="2" t="s">
        <v>4046</v>
      </c>
      <c r="B632" s="2" t="s">
        <v>4047</v>
      </c>
      <c r="C632" s="2" t="s">
        <v>4048</v>
      </c>
      <c r="D632" s="2" t="s">
        <v>4049</v>
      </c>
      <c r="E632" s="2" t="s">
        <v>4050</v>
      </c>
      <c r="F632" s="2" t="s">
        <v>190</v>
      </c>
      <c r="G632" s="2" t="s">
        <v>19</v>
      </c>
      <c r="H632" s="2">
        <v>76210</v>
      </c>
      <c r="I632" t="s">
        <v>6191</v>
      </c>
    </row>
    <row r="633" spans="1:9" x14ac:dyDescent="0.25">
      <c r="A633" s="2" t="s">
        <v>4051</v>
      </c>
      <c r="B633" s="2" t="s">
        <v>4052</v>
      </c>
      <c r="C633" s="2" t="s">
        <v>4053</v>
      </c>
      <c r="D633" s="2" t="s">
        <v>4054</v>
      </c>
      <c r="E633" s="2" t="s">
        <v>4055</v>
      </c>
      <c r="F633" s="2" t="s">
        <v>488</v>
      </c>
      <c r="G633" s="2" t="s">
        <v>318</v>
      </c>
      <c r="H633" s="2" t="s">
        <v>363</v>
      </c>
      <c r="I633" t="s">
        <v>6190</v>
      </c>
    </row>
    <row r="634" spans="1:9" x14ac:dyDescent="0.25">
      <c r="A634" s="2" t="s">
        <v>4057</v>
      </c>
      <c r="B634" s="2" t="s">
        <v>4058</v>
      </c>
      <c r="C634" s="2" t="s">
        <v>4059</v>
      </c>
      <c r="D634" s="2" t="s">
        <v>4060</v>
      </c>
      <c r="E634" s="2" t="s">
        <v>4061</v>
      </c>
      <c r="F634" s="2" t="s">
        <v>27</v>
      </c>
      <c r="G634" s="2" t="s">
        <v>19</v>
      </c>
      <c r="H634" s="2">
        <v>90005</v>
      </c>
      <c r="I634" t="s">
        <v>6191</v>
      </c>
    </row>
    <row r="635" spans="1:9" x14ac:dyDescent="0.25">
      <c r="A635" s="2" t="s">
        <v>4063</v>
      </c>
      <c r="B635" s="2" t="s">
        <v>4064</v>
      </c>
      <c r="C635" s="2" t="s">
        <v>4065</v>
      </c>
      <c r="D635" s="2" t="s">
        <v>4066</v>
      </c>
      <c r="E635" s="2" t="s">
        <v>4067</v>
      </c>
      <c r="F635" s="2" t="s">
        <v>202</v>
      </c>
      <c r="G635" s="2" t="s">
        <v>19</v>
      </c>
      <c r="H635" s="2">
        <v>18706</v>
      </c>
      <c r="I635" t="s">
        <v>6191</v>
      </c>
    </row>
    <row r="636" spans="1:9" x14ac:dyDescent="0.25">
      <c r="A636" s="2" t="s">
        <v>4069</v>
      </c>
      <c r="B636" s="2" t="s">
        <v>4070</v>
      </c>
      <c r="C636" s="2" t="s">
        <v>4071</v>
      </c>
      <c r="D636" s="2" t="s">
        <v>4072</v>
      </c>
      <c r="E636" s="2" t="s">
        <v>4073</v>
      </c>
      <c r="F636" s="2" t="s">
        <v>190</v>
      </c>
      <c r="G636" s="2" t="s">
        <v>19</v>
      </c>
      <c r="H636" s="2">
        <v>76205</v>
      </c>
      <c r="I636" t="s">
        <v>6191</v>
      </c>
    </row>
    <row r="637" spans="1:9" x14ac:dyDescent="0.25">
      <c r="A637" s="2" t="s">
        <v>4075</v>
      </c>
      <c r="B637" s="2" t="s">
        <v>4076</v>
      </c>
      <c r="C637" s="2" t="s">
        <v>4077</v>
      </c>
      <c r="D637" s="2" t="s">
        <v>4078</v>
      </c>
      <c r="E637" s="2" t="s">
        <v>4079</v>
      </c>
      <c r="F637" s="2" t="s">
        <v>37</v>
      </c>
      <c r="G637" s="2" t="s">
        <v>19</v>
      </c>
      <c r="H637" s="2">
        <v>64082</v>
      </c>
      <c r="I637" t="s">
        <v>6190</v>
      </c>
    </row>
    <row r="638" spans="1:9" x14ac:dyDescent="0.25">
      <c r="A638" s="2" t="s">
        <v>4081</v>
      </c>
      <c r="B638" s="2" t="s">
        <v>4082</v>
      </c>
      <c r="C638" s="2" t="s">
        <v>4083</v>
      </c>
      <c r="D638" s="2" t="s">
        <v>4084</v>
      </c>
      <c r="E638" s="2" t="s">
        <v>4085</v>
      </c>
      <c r="F638" s="2" t="s">
        <v>88</v>
      </c>
      <c r="G638" s="2" t="s">
        <v>19</v>
      </c>
      <c r="H638" s="2">
        <v>72209</v>
      </c>
      <c r="I638" t="s">
        <v>6190</v>
      </c>
    </row>
    <row r="639" spans="1:9" x14ac:dyDescent="0.25">
      <c r="A639" s="2" t="s">
        <v>4087</v>
      </c>
      <c r="B639" s="2" t="s">
        <v>4088</v>
      </c>
      <c r="C639" s="2" t="s">
        <v>4089</v>
      </c>
      <c r="D639" s="2" t="s">
        <v>4090</v>
      </c>
      <c r="E639" s="2" t="s">
        <v>4091</v>
      </c>
      <c r="F639" s="2" t="s">
        <v>4092</v>
      </c>
      <c r="G639" s="2" t="s">
        <v>318</v>
      </c>
      <c r="H639" s="2" t="s">
        <v>324</v>
      </c>
      <c r="I639" t="s">
        <v>6190</v>
      </c>
    </row>
    <row r="640" spans="1:9" x14ac:dyDescent="0.25">
      <c r="A640" s="2" t="s">
        <v>4094</v>
      </c>
      <c r="B640" s="2" t="s">
        <v>4095</v>
      </c>
      <c r="C640" s="2"/>
      <c r="D640" s="2" t="s">
        <v>4096</v>
      </c>
      <c r="E640" s="2" t="s">
        <v>4097</v>
      </c>
      <c r="F640" s="2" t="s">
        <v>3664</v>
      </c>
      <c r="G640" s="2" t="s">
        <v>318</v>
      </c>
      <c r="H640" s="2" t="s">
        <v>398</v>
      </c>
      <c r="I640" t="s">
        <v>6190</v>
      </c>
    </row>
    <row r="641" spans="1:9" x14ac:dyDescent="0.25">
      <c r="A641" s="2" t="s">
        <v>4099</v>
      </c>
      <c r="B641" s="2" t="s">
        <v>4100</v>
      </c>
      <c r="C641" s="2" t="s">
        <v>4101</v>
      </c>
      <c r="D641" s="2" t="s">
        <v>4102</v>
      </c>
      <c r="E641" s="2" t="s">
        <v>4103</v>
      </c>
      <c r="F641" s="2" t="s">
        <v>179</v>
      </c>
      <c r="G641" s="2" t="s">
        <v>19</v>
      </c>
      <c r="H641" s="2">
        <v>16534</v>
      </c>
      <c r="I641" t="s">
        <v>6190</v>
      </c>
    </row>
    <row r="642" spans="1:9" x14ac:dyDescent="0.25">
      <c r="A642" s="2" t="s">
        <v>4105</v>
      </c>
      <c r="B642" s="2" t="s">
        <v>4106</v>
      </c>
      <c r="C642" s="2"/>
      <c r="D642" s="2" t="s">
        <v>4107</v>
      </c>
      <c r="E642" s="2" t="s">
        <v>4108</v>
      </c>
      <c r="F642" s="2" t="s">
        <v>280</v>
      </c>
      <c r="G642" s="2" t="s">
        <v>28</v>
      </c>
      <c r="H642" s="2" t="s">
        <v>310</v>
      </c>
      <c r="I642" t="s">
        <v>6191</v>
      </c>
    </row>
    <row r="643" spans="1:9" x14ac:dyDescent="0.25">
      <c r="A643" s="2" t="s">
        <v>4110</v>
      </c>
      <c r="B643" s="2" t="s">
        <v>4111</v>
      </c>
      <c r="C643" s="2" t="s">
        <v>4112</v>
      </c>
      <c r="D643" s="2" t="s">
        <v>4113</v>
      </c>
      <c r="E643" s="2" t="s">
        <v>4114</v>
      </c>
      <c r="F643" s="2" t="s">
        <v>108</v>
      </c>
      <c r="G643" s="2" t="s">
        <v>19</v>
      </c>
      <c r="H643" s="2">
        <v>15255</v>
      </c>
      <c r="I643" t="s">
        <v>6190</v>
      </c>
    </row>
    <row r="644" spans="1:9" x14ac:dyDescent="0.25">
      <c r="A644" s="2" t="s">
        <v>4116</v>
      </c>
      <c r="B644" s="2" t="s">
        <v>4117</v>
      </c>
      <c r="C644" s="2" t="s">
        <v>4118</v>
      </c>
      <c r="D644" s="2" t="s">
        <v>4119</v>
      </c>
      <c r="E644" s="2" t="s">
        <v>4120</v>
      </c>
      <c r="F644" s="2" t="s">
        <v>4121</v>
      </c>
      <c r="G644" s="2" t="s">
        <v>28</v>
      </c>
      <c r="H644" s="2" t="s">
        <v>4122</v>
      </c>
      <c r="I644" t="s">
        <v>6190</v>
      </c>
    </row>
    <row r="645" spans="1:9" x14ac:dyDescent="0.25">
      <c r="A645" s="2" t="s">
        <v>4124</v>
      </c>
      <c r="B645" s="2" t="s">
        <v>4125</v>
      </c>
      <c r="C645" s="2" t="s">
        <v>4126</v>
      </c>
      <c r="D645" s="2"/>
      <c r="E645" s="2" t="s">
        <v>4127</v>
      </c>
      <c r="F645" s="2" t="s">
        <v>52</v>
      </c>
      <c r="G645" s="2" t="s">
        <v>19</v>
      </c>
      <c r="H645" s="2">
        <v>75260</v>
      </c>
      <c r="I645" t="s">
        <v>6190</v>
      </c>
    </row>
    <row r="646" spans="1:9" x14ac:dyDescent="0.25">
      <c r="A646" s="2" t="s">
        <v>4129</v>
      </c>
      <c r="B646" s="2" t="s">
        <v>4130</v>
      </c>
      <c r="C646" s="2"/>
      <c r="D646" s="2" t="s">
        <v>4131</v>
      </c>
      <c r="E646" s="2" t="s">
        <v>4132</v>
      </c>
      <c r="F646" s="2" t="s">
        <v>92</v>
      </c>
      <c r="G646" s="2" t="s">
        <v>19</v>
      </c>
      <c r="H646" s="2">
        <v>33233</v>
      </c>
      <c r="I646" t="s">
        <v>6191</v>
      </c>
    </row>
    <row r="647" spans="1:9" x14ac:dyDescent="0.25">
      <c r="A647" s="2" t="s">
        <v>4134</v>
      </c>
      <c r="B647" s="2" t="s">
        <v>4135</v>
      </c>
      <c r="C647" s="2" t="s">
        <v>4136</v>
      </c>
      <c r="D647" s="2" t="s">
        <v>4137</v>
      </c>
      <c r="E647" s="2" t="s">
        <v>4138</v>
      </c>
      <c r="F647" s="2" t="s">
        <v>467</v>
      </c>
      <c r="G647" s="2" t="s">
        <v>19</v>
      </c>
      <c r="H647" s="2">
        <v>76905</v>
      </c>
      <c r="I647" t="s">
        <v>6190</v>
      </c>
    </row>
    <row r="648" spans="1:9" x14ac:dyDescent="0.25">
      <c r="A648" s="2" t="s">
        <v>4140</v>
      </c>
      <c r="B648" s="2" t="s">
        <v>4141</v>
      </c>
      <c r="C648" s="2" t="s">
        <v>4142</v>
      </c>
      <c r="D648" s="2" t="s">
        <v>4143</v>
      </c>
      <c r="E648" s="2" t="s">
        <v>4144</v>
      </c>
      <c r="F648" s="2" t="s">
        <v>198</v>
      </c>
      <c r="G648" s="2" t="s">
        <v>19</v>
      </c>
      <c r="H648" s="2">
        <v>12205</v>
      </c>
      <c r="I648" t="s">
        <v>6190</v>
      </c>
    </row>
    <row r="649" spans="1:9" x14ac:dyDescent="0.25">
      <c r="A649" s="2" t="s">
        <v>4146</v>
      </c>
      <c r="B649" s="2" t="s">
        <v>4147</v>
      </c>
      <c r="C649" s="2" t="s">
        <v>4148</v>
      </c>
      <c r="D649" s="2" t="s">
        <v>4149</v>
      </c>
      <c r="E649" s="2" t="s">
        <v>4150</v>
      </c>
      <c r="F649" s="2" t="s">
        <v>279</v>
      </c>
      <c r="G649" s="2" t="s">
        <v>28</v>
      </c>
      <c r="H649" s="2" t="s">
        <v>210</v>
      </c>
      <c r="I649" t="s">
        <v>6190</v>
      </c>
    </row>
    <row r="650" spans="1:9" x14ac:dyDescent="0.25">
      <c r="A650" s="2" t="s">
        <v>4152</v>
      </c>
      <c r="B650" s="2" t="s">
        <v>4153</v>
      </c>
      <c r="C650" s="2" t="s">
        <v>4154</v>
      </c>
      <c r="D650" s="2" t="s">
        <v>4155</v>
      </c>
      <c r="E650" s="2" t="s">
        <v>4156</v>
      </c>
      <c r="F650" s="2" t="s">
        <v>39</v>
      </c>
      <c r="G650" s="2" t="s">
        <v>19</v>
      </c>
      <c r="H650" s="2">
        <v>43240</v>
      </c>
      <c r="I650" t="s">
        <v>6191</v>
      </c>
    </row>
    <row r="651" spans="1:9" x14ac:dyDescent="0.25">
      <c r="A651" s="2" t="s">
        <v>4158</v>
      </c>
      <c r="B651" s="2" t="s">
        <v>4159</v>
      </c>
      <c r="C651" s="2" t="s">
        <v>4160</v>
      </c>
      <c r="D651" s="2" t="s">
        <v>4161</v>
      </c>
      <c r="E651" s="2" t="s">
        <v>4162</v>
      </c>
      <c r="F651" s="2" t="s">
        <v>354</v>
      </c>
      <c r="G651" s="2" t="s">
        <v>28</v>
      </c>
      <c r="H651" s="2" t="s">
        <v>355</v>
      </c>
      <c r="I651" t="s">
        <v>6191</v>
      </c>
    </row>
    <row r="652" spans="1:9" x14ac:dyDescent="0.25">
      <c r="A652" s="2" t="s">
        <v>4164</v>
      </c>
      <c r="B652" s="2" t="s">
        <v>4165</v>
      </c>
      <c r="C652" s="2" t="s">
        <v>4166</v>
      </c>
      <c r="D652" s="2" t="s">
        <v>4167</v>
      </c>
      <c r="E652" s="2" t="s">
        <v>4168</v>
      </c>
      <c r="F652" s="2" t="s">
        <v>153</v>
      </c>
      <c r="G652" s="2" t="s">
        <v>19</v>
      </c>
      <c r="H652" s="2">
        <v>92883</v>
      </c>
      <c r="I652" t="s">
        <v>6190</v>
      </c>
    </row>
    <row r="653" spans="1:9" x14ac:dyDescent="0.25">
      <c r="A653" s="2" t="s">
        <v>4170</v>
      </c>
      <c r="B653" s="2" t="s">
        <v>4171</v>
      </c>
      <c r="C653" s="2"/>
      <c r="D653" s="2" t="s">
        <v>4172</v>
      </c>
      <c r="E653" s="2" t="s">
        <v>4173</v>
      </c>
      <c r="F653" s="2" t="s">
        <v>47</v>
      </c>
      <c r="G653" s="2" t="s">
        <v>19</v>
      </c>
      <c r="H653" s="2">
        <v>20436</v>
      </c>
      <c r="I653" t="s">
        <v>6191</v>
      </c>
    </row>
    <row r="654" spans="1:9" x14ac:dyDescent="0.25">
      <c r="A654" s="2" t="s">
        <v>4175</v>
      </c>
      <c r="B654" s="2" t="s">
        <v>4176</v>
      </c>
      <c r="C654" s="2" t="s">
        <v>4177</v>
      </c>
      <c r="D654" s="2"/>
      <c r="E654" s="2" t="s">
        <v>4178</v>
      </c>
      <c r="F654" s="2" t="s">
        <v>461</v>
      </c>
      <c r="G654" s="2" t="s">
        <v>318</v>
      </c>
      <c r="H654" s="2" t="s">
        <v>330</v>
      </c>
      <c r="I654" t="s">
        <v>6191</v>
      </c>
    </row>
    <row r="655" spans="1:9" x14ac:dyDescent="0.25">
      <c r="A655" s="2" t="s">
        <v>4180</v>
      </c>
      <c r="B655" s="2" t="s">
        <v>4181</v>
      </c>
      <c r="C655" s="2" t="s">
        <v>4182</v>
      </c>
      <c r="D655" s="2" t="s">
        <v>4183</v>
      </c>
      <c r="E655" s="2" t="s">
        <v>4184</v>
      </c>
      <c r="F655" s="2" t="s">
        <v>260</v>
      </c>
      <c r="G655" s="2" t="s">
        <v>19</v>
      </c>
      <c r="H655" s="2">
        <v>43610</v>
      </c>
      <c r="I655" t="s">
        <v>6191</v>
      </c>
    </row>
    <row r="656" spans="1:9" x14ac:dyDescent="0.25">
      <c r="A656" s="2" t="s">
        <v>4186</v>
      </c>
      <c r="B656" s="2" t="s">
        <v>4187</v>
      </c>
      <c r="C656" s="2" t="s">
        <v>4188</v>
      </c>
      <c r="D656" s="2" t="s">
        <v>4189</v>
      </c>
      <c r="E656" s="2" t="s">
        <v>4190</v>
      </c>
      <c r="F656" s="2" t="s">
        <v>47</v>
      </c>
      <c r="G656" s="2" t="s">
        <v>19</v>
      </c>
      <c r="H656" s="2">
        <v>20088</v>
      </c>
      <c r="I656" t="s">
        <v>6191</v>
      </c>
    </row>
    <row r="657" spans="1:9" x14ac:dyDescent="0.25">
      <c r="A657" s="2" t="s">
        <v>4192</v>
      </c>
      <c r="B657" s="2" t="s">
        <v>4193</v>
      </c>
      <c r="C657" s="2" t="s">
        <v>4194</v>
      </c>
      <c r="D657" s="2"/>
      <c r="E657" s="2" t="s">
        <v>4195</v>
      </c>
      <c r="F657" s="2" t="s">
        <v>186</v>
      </c>
      <c r="G657" s="2" t="s">
        <v>19</v>
      </c>
      <c r="H657" s="2">
        <v>52405</v>
      </c>
      <c r="I657" t="s">
        <v>6190</v>
      </c>
    </row>
    <row r="658" spans="1:9" x14ac:dyDescent="0.25">
      <c r="A658" s="2" t="s">
        <v>4197</v>
      </c>
      <c r="B658" s="2" t="s">
        <v>4198</v>
      </c>
      <c r="C658" s="2" t="s">
        <v>4199</v>
      </c>
      <c r="D658" s="2"/>
      <c r="E658" s="2" t="s">
        <v>4200</v>
      </c>
      <c r="F658" s="2" t="s">
        <v>133</v>
      </c>
      <c r="G658" s="2" t="s">
        <v>19</v>
      </c>
      <c r="H658" s="2">
        <v>80045</v>
      </c>
      <c r="I658" t="s">
        <v>6191</v>
      </c>
    </row>
    <row r="659" spans="1:9" x14ac:dyDescent="0.25">
      <c r="A659" s="2" t="s">
        <v>4202</v>
      </c>
      <c r="B659" s="2" t="s">
        <v>4203</v>
      </c>
      <c r="C659" s="2" t="s">
        <v>4204</v>
      </c>
      <c r="D659" s="2" t="s">
        <v>4205</v>
      </c>
      <c r="E659" s="2" t="s">
        <v>4206</v>
      </c>
      <c r="F659" s="2" t="s">
        <v>256</v>
      </c>
      <c r="G659" s="2" t="s">
        <v>19</v>
      </c>
      <c r="H659" s="2">
        <v>94089</v>
      </c>
      <c r="I659" t="s">
        <v>6190</v>
      </c>
    </row>
    <row r="660" spans="1:9" x14ac:dyDescent="0.25">
      <c r="A660" s="2" t="s">
        <v>4208</v>
      </c>
      <c r="B660" s="2" t="s">
        <v>4209</v>
      </c>
      <c r="C660" s="2"/>
      <c r="D660" s="2"/>
      <c r="E660" s="2" t="s">
        <v>4210</v>
      </c>
      <c r="F660" s="2" t="s">
        <v>375</v>
      </c>
      <c r="G660" s="2" t="s">
        <v>318</v>
      </c>
      <c r="H660" s="2" t="s">
        <v>376</v>
      </c>
      <c r="I660" t="s">
        <v>6190</v>
      </c>
    </row>
    <row r="661" spans="1:9" x14ac:dyDescent="0.25">
      <c r="A661" s="2" t="s">
        <v>4212</v>
      </c>
      <c r="B661" s="2" t="s">
        <v>4213</v>
      </c>
      <c r="C661" s="2" t="s">
        <v>4214</v>
      </c>
      <c r="D661" s="2" t="s">
        <v>4215</v>
      </c>
      <c r="E661" s="2" t="s">
        <v>4216</v>
      </c>
      <c r="F661" s="2" t="s">
        <v>397</v>
      </c>
      <c r="G661" s="2" t="s">
        <v>318</v>
      </c>
      <c r="H661" s="2" t="s">
        <v>398</v>
      </c>
      <c r="I661" t="s">
        <v>6190</v>
      </c>
    </row>
    <row r="662" spans="1:9" x14ac:dyDescent="0.25">
      <c r="A662" s="2" t="s">
        <v>4218</v>
      </c>
      <c r="B662" s="2" t="s">
        <v>4219</v>
      </c>
      <c r="C662" s="2" t="s">
        <v>4220</v>
      </c>
      <c r="D662" s="2" t="s">
        <v>4221</v>
      </c>
      <c r="E662" s="2" t="s">
        <v>4222</v>
      </c>
      <c r="F662" s="2" t="s">
        <v>174</v>
      </c>
      <c r="G662" s="2" t="s">
        <v>19</v>
      </c>
      <c r="H662" s="2">
        <v>48930</v>
      </c>
      <c r="I662" t="s">
        <v>6191</v>
      </c>
    </row>
    <row r="663" spans="1:9" x14ac:dyDescent="0.25">
      <c r="A663" s="2" t="s">
        <v>4224</v>
      </c>
      <c r="B663" s="2" t="s">
        <v>4225</v>
      </c>
      <c r="C663" s="2" t="s">
        <v>4226</v>
      </c>
      <c r="D663" s="2" t="s">
        <v>4227</v>
      </c>
      <c r="E663" s="2" t="s">
        <v>4228</v>
      </c>
      <c r="F663" s="2" t="s">
        <v>63</v>
      </c>
      <c r="G663" s="2" t="s">
        <v>19</v>
      </c>
      <c r="H663" s="2">
        <v>77281</v>
      </c>
      <c r="I663" t="s">
        <v>6190</v>
      </c>
    </row>
    <row r="664" spans="1:9" x14ac:dyDescent="0.25">
      <c r="A664" s="2" t="s">
        <v>4230</v>
      </c>
      <c r="B664" s="2" t="s">
        <v>4231</v>
      </c>
      <c r="C664" s="2" t="s">
        <v>4232</v>
      </c>
      <c r="D664" s="2"/>
      <c r="E664" s="2" t="s">
        <v>4233</v>
      </c>
      <c r="F664" s="2" t="s">
        <v>61</v>
      </c>
      <c r="G664" s="2" t="s">
        <v>19</v>
      </c>
      <c r="H664" s="2">
        <v>37131</v>
      </c>
      <c r="I664" t="s">
        <v>6191</v>
      </c>
    </row>
    <row r="665" spans="1:9" x14ac:dyDescent="0.25">
      <c r="A665" s="2" t="s">
        <v>4235</v>
      </c>
      <c r="B665" s="2" t="s">
        <v>4236</v>
      </c>
      <c r="C665" s="2" t="s">
        <v>4237</v>
      </c>
      <c r="D665" s="2"/>
      <c r="E665" s="2" t="s">
        <v>4238</v>
      </c>
      <c r="F665" s="2" t="s">
        <v>48</v>
      </c>
      <c r="G665" s="2" t="s">
        <v>19</v>
      </c>
      <c r="H665" s="2">
        <v>25362</v>
      </c>
      <c r="I665" t="s">
        <v>6191</v>
      </c>
    </row>
    <row r="666" spans="1:9" x14ac:dyDescent="0.25">
      <c r="A666" s="2" t="s">
        <v>4240</v>
      </c>
      <c r="B666" s="2" t="s">
        <v>4241</v>
      </c>
      <c r="C666" s="2" t="s">
        <v>4242</v>
      </c>
      <c r="D666" s="2" t="s">
        <v>4243</v>
      </c>
      <c r="E666" s="2" t="s">
        <v>4244</v>
      </c>
      <c r="F666" s="2" t="s">
        <v>179</v>
      </c>
      <c r="G666" s="2" t="s">
        <v>19</v>
      </c>
      <c r="H666" s="2">
        <v>16534</v>
      </c>
      <c r="I666" t="s">
        <v>6191</v>
      </c>
    </row>
    <row r="667" spans="1:9" x14ac:dyDescent="0.25">
      <c r="A667" s="2" t="s">
        <v>4245</v>
      </c>
      <c r="B667" s="2" t="s">
        <v>4246</v>
      </c>
      <c r="C667" s="2" t="s">
        <v>4247</v>
      </c>
      <c r="D667" s="2" t="s">
        <v>4248</v>
      </c>
      <c r="E667" s="2" t="s">
        <v>4249</v>
      </c>
      <c r="F667" s="2" t="s">
        <v>93</v>
      </c>
      <c r="G667" s="2" t="s">
        <v>19</v>
      </c>
      <c r="H667" s="2">
        <v>39204</v>
      </c>
      <c r="I667" t="s">
        <v>6190</v>
      </c>
    </row>
    <row r="668" spans="1:9" x14ac:dyDescent="0.25">
      <c r="A668" s="2" t="s">
        <v>4251</v>
      </c>
      <c r="B668" s="2" t="s">
        <v>4252</v>
      </c>
      <c r="C668" s="2" t="s">
        <v>4253</v>
      </c>
      <c r="D668" s="2" t="s">
        <v>4254</v>
      </c>
      <c r="E668" s="2" t="s">
        <v>4255</v>
      </c>
      <c r="F668" s="2" t="s">
        <v>297</v>
      </c>
      <c r="G668" s="2" t="s">
        <v>19</v>
      </c>
      <c r="H668" s="2">
        <v>79491</v>
      </c>
      <c r="I668" t="s">
        <v>6191</v>
      </c>
    </row>
    <row r="669" spans="1:9" x14ac:dyDescent="0.25">
      <c r="A669" s="2" t="s">
        <v>4257</v>
      </c>
      <c r="B669" s="2" t="s">
        <v>4258</v>
      </c>
      <c r="C669" s="2" t="s">
        <v>4259</v>
      </c>
      <c r="D669" s="2" t="s">
        <v>4260</v>
      </c>
      <c r="E669" s="2" t="s">
        <v>4261</v>
      </c>
      <c r="F669" s="2" t="s">
        <v>401</v>
      </c>
      <c r="G669" s="2" t="s">
        <v>318</v>
      </c>
      <c r="H669" s="2" t="s">
        <v>402</v>
      </c>
      <c r="I669" t="s">
        <v>6191</v>
      </c>
    </row>
    <row r="670" spans="1:9" x14ac:dyDescent="0.25">
      <c r="A670" s="2" t="s">
        <v>4263</v>
      </c>
      <c r="B670" s="2" t="s">
        <v>4264</v>
      </c>
      <c r="C670" s="2" t="s">
        <v>4265</v>
      </c>
      <c r="D670" s="2" t="s">
        <v>4266</v>
      </c>
      <c r="E670" s="2" t="s">
        <v>4267</v>
      </c>
      <c r="F670" s="2" t="s">
        <v>31</v>
      </c>
      <c r="G670" s="2" t="s">
        <v>19</v>
      </c>
      <c r="H670" s="2">
        <v>27717</v>
      </c>
      <c r="I670" t="s">
        <v>6190</v>
      </c>
    </row>
    <row r="671" spans="1:9" x14ac:dyDescent="0.25">
      <c r="A671" s="2" t="s">
        <v>4269</v>
      </c>
      <c r="B671" s="2" t="s">
        <v>4270</v>
      </c>
      <c r="C671" s="2" t="s">
        <v>4271</v>
      </c>
      <c r="D671" s="2" t="s">
        <v>4272</v>
      </c>
      <c r="E671" s="2" t="s">
        <v>4273</v>
      </c>
      <c r="F671" s="2" t="s">
        <v>275</v>
      </c>
      <c r="G671" s="2" t="s">
        <v>19</v>
      </c>
      <c r="H671" s="2">
        <v>29505</v>
      </c>
      <c r="I671" t="s">
        <v>6191</v>
      </c>
    </row>
    <row r="672" spans="1:9" x14ac:dyDescent="0.25">
      <c r="A672" s="2" t="s">
        <v>4275</v>
      </c>
      <c r="B672" s="2" t="s">
        <v>4276</v>
      </c>
      <c r="C672" s="2" t="s">
        <v>4277</v>
      </c>
      <c r="D672" s="2" t="s">
        <v>4278</v>
      </c>
      <c r="E672" s="2" t="s">
        <v>4279</v>
      </c>
      <c r="F672" s="2" t="s">
        <v>79</v>
      </c>
      <c r="G672" s="2" t="s">
        <v>19</v>
      </c>
      <c r="H672" s="2">
        <v>13205</v>
      </c>
      <c r="I672" t="s">
        <v>6190</v>
      </c>
    </row>
    <row r="673" spans="1:9" x14ac:dyDescent="0.25">
      <c r="A673" s="2" t="s">
        <v>4281</v>
      </c>
      <c r="B673" s="2" t="s">
        <v>4282</v>
      </c>
      <c r="C673" s="2" t="s">
        <v>4283</v>
      </c>
      <c r="D673" s="2" t="s">
        <v>4284</v>
      </c>
      <c r="E673" s="2" t="s">
        <v>4285</v>
      </c>
      <c r="F673" s="2" t="s">
        <v>259</v>
      </c>
      <c r="G673" s="2" t="s">
        <v>19</v>
      </c>
      <c r="H673" s="2">
        <v>30245</v>
      </c>
      <c r="I673" t="s">
        <v>6191</v>
      </c>
    </row>
    <row r="674" spans="1:9" x14ac:dyDescent="0.25">
      <c r="A674" s="2" t="s">
        <v>4287</v>
      </c>
      <c r="B674" s="2" t="s">
        <v>4288</v>
      </c>
      <c r="C674" s="2" t="s">
        <v>4289</v>
      </c>
      <c r="D674" s="2"/>
      <c r="E674" s="2" t="s">
        <v>4290</v>
      </c>
      <c r="F674" s="2" t="s">
        <v>63</v>
      </c>
      <c r="G674" s="2" t="s">
        <v>19</v>
      </c>
      <c r="H674" s="2">
        <v>77070</v>
      </c>
      <c r="I674" t="s">
        <v>6190</v>
      </c>
    </row>
    <row r="675" spans="1:9" x14ac:dyDescent="0.25">
      <c r="A675" s="2" t="s">
        <v>4292</v>
      </c>
      <c r="B675" s="2" t="s">
        <v>4293</v>
      </c>
      <c r="C675" s="2" t="s">
        <v>4294</v>
      </c>
      <c r="D675" s="2" t="s">
        <v>4295</v>
      </c>
      <c r="E675" s="2" t="s">
        <v>4296</v>
      </c>
      <c r="F675" s="2" t="s">
        <v>116</v>
      </c>
      <c r="G675" s="2" t="s">
        <v>19</v>
      </c>
      <c r="H675" s="2">
        <v>66160</v>
      </c>
      <c r="I675" t="s">
        <v>6190</v>
      </c>
    </row>
    <row r="676" spans="1:9" x14ac:dyDescent="0.25">
      <c r="A676" s="2" t="s">
        <v>4298</v>
      </c>
      <c r="B676" s="2" t="s">
        <v>4299</v>
      </c>
      <c r="C676" s="2" t="s">
        <v>4300</v>
      </c>
      <c r="D676" s="2" t="s">
        <v>4301</v>
      </c>
      <c r="E676" s="2" t="s">
        <v>4302</v>
      </c>
      <c r="F676" s="2" t="s">
        <v>396</v>
      </c>
      <c r="G676" s="2" t="s">
        <v>19</v>
      </c>
      <c r="H676" s="2">
        <v>34282</v>
      </c>
      <c r="I676" t="s">
        <v>6190</v>
      </c>
    </row>
    <row r="677" spans="1:9" x14ac:dyDescent="0.25">
      <c r="A677" s="2" t="s">
        <v>4304</v>
      </c>
      <c r="B677" s="2" t="s">
        <v>4305</v>
      </c>
      <c r="C677" s="2"/>
      <c r="D677" s="2" t="s">
        <v>4306</v>
      </c>
      <c r="E677" s="2" t="s">
        <v>4307</v>
      </c>
      <c r="F677" s="2" t="s">
        <v>313</v>
      </c>
      <c r="G677" s="2" t="s">
        <v>19</v>
      </c>
      <c r="H677" s="2">
        <v>18105</v>
      </c>
      <c r="I677" t="s">
        <v>6190</v>
      </c>
    </row>
    <row r="678" spans="1:9" x14ac:dyDescent="0.25">
      <c r="A678" s="2" t="s">
        <v>4309</v>
      </c>
      <c r="B678" s="2" t="s">
        <v>4310</v>
      </c>
      <c r="C678" s="2"/>
      <c r="D678" s="2" t="s">
        <v>4311</v>
      </c>
      <c r="E678" s="2" t="s">
        <v>4312</v>
      </c>
      <c r="F678" s="2" t="s">
        <v>214</v>
      </c>
      <c r="G678" s="2" t="s">
        <v>19</v>
      </c>
      <c r="H678" s="2">
        <v>23663</v>
      </c>
      <c r="I678" t="s">
        <v>6191</v>
      </c>
    </row>
    <row r="679" spans="1:9" x14ac:dyDescent="0.25">
      <c r="A679" s="2" t="s">
        <v>4314</v>
      </c>
      <c r="B679" s="2" t="s">
        <v>4315</v>
      </c>
      <c r="C679" s="2" t="s">
        <v>4316</v>
      </c>
      <c r="D679" s="2" t="s">
        <v>4317</v>
      </c>
      <c r="E679" s="2" t="s">
        <v>4318</v>
      </c>
      <c r="F679" s="2" t="s">
        <v>469</v>
      </c>
      <c r="G679" s="2" t="s">
        <v>318</v>
      </c>
      <c r="H679" s="2" t="s">
        <v>470</v>
      </c>
      <c r="I679" t="s">
        <v>6191</v>
      </c>
    </row>
    <row r="680" spans="1:9" x14ac:dyDescent="0.25">
      <c r="A680" s="2" t="s">
        <v>4320</v>
      </c>
      <c r="B680" s="2" t="s">
        <v>4321</v>
      </c>
      <c r="C680" s="2" t="s">
        <v>4322</v>
      </c>
      <c r="D680" s="2" t="s">
        <v>4323</v>
      </c>
      <c r="E680" s="2" t="s">
        <v>4324</v>
      </c>
      <c r="F680" s="2" t="s">
        <v>191</v>
      </c>
      <c r="G680" s="2" t="s">
        <v>19</v>
      </c>
      <c r="H680" s="2">
        <v>67260</v>
      </c>
      <c r="I680" t="s">
        <v>6190</v>
      </c>
    </row>
    <row r="681" spans="1:9" x14ac:dyDescent="0.25">
      <c r="A681" s="2" t="s">
        <v>4326</v>
      </c>
      <c r="B681" s="2" t="s">
        <v>4327</v>
      </c>
      <c r="C681" s="2" t="s">
        <v>4328</v>
      </c>
      <c r="D681" s="2" t="s">
        <v>4329</v>
      </c>
      <c r="E681" s="2" t="s">
        <v>4330</v>
      </c>
      <c r="F681" s="2" t="s">
        <v>279</v>
      </c>
      <c r="G681" s="2" t="s">
        <v>28</v>
      </c>
      <c r="H681" s="2" t="s">
        <v>210</v>
      </c>
      <c r="I681" t="s">
        <v>6191</v>
      </c>
    </row>
    <row r="682" spans="1:9" x14ac:dyDescent="0.25">
      <c r="A682" s="2" t="s">
        <v>4332</v>
      </c>
      <c r="B682" s="2" t="s">
        <v>4333</v>
      </c>
      <c r="C682" s="2" t="s">
        <v>4334</v>
      </c>
      <c r="D682" s="2"/>
      <c r="E682" s="2" t="s">
        <v>4335</v>
      </c>
      <c r="F682" s="2" t="s">
        <v>170</v>
      </c>
      <c r="G682" s="2" t="s">
        <v>19</v>
      </c>
      <c r="H682" s="2">
        <v>6816</v>
      </c>
      <c r="I682" t="s">
        <v>6191</v>
      </c>
    </row>
    <row r="683" spans="1:9" x14ac:dyDescent="0.25">
      <c r="A683" s="2" t="s">
        <v>4337</v>
      </c>
      <c r="B683" s="2" t="s">
        <v>4338</v>
      </c>
      <c r="C683" s="2" t="s">
        <v>4339</v>
      </c>
      <c r="D683" s="2" t="s">
        <v>4340</v>
      </c>
      <c r="E683" s="2" t="s">
        <v>4341</v>
      </c>
      <c r="F683" s="2" t="s">
        <v>248</v>
      </c>
      <c r="G683" s="2" t="s">
        <v>28</v>
      </c>
      <c r="H683" s="2" t="s">
        <v>249</v>
      </c>
      <c r="I683" t="s">
        <v>6190</v>
      </c>
    </row>
    <row r="684" spans="1:9" x14ac:dyDescent="0.25">
      <c r="A684" s="2" t="s">
        <v>4343</v>
      </c>
      <c r="B684" s="2" t="s">
        <v>4344</v>
      </c>
      <c r="C684" s="2" t="s">
        <v>4345</v>
      </c>
      <c r="D684" s="2" t="s">
        <v>4346</v>
      </c>
      <c r="E684" s="2" t="s">
        <v>4347</v>
      </c>
      <c r="F684" s="2" t="s">
        <v>22</v>
      </c>
      <c r="G684" s="2" t="s">
        <v>19</v>
      </c>
      <c r="H684" s="2">
        <v>32209</v>
      </c>
      <c r="I684" t="s">
        <v>6190</v>
      </c>
    </row>
    <row r="685" spans="1:9" x14ac:dyDescent="0.25">
      <c r="A685" s="2" t="s">
        <v>4349</v>
      </c>
      <c r="B685" s="2" t="s">
        <v>4350</v>
      </c>
      <c r="C685" s="2" t="s">
        <v>4351</v>
      </c>
      <c r="D685" s="2" t="s">
        <v>4352</v>
      </c>
      <c r="E685" s="2" t="s">
        <v>4353</v>
      </c>
      <c r="F685" s="2" t="s">
        <v>63</v>
      </c>
      <c r="G685" s="2" t="s">
        <v>19</v>
      </c>
      <c r="H685" s="2">
        <v>77299</v>
      </c>
      <c r="I685" t="s">
        <v>6191</v>
      </c>
    </row>
    <row r="686" spans="1:9" x14ac:dyDescent="0.25">
      <c r="A686" s="2" t="s">
        <v>4355</v>
      </c>
      <c r="B686" s="2" t="s">
        <v>4356</v>
      </c>
      <c r="C686" s="2"/>
      <c r="D686" s="2" t="s">
        <v>4357</v>
      </c>
      <c r="E686" s="2" t="s">
        <v>4358</v>
      </c>
      <c r="F686" s="2" t="s">
        <v>189</v>
      </c>
      <c r="G686" s="2" t="s">
        <v>19</v>
      </c>
      <c r="H686" s="2">
        <v>97255</v>
      </c>
      <c r="I686" t="s">
        <v>6191</v>
      </c>
    </row>
    <row r="687" spans="1:9" x14ac:dyDescent="0.25">
      <c r="A687" s="2" t="s">
        <v>4360</v>
      </c>
      <c r="B687" s="2" t="s">
        <v>4361</v>
      </c>
      <c r="C687" s="2" t="s">
        <v>4362</v>
      </c>
      <c r="D687" s="2" t="s">
        <v>4363</v>
      </c>
      <c r="E687" s="2" t="s">
        <v>4364</v>
      </c>
      <c r="F687" s="2" t="s">
        <v>87</v>
      </c>
      <c r="G687" s="2" t="s">
        <v>19</v>
      </c>
      <c r="H687" s="2">
        <v>91186</v>
      </c>
      <c r="I687" t="s">
        <v>6190</v>
      </c>
    </row>
    <row r="688" spans="1:9" x14ac:dyDescent="0.25">
      <c r="A688" s="2" t="s">
        <v>4366</v>
      </c>
      <c r="B688" s="2" t="s">
        <v>4367</v>
      </c>
      <c r="C688" s="2" t="s">
        <v>4368</v>
      </c>
      <c r="D688" s="2" t="s">
        <v>4369</v>
      </c>
      <c r="E688" s="2" t="s">
        <v>4370</v>
      </c>
      <c r="F688" s="2" t="s">
        <v>178</v>
      </c>
      <c r="G688" s="2" t="s">
        <v>19</v>
      </c>
      <c r="H688" s="2">
        <v>92725</v>
      </c>
      <c r="I688" t="s">
        <v>6190</v>
      </c>
    </row>
    <row r="689" spans="1:9" x14ac:dyDescent="0.25">
      <c r="A689" s="2" t="s">
        <v>4372</v>
      </c>
      <c r="B689" s="2" t="s">
        <v>4373</v>
      </c>
      <c r="C689" s="2" t="s">
        <v>4374</v>
      </c>
      <c r="D689" s="2" t="s">
        <v>4375</v>
      </c>
      <c r="E689" s="2" t="s">
        <v>4376</v>
      </c>
      <c r="F689" s="2" t="s">
        <v>98</v>
      </c>
      <c r="G689" s="2" t="s">
        <v>19</v>
      </c>
      <c r="H689" s="2">
        <v>95160</v>
      </c>
      <c r="I689" t="s">
        <v>6191</v>
      </c>
    </row>
    <row r="690" spans="1:9" x14ac:dyDescent="0.25">
      <c r="A690" s="2" t="s">
        <v>4378</v>
      </c>
      <c r="B690" s="2" t="s">
        <v>4379</v>
      </c>
      <c r="C690" s="2" t="s">
        <v>4380</v>
      </c>
      <c r="D690" s="2" t="s">
        <v>4381</v>
      </c>
      <c r="E690" s="2" t="s">
        <v>4382</v>
      </c>
      <c r="F690" s="2" t="s">
        <v>333</v>
      </c>
      <c r="G690" s="2" t="s">
        <v>318</v>
      </c>
      <c r="H690" s="2" t="s">
        <v>334</v>
      </c>
      <c r="I690" t="s">
        <v>6191</v>
      </c>
    </row>
    <row r="691" spans="1:9" x14ac:dyDescent="0.25">
      <c r="A691" s="2" t="s">
        <v>4384</v>
      </c>
      <c r="B691" s="2" t="s">
        <v>4385</v>
      </c>
      <c r="C691" s="2" t="s">
        <v>4386</v>
      </c>
      <c r="D691" s="2" t="s">
        <v>4387</v>
      </c>
      <c r="E691" s="2" t="s">
        <v>4388</v>
      </c>
      <c r="F691" s="2" t="s">
        <v>78</v>
      </c>
      <c r="G691" s="2" t="s">
        <v>19</v>
      </c>
      <c r="H691" s="2">
        <v>80935</v>
      </c>
      <c r="I691" t="s">
        <v>6191</v>
      </c>
    </row>
    <row r="692" spans="1:9" x14ac:dyDescent="0.25">
      <c r="A692" s="2" t="s">
        <v>4390</v>
      </c>
      <c r="B692" s="2" t="s">
        <v>4391</v>
      </c>
      <c r="C692" s="2"/>
      <c r="D692" s="2"/>
      <c r="E692" s="2" t="s">
        <v>4392</v>
      </c>
      <c r="F692" s="2" t="s">
        <v>260</v>
      </c>
      <c r="G692" s="2" t="s">
        <v>19</v>
      </c>
      <c r="H692" s="2">
        <v>43605</v>
      </c>
      <c r="I692" t="s">
        <v>6191</v>
      </c>
    </row>
    <row r="693" spans="1:9" x14ac:dyDescent="0.25">
      <c r="A693" s="2" t="s">
        <v>4394</v>
      </c>
      <c r="B693" s="2" t="s">
        <v>4395</v>
      </c>
      <c r="C693" s="2" t="s">
        <v>4396</v>
      </c>
      <c r="D693" s="2" t="s">
        <v>4397</v>
      </c>
      <c r="E693" s="2" t="s">
        <v>4398</v>
      </c>
      <c r="F693" s="2" t="s">
        <v>117</v>
      </c>
      <c r="G693" s="2" t="s">
        <v>19</v>
      </c>
      <c r="H693" s="2">
        <v>33436</v>
      </c>
      <c r="I693" t="s">
        <v>6190</v>
      </c>
    </row>
    <row r="694" spans="1:9" x14ac:dyDescent="0.25">
      <c r="A694" s="2" t="s">
        <v>4400</v>
      </c>
      <c r="B694" s="2" t="s">
        <v>4401</v>
      </c>
      <c r="C694" s="2" t="s">
        <v>4402</v>
      </c>
      <c r="D694" s="2" t="s">
        <v>4403</v>
      </c>
      <c r="E694" s="2" t="s">
        <v>4404</v>
      </c>
      <c r="F694" s="2" t="s">
        <v>51</v>
      </c>
      <c r="G694" s="2" t="s">
        <v>19</v>
      </c>
      <c r="H694" s="2">
        <v>45999</v>
      </c>
      <c r="I694" t="s">
        <v>6191</v>
      </c>
    </row>
    <row r="695" spans="1:9" x14ac:dyDescent="0.25">
      <c r="A695" s="2" t="s">
        <v>4406</v>
      </c>
      <c r="B695" s="2" t="s">
        <v>4407</v>
      </c>
      <c r="C695" s="2" t="s">
        <v>4408</v>
      </c>
      <c r="D695" s="2" t="s">
        <v>4409</v>
      </c>
      <c r="E695" s="2" t="s">
        <v>4410</v>
      </c>
      <c r="F695" s="2" t="s">
        <v>104</v>
      </c>
      <c r="G695" s="2" t="s">
        <v>19</v>
      </c>
      <c r="H695" s="2">
        <v>63121</v>
      </c>
      <c r="I695" t="s">
        <v>6190</v>
      </c>
    </row>
    <row r="696" spans="1:9" x14ac:dyDescent="0.25">
      <c r="A696" s="2" t="s">
        <v>4412</v>
      </c>
      <c r="B696" s="2" t="s">
        <v>4413</v>
      </c>
      <c r="C696" s="2" t="s">
        <v>4414</v>
      </c>
      <c r="D696" s="2" t="s">
        <v>4415</v>
      </c>
      <c r="E696" s="2" t="s">
        <v>4416</v>
      </c>
      <c r="F696" s="2" t="s">
        <v>243</v>
      </c>
      <c r="G696" s="2" t="s">
        <v>19</v>
      </c>
      <c r="H696" s="2">
        <v>10705</v>
      </c>
      <c r="I696" t="s">
        <v>6191</v>
      </c>
    </row>
    <row r="697" spans="1:9" x14ac:dyDescent="0.25">
      <c r="A697" s="2" t="s">
        <v>4418</v>
      </c>
      <c r="B697" s="2" t="s">
        <v>4419</v>
      </c>
      <c r="C697" s="2" t="s">
        <v>4420</v>
      </c>
      <c r="D697" s="2" t="s">
        <v>4421</v>
      </c>
      <c r="E697" s="2" t="s">
        <v>4422</v>
      </c>
      <c r="F697" s="2" t="s">
        <v>20</v>
      </c>
      <c r="G697" s="2" t="s">
        <v>19</v>
      </c>
      <c r="H697" s="2">
        <v>21290</v>
      </c>
      <c r="I697" t="s">
        <v>6190</v>
      </c>
    </row>
    <row r="698" spans="1:9" x14ac:dyDescent="0.25">
      <c r="A698" s="2" t="s">
        <v>4424</v>
      </c>
      <c r="B698" s="2" t="s">
        <v>4425</v>
      </c>
      <c r="C698" s="2" t="s">
        <v>4426</v>
      </c>
      <c r="D698" s="2" t="s">
        <v>4427</v>
      </c>
      <c r="E698" s="2" t="s">
        <v>4428</v>
      </c>
      <c r="F698" s="2" t="s">
        <v>22</v>
      </c>
      <c r="G698" s="2" t="s">
        <v>19</v>
      </c>
      <c r="H698" s="2">
        <v>32230</v>
      </c>
      <c r="I698" t="s">
        <v>6191</v>
      </c>
    </row>
    <row r="699" spans="1:9" x14ac:dyDescent="0.25">
      <c r="A699" s="2" t="s">
        <v>4430</v>
      </c>
      <c r="B699" s="2" t="s">
        <v>4431</v>
      </c>
      <c r="C699" s="2"/>
      <c r="D699" s="2"/>
      <c r="E699" s="2" t="s">
        <v>4432</v>
      </c>
      <c r="F699" s="2" t="s">
        <v>391</v>
      </c>
      <c r="G699" s="2" t="s">
        <v>318</v>
      </c>
      <c r="H699" s="2" t="s">
        <v>392</v>
      </c>
      <c r="I699" t="s">
        <v>6191</v>
      </c>
    </row>
    <row r="700" spans="1:9" x14ac:dyDescent="0.25">
      <c r="A700" s="2" t="s">
        <v>4434</v>
      </c>
      <c r="B700" s="2" t="s">
        <v>4435</v>
      </c>
      <c r="C700" s="2" t="s">
        <v>4436</v>
      </c>
      <c r="D700" s="2" t="s">
        <v>4437</v>
      </c>
      <c r="E700" s="2" t="s">
        <v>4438</v>
      </c>
      <c r="F700" s="2" t="s">
        <v>289</v>
      </c>
      <c r="G700" s="2" t="s">
        <v>318</v>
      </c>
      <c r="H700" s="2" t="s">
        <v>444</v>
      </c>
      <c r="I700" t="s">
        <v>6191</v>
      </c>
    </row>
    <row r="701" spans="1:9" x14ac:dyDescent="0.25">
      <c r="A701" s="2" t="s">
        <v>4440</v>
      </c>
      <c r="B701" s="2" t="s">
        <v>4441</v>
      </c>
      <c r="C701" s="2" t="s">
        <v>4442</v>
      </c>
      <c r="D701" s="2" t="s">
        <v>4443</v>
      </c>
      <c r="E701" s="2" t="s">
        <v>4444</v>
      </c>
      <c r="F701" s="2" t="s">
        <v>92</v>
      </c>
      <c r="G701" s="2" t="s">
        <v>19</v>
      </c>
      <c r="H701" s="2">
        <v>33196</v>
      </c>
      <c r="I701" t="s">
        <v>6190</v>
      </c>
    </row>
    <row r="702" spans="1:9" x14ac:dyDescent="0.25">
      <c r="A702" s="2" t="s">
        <v>4446</v>
      </c>
      <c r="B702" s="2" t="s">
        <v>4447</v>
      </c>
      <c r="C702" s="2" t="s">
        <v>4448</v>
      </c>
      <c r="D702" s="2"/>
      <c r="E702" s="2" t="s">
        <v>4449</v>
      </c>
      <c r="F702" s="2" t="s">
        <v>150</v>
      </c>
      <c r="G702" s="2" t="s">
        <v>19</v>
      </c>
      <c r="H702" s="2">
        <v>94121</v>
      </c>
      <c r="I702" t="s">
        <v>6191</v>
      </c>
    </row>
    <row r="703" spans="1:9" x14ac:dyDescent="0.25">
      <c r="A703" s="2" t="s">
        <v>4451</v>
      </c>
      <c r="B703" s="2" t="s">
        <v>4452</v>
      </c>
      <c r="C703" s="2" t="s">
        <v>4453</v>
      </c>
      <c r="D703" s="2" t="s">
        <v>4454</v>
      </c>
      <c r="E703" s="2" t="s">
        <v>4455</v>
      </c>
      <c r="F703" s="2" t="s">
        <v>390</v>
      </c>
      <c r="G703" s="2" t="s">
        <v>318</v>
      </c>
      <c r="H703" s="2" t="s">
        <v>348</v>
      </c>
      <c r="I703" t="s">
        <v>6190</v>
      </c>
    </row>
    <row r="704" spans="1:9" x14ac:dyDescent="0.25">
      <c r="A704" s="2" t="s">
        <v>4457</v>
      </c>
      <c r="B704" s="2" t="s">
        <v>4458</v>
      </c>
      <c r="C704" s="2" t="s">
        <v>4459</v>
      </c>
      <c r="D704" s="2"/>
      <c r="E704" s="2" t="s">
        <v>4460</v>
      </c>
      <c r="F704" s="2" t="s">
        <v>211</v>
      </c>
      <c r="G704" s="2" t="s">
        <v>19</v>
      </c>
      <c r="H704" s="2">
        <v>33982</v>
      </c>
      <c r="I704" t="s">
        <v>6190</v>
      </c>
    </row>
    <row r="705" spans="1:9" x14ac:dyDescent="0.25">
      <c r="A705" s="2" t="s">
        <v>4462</v>
      </c>
      <c r="B705" s="2" t="s">
        <v>4463</v>
      </c>
      <c r="C705" s="2"/>
      <c r="D705" s="2" t="s">
        <v>4464</v>
      </c>
      <c r="E705" s="2" t="s">
        <v>4465</v>
      </c>
      <c r="F705" s="2" t="s">
        <v>1282</v>
      </c>
      <c r="G705" s="2" t="s">
        <v>318</v>
      </c>
      <c r="H705" s="2" t="s">
        <v>444</v>
      </c>
      <c r="I705" t="s">
        <v>6190</v>
      </c>
    </row>
    <row r="706" spans="1:9" x14ac:dyDescent="0.25">
      <c r="A706" s="2" t="s">
        <v>4467</v>
      </c>
      <c r="B706" s="2" t="s">
        <v>4468</v>
      </c>
      <c r="C706" s="2"/>
      <c r="D706" s="2" t="s">
        <v>4469</v>
      </c>
      <c r="E706" s="2" t="s">
        <v>4470</v>
      </c>
      <c r="F706" s="2" t="s">
        <v>57</v>
      </c>
      <c r="G706" s="2" t="s">
        <v>19</v>
      </c>
      <c r="H706" s="2">
        <v>10125</v>
      </c>
      <c r="I706" t="s">
        <v>6190</v>
      </c>
    </row>
    <row r="707" spans="1:9" x14ac:dyDescent="0.25">
      <c r="A707" s="2" t="s">
        <v>4472</v>
      </c>
      <c r="B707" s="2" t="s">
        <v>4473</v>
      </c>
      <c r="C707" s="2" t="s">
        <v>4474</v>
      </c>
      <c r="D707" s="2" t="s">
        <v>4475</v>
      </c>
      <c r="E707" s="2" t="s">
        <v>4476</v>
      </c>
      <c r="F707" s="2" t="s">
        <v>295</v>
      </c>
      <c r="G707" s="2" t="s">
        <v>19</v>
      </c>
      <c r="H707" s="2">
        <v>29305</v>
      </c>
      <c r="I707" t="s">
        <v>6191</v>
      </c>
    </row>
    <row r="708" spans="1:9" x14ac:dyDescent="0.25">
      <c r="A708" s="2" t="s">
        <v>4478</v>
      </c>
      <c r="B708" s="2" t="s">
        <v>4479</v>
      </c>
      <c r="C708" s="2" t="s">
        <v>4480</v>
      </c>
      <c r="D708" s="2" t="s">
        <v>4481</v>
      </c>
      <c r="E708" s="2" t="s">
        <v>4482</v>
      </c>
      <c r="F708" s="2" t="s">
        <v>208</v>
      </c>
      <c r="G708" s="2" t="s">
        <v>19</v>
      </c>
      <c r="H708" s="2">
        <v>93305</v>
      </c>
      <c r="I708" t="s">
        <v>6191</v>
      </c>
    </row>
    <row r="709" spans="1:9" x14ac:dyDescent="0.25">
      <c r="A709" s="2" t="s">
        <v>4484</v>
      </c>
      <c r="B709" s="2" t="s">
        <v>4485</v>
      </c>
      <c r="C709" s="2"/>
      <c r="D709" s="2" t="s">
        <v>4486</v>
      </c>
      <c r="E709" s="2" t="s">
        <v>4487</v>
      </c>
      <c r="F709" s="2" t="s">
        <v>382</v>
      </c>
      <c r="G709" s="2" t="s">
        <v>318</v>
      </c>
      <c r="H709" s="2" t="s">
        <v>383</v>
      </c>
      <c r="I709" t="s">
        <v>6191</v>
      </c>
    </row>
    <row r="710" spans="1:9" x14ac:dyDescent="0.25">
      <c r="A710" s="2" t="s">
        <v>4489</v>
      </c>
      <c r="B710" s="2" t="s">
        <v>4490</v>
      </c>
      <c r="C710" s="2" t="s">
        <v>4491</v>
      </c>
      <c r="D710" s="2" t="s">
        <v>4492</v>
      </c>
      <c r="E710" s="2" t="s">
        <v>4493</v>
      </c>
      <c r="F710" s="2" t="s">
        <v>104</v>
      </c>
      <c r="G710" s="2" t="s">
        <v>19</v>
      </c>
      <c r="H710" s="2">
        <v>63169</v>
      </c>
      <c r="I710" t="s">
        <v>6190</v>
      </c>
    </row>
    <row r="711" spans="1:9" x14ac:dyDescent="0.25">
      <c r="A711" s="2" t="s">
        <v>4495</v>
      </c>
      <c r="B711" s="2" t="s">
        <v>4496</v>
      </c>
      <c r="C711" s="2"/>
      <c r="D711" s="2" t="s">
        <v>4497</v>
      </c>
      <c r="E711" s="2" t="s">
        <v>4498</v>
      </c>
      <c r="F711" s="2" t="s">
        <v>66</v>
      </c>
      <c r="G711" s="2" t="s">
        <v>19</v>
      </c>
      <c r="H711" s="2">
        <v>46896</v>
      </c>
      <c r="I711" t="s">
        <v>6190</v>
      </c>
    </row>
    <row r="712" spans="1:9" x14ac:dyDescent="0.25">
      <c r="A712" s="2" t="s">
        <v>4500</v>
      </c>
      <c r="B712" s="2" t="s">
        <v>4501</v>
      </c>
      <c r="C712" s="2" t="s">
        <v>4502</v>
      </c>
      <c r="D712" s="2" t="s">
        <v>4503</v>
      </c>
      <c r="E712" s="2" t="s">
        <v>4504</v>
      </c>
      <c r="F712" s="2" t="s">
        <v>200</v>
      </c>
      <c r="G712" s="2" t="s">
        <v>19</v>
      </c>
      <c r="H712" s="2">
        <v>55564</v>
      </c>
      <c r="I712" t="s">
        <v>6191</v>
      </c>
    </row>
    <row r="713" spans="1:9" x14ac:dyDescent="0.25">
      <c r="A713" s="2" t="s">
        <v>4506</v>
      </c>
      <c r="B713" s="2" t="s">
        <v>4507</v>
      </c>
      <c r="C713" s="2" t="s">
        <v>4508</v>
      </c>
      <c r="D713" s="2" t="s">
        <v>4509</v>
      </c>
      <c r="E713" s="2" t="s">
        <v>4510</v>
      </c>
      <c r="F713" s="2" t="s">
        <v>4511</v>
      </c>
      <c r="G713" s="2" t="s">
        <v>19</v>
      </c>
      <c r="H713" s="2">
        <v>72905</v>
      </c>
      <c r="I713" t="s">
        <v>6191</v>
      </c>
    </row>
    <row r="714" spans="1:9" x14ac:dyDescent="0.25">
      <c r="A714" s="2" t="s">
        <v>4513</v>
      </c>
      <c r="B714" s="2" t="s">
        <v>4514</v>
      </c>
      <c r="C714" s="2"/>
      <c r="D714" s="2"/>
      <c r="E714" s="2" t="s">
        <v>4515</v>
      </c>
      <c r="F714" s="2" t="s">
        <v>286</v>
      </c>
      <c r="G714" s="2" t="s">
        <v>28</v>
      </c>
      <c r="H714" s="2" t="s">
        <v>287</v>
      </c>
      <c r="I714" t="s">
        <v>6191</v>
      </c>
    </row>
    <row r="715" spans="1:9" x14ac:dyDescent="0.25">
      <c r="A715" s="2" t="s">
        <v>4517</v>
      </c>
      <c r="B715" s="2" t="s">
        <v>4518</v>
      </c>
      <c r="C715" s="2" t="s">
        <v>4519</v>
      </c>
      <c r="D715" s="2" t="s">
        <v>4520</v>
      </c>
      <c r="E715" s="2" t="s">
        <v>4521</v>
      </c>
      <c r="F715" s="2" t="s">
        <v>291</v>
      </c>
      <c r="G715" s="2" t="s">
        <v>19</v>
      </c>
      <c r="H715" s="2">
        <v>95210</v>
      </c>
      <c r="I715" t="s">
        <v>6191</v>
      </c>
    </row>
    <row r="716" spans="1:9" x14ac:dyDescent="0.25">
      <c r="A716" s="2" t="s">
        <v>4523</v>
      </c>
      <c r="B716" s="2" t="s">
        <v>4524</v>
      </c>
      <c r="C716" s="2" t="s">
        <v>4525</v>
      </c>
      <c r="D716" s="2" t="s">
        <v>4526</v>
      </c>
      <c r="E716" s="2" t="s">
        <v>4527</v>
      </c>
      <c r="F716" s="2" t="s">
        <v>436</v>
      </c>
      <c r="G716" s="2" t="s">
        <v>318</v>
      </c>
      <c r="H716" s="2" t="s">
        <v>410</v>
      </c>
      <c r="I716" t="s">
        <v>6190</v>
      </c>
    </row>
    <row r="717" spans="1:9" x14ac:dyDescent="0.25">
      <c r="A717" s="2" t="s">
        <v>4529</v>
      </c>
      <c r="B717" s="2" t="s">
        <v>4530</v>
      </c>
      <c r="C717" s="2" t="s">
        <v>4531</v>
      </c>
      <c r="D717" s="2"/>
      <c r="E717" s="2" t="s">
        <v>4532</v>
      </c>
      <c r="F717" s="2" t="s">
        <v>137</v>
      </c>
      <c r="G717" s="2" t="s">
        <v>19</v>
      </c>
      <c r="H717" s="2">
        <v>33686</v>
      </c>
      <c r="I717" t="s">
        <v>6191</v>
      </c>
    </row>
    <row r="718" spans="1:9" x14ac:dyDescent="0.25">
      <c r="A718" s="2" t="s">
        <v>4534</v>
      </c>
      <c r="B718" s="2" t="s">
        <v>4535</v>
      </c>
      <c r="C718" s="2" t="s">
        <v>4536</v>
      </c>
      <c r="D718" s="2" t="s">
        <v>4537</v>
      </c>
      <c r="E718" s="2" t="s">
        <v>4538</v>
      </c>
      <c r="F718" s="2" t="s">
        <v>1447</v>
      </c>
      <c r="G718" s="2" t="s">
        <v>318</v>
      </c>
      <c r="H718" s="2" t="s">
        <v>460</v>
      </c>
      <c r="I718" t="s">
        <v>6191</v>
      </c>
    </row>
    <row r="719" spans="1:9" x14ac:dyDescent="0.25">
      <c r="A719" s="2" t="s">
        <v>4540</v>
      </c>
      <c r="B719" s="2" t="s">
        <v>4541</v>
      </c>
      <c r="C719" s="2" t="s">
        <v>4542</v>
      </c>
      <c r="D719" s="2" t="s">
        <v>4543</v>
      </c>
      <c r="E719" s="2" t="s">
        <v>4544</v>
      </c>
      <c r="F719" s="2" t="s">
        <v>46</v>
      </c>
      <c r="G719" s="2" t="s">
        <v>19</v>
      </c>
      <c r="H719" s="2">
        <v>19104</v>
      </c>
      <c r="I719" t="s">
        <v>6191</v>
      </c>
    </row>
    <row r="720" spans="1:9" x14ac:dyDescent="0.25">
      <c r="A720" s="2" t="s">
        <v>4546</v>
      </c>
      <c r="B720" s="2" t="s">
        <v>4547</v>
      </c>
      <c r="C720" s="2" t="s">
        <v>4548</v>
      </c>
      <c r="D720" s="2" t="s">
        <v>4549</v>
      </c>
      <c r="E720" s="2" t="s">
        <v>4550</v>
      </c>
      <c r="F720" s="2" t="s">
        <v>467</v>
      </c>
      <c r="G720" s="2" t="s">
        <v>19</v>
      </c>
      <c r="H720" s="2">
        <v>76905</v>
      </c>
      <c r="I720" t="s">
        <v>6191</v>
      </c>
    </row>
    <row r="721" spans="1:9" x14ac:dyDescent="0.25">
      <c r="A721" s="2" t="s">
        <v>4552</v>
      </c>
      <c r="B721" s="2" t="s">
        <v>4553</v>
      </c>
      <c r="C721" s="2" t="s">
        <v>4554</v>
      </c>
      <c r="D721" s="2" t="s">
        <v>4555</v>
      </c>
      <c r="E721" s="2" t="s">
        <v>4556</v>
      </c>
      <c r="F721" s="2" t="s">
        <v>27</v>
      </c>
      <c r="G721" s="2" t="s">
        <v>19</v>
      </c>
      <c r="H721" s="2">
        <v>90035</v>
      </c>
      <c r="I721" t="s">
        <v>6190</v>
      </c>
    </row>
    <row r="722" spans="1:9" x14ac:dyDescent="0.25">
      <c r="A722" s="2" t="s">
        <v>4558</v>
      </c>
      <c r="B722" s="2" t="s">
        <v>4559</v>
      </c>
      <c r="C722" s="2" t="s">
        <v>4560</v>
      </c>
      <c r="D722" s="2" t="s">
        <v>4561</v>
      </c>
      <c r="E722" s="2" t="s">
        <v>4562</v>
      </c>
      <c r="F722" s="2" t="s">
        <v>174</v>
      </c>
      <c r="G722" s="2" t="s">
        <v>19</v>
      </c>
      <c r="H722" s="2">
        <v>48912</v>
      </c>
      <c r="I722" t="s">
        <v>6190</v>
      </c>
    </row>
    <row r="723" spans="1:9" x14ac:dyDescent="0.25">
      <c r="A723" s="2" t="s">
        <v>4564</v>
      </c>
      <c r="B723" s="2" t="s">
        <v>4565</v>
      </c>
      <c r="C723" s="2" t="s">
        <v>4566</v>
      </c>
      <c r="D723" s="2" t="s">
        <v>4567</v>
      </c>
      <c r="E723" s="2" t="s">
        <v>4568</v>
      </c>
      <c r="F723" s="2" t="s">
        <v>209</v>
      </c>
      <c r="G723" s="2" t="s">
        <v>19</v>
      </c>
      <c r="H723" s="2">
        <v>34615</v>
      </c>
      <c r="I723" t="s">
        <v>6190</v>
      </c>
    </row>
    <row r="724" spans="1:9" x14ac:dyDescent="0.25">
      <c r="A724" s="2" t="s">
        <v>4570</v>
      </c>
      <c r="B724" s="2" t="s">
        <v>4571</v>
      </c>
      <c r="C724" s="2"/>
      <c r="D724" s="2" t="s">
        <v>4572</v>
      </c>
      <c r="E724" s="2" t="s">
        <v>4573</v>
      </c>
      <c r="F724" s="2" t="s">
        <v>146</v>
      </c>
      <c r="G724" s="2" t="s">
        <v>19</v>
      </c>
      <c r="H724" s="2">
        <v>90605</v>
      </c>
      <c r="I724" t="s">
        <v>6191</v>
      </c>
    </row>
    <row r="725" spans="1:9" x14ac:dyDescent="0.25">
      <c r="A725" s="2" t="s">
        <v>4575</v>
      </c>
      <c r="B725" s="2" t="s">
        <v>4576</v>
      </c>
      <c r="C725" s="2" t="s">
        <v>4577</v>
      </c>
      <c r="D725" s="2" t="s">
        <v>4578</v>
      </c>
      <c r="E725" s="2" t="s">
        <v>4579</v>
      </c>
      <c r="F725" s="2" t="s">
        <v>30</v>
      </c>
      <c r="G725" s="2" t="s">
        <v>19</v>
      </c>
      <c r="H725" s="2">
        <v>93773</v>
      </c>
      <c r="I725" t="s">
        <v>6191</v>
      </c>
    </row>
    <row r="726" spans="1:9" x14ac:dyDescent="0.25">
      <c r="A726" s="2" t="s">
        <v>4581</v>
      </c>
      <c r="B726" s="2" t="s">
        <v>4582</v>
      </c>
      <c r="C726" s="2"/>
      <c r="D726" s="2" t="s">
        <v>4583</v>
      </c>
      <c r="E726" s="2" t="s">
        <v>4584</v>
      </c>
      <c r="F726" s="2" t="s">
        <v>57</v>
      </c>
      <c r="G726" s="2" t="s">
        <v>19</v>
      </c>
      <c r="H726" s="2">
        <v>10155</v>
      </c>
      <c r="I726" t="s">
        <v>6190</v>
      </c>
    </row>
    <row r="727" spans="1:9" x14ac:dyDescent="0.25">
      <c r="A727" s="2" t="s">
        <v>4586</v>
      </c>
      <c r="B727" s="2" t="s">
        <v>4587</v>
      </c>
      <c r="C727" s="2" t="s">
        <v>4588</v>
      </c>
      <c r="D727" s="2" t="s">
        <v>4589</v>
      </c>
      <c r="E727" s="2" t="s">
        <v>4590</v>
      </c>
      <c r="F727" s="2" t="s">
        <v>78</v>
      </c>
      <c r="G727" s="2" t="s">
        <v>19</v>
      </c>
      <c r="H727" s="2">
        <v>80935</v>
      </c>
      <c r="I727" t="s">
        <v>6191</v>
      </c>
    </row>
    <row r="728" spans="1:9" x14ac:dyDescent="0.25">
      <c r="A728" s="2" t="s">
        <v>4592</v>
      </c>
      <c r="B728" s="2" t="s">
        <v>4593</v>
      </c>
      <c r="C728" s="2"/>
      <c r="D728" s="2" t="s">
        <v>4594</v>
      </c>
      <c r="E728" s="2" t="s">
        <v>4595</v>
      </c>
      <c r="F728" s="2" t="s">
        <v>277</v>
      </c>
      <c r="G728" s="2" t="s">
        <v>19</v>
      </c>
      <c r="H728" s="2">
        <v>90831</v>
      </c>
      <c r="I728" t="s">
        <v>6191</v>
      </c>
    </row>
    <row r="729" spans="1:9" x14ac:dyDescent="0.25">
      <c r="A729" s="2" t="s">
        <v>4597</v>
      </c>
      <c r="B729" s="2" t="s">
        <v>4598</v>
      </c>
      <c r="C729" s="2" t="s">
        <v>4599</v>
      </c>
      <c r="D729" s="2" t="s">
        <v>4600</v>
      </c>
      <c r="E729" s="2" t="s">
        <v>4601</v>
      </c>
      <c r="F729" s="2" t="s">
        <v>331</v>
      </c>
      <c r="G729" s="2" t="s">
        <v>318</v>
      </c>
      <c r="H729" s="2" t="s">
        <v>332</v>
      </c>
      <c r="I729" t="s">
        <v>6190</v>
      </c>
    </row>
    <row r="730" spans="1:9" x14ac:dyDescent="0.25">
      <c r="A730" s="2" t="s">
        <v>4603</v>
      </c>
      <c r="B730" s="2" t="s">
        <v>4604</v>
      </c>
      <c r="C730" s="2" t="s">
        <v>4605</v>
      </c>
      <c r="D730" s="2" t="s">
        <v>4606</v>
      </c>
      <c r="E730" s="2" t="s">
        <v>4607</v>
      </c>
      <c r="F730" s="2" t="s">
        <v>122</v>
      </c>
      <c r="G730" s="2" t="s">
        <v>19</v>
      </c>
      <c r="H730" s="2">
        <v>89510</v>
      </c>
      <c r="I730" t="s">
        <v>6190</v>
      </c>
    </row>
    <row r="731" spans="1:9" x14ac:dyDescent="0.25">
      <c r="A731" s="2" t="s">
        <v>4609</v>
      </c>
      <c r="B731" s="2" t="s">
        <v>4610</v>
      </c>
      <c r="C731" s="2" t="s">
        <v>4611</v>
      </c>
      <c r="D731" s="2" t="s">
        <v>4612</v>
      </c>
      <c r="E731" s="2" t="s">
        <v>4613</v>
      </c>
      <c r="F731" s="2" t="s">
        <v>81</v>
      </c>
      <c r="G731" s="2" t="s">
        <v>28</v>
      </c>
      <c r="H731" s="2" t="s">
        <v>258</v>
      </c>
      <c r="I731" t="s">
        <v>6191</v>
      </c>
    </row>
    <row r="732" spans="1:9" x14ac:dyDescent="0.25">
      <c r="A732" s="2" t="s">
        <v>4615</v>
      </c>
      <c r="B732" s="2" t="s">
        <v>4616</v>
      </c>
      <c r="C732" s="2" t="s">
        <v>4617</v>
      </c>
      <c r="D732" s="2" t="s">
        <v>4618</v>
      </c>
      <c r="E732" s="2" t="s">
        <v>4619</v>
      </c>
      <c r="F732" s="2" t="s">
        <v>107</v>
      </c>
      <c r="G732" s="2" t="s">
        <v>19</v>
      </c>
      <c r="H732" s="2">
        <v>89155</v>
      </c>
      <c r="I732" t="s">
        <v>6191</v>
      </c>
    </row>
    <row r="733" spans="1:9" x14ac:dyDescent="0.25">
      <c r="A733" s="2" t="s">
        <v>4621</v>
      </c>
      <c r="B733" s="2" t="s">
        <v>4622</v>
      </c>
      <c r="C733" s="2"/>
      <c r="D733" s="2" t="s">
        <v>4623</v>
      </c>
      <c r="E733" s="2" t="s">
        <v>4624</v>
      </c>
      <c r="F733" s="2" t="s">
        <v>168</v>
      </c>
      <c r="G733" s="2" t="s">
        <v>19</v>
      </c>
      <c r="H733" s="2">
        <v>19805</v>
      </c>
      <c r="I733" t="s">
        <v>6190</v>
      </c>
    </row>
    <row r="734" spans="1:9" x14ac:dyDescent="0.25">
      <c r="A734" s="2" t="s">
        <v>4626</v>
      </c>
      <c r="B734" s="2" t="s">
        <v>4627</v>
      </c>
      <c r="C734" s="2" t="s">
        <v>4628</v>
      </c>
      <c r="D734" s="2" t="s">
        <v>4629</v>
      </c>
      <c r="E734" s="2" t="s">
        <v>4630</v>
      </c>
      <c r="F734" s="2" t="s">
        <v>122</v>
      </c>
      <c r="G734" s="2" t="s">
        <v>19</v>
      </c>
      <c r="H734" s="2">
        <v>89550</v>
      </c>
      <c r="I734" t="s">
        <v>6191</v>
      </c>
    </row>
    <row r="735" spans="1:9" x14ac:dyDescent="0.25">
      <c r="A735" s="2" t="s">
        <v>4632</v>
      </c>
      <c r="B735" s="2" t="s">
        <v>4633</v>
      </c>
      <c r="C735" s="2" t="s">
        <v>4634</v>
      </c>
      <c r="D735" s="2" t="s">
        <v>4635</v>
      </c>
      <c r="E735" s="2" t="s">
        <v>4636</v>
      </c>
      <c r="F735" s="2" t="s">
        <v>142</v>
      </c>
      <c r="G735" s="2" t="s">
        <v>19</v>
      </c>
      <c r="H735" s="2">
        <v>35487</v>
      </c>
      <c r="I735" t="s">
        <v>6190</v>
      </c>
    </row>
    <row r="736" spans="1:9" x14ac:dyDescent="0.25">
      <c r="A736" s="2" t="s">
        <v>4638</v>
      </c>
      <c r="B736" s="2" t="s">
        <v>4639</v>
      </c>
      <c r="C736" s="2"/>
      <c r="D736" s="2" t="s">
        <v>4640</v>
      </c>
      <c r="E736" s="2" t="s">
        <v>4641</v>
      </c>
      <c r="F736" s="2" t="s">
        <v>206</v>
      </c>
      <c r="G736" s="2" t="s">
        <v>19</v>
      </c>
      <c r="H736" s="2">
        <v>92645</v>
      </c>
      <c r="I736" t="s">
        <v>6191</v>
      </c>
    </row>
    <row r="737" spans="1:9" x14ac:dyDescent="0.25">
      <c r="A737" s="2" t="s">
        <v>4643</v>
      </c>
      <c r="B737" s="2" t="s">
        <v>4644</v>
      </c>
      <c r="C737" s="2" t="s">
        <v>4645</v>
      </c>
      <c r="D737" s="2"/>
      <c r="E737" s="2" t="s">
        <v>4646</v>
      </c>
      <c r="F737" s="2" t="s">
        <v>67</v>
      </c>
      <c r="G737" s="2" t="s">
        <v>19</v>
      </c>
      <c r="H737" s="2">
        <v>66225</v>
      </c>
      <c r="I737" t="s">
        <v>6191</v>
      </c>
    </row>
    <row r="738" spans="1:9" x14ac:dyDescent="0.25">
      <c r="A738" s="2" t="s">
        <v>4648</v>
      </c>
      <c r="B738" s="2" t="s">
        <v>4649</v>
      </c>
      <c r="C738" s="2" t="s">
        <v>4650</v>
      </c>
      <c r="D738" s="2" t="s">
        <v>4651</v>
      </c>
      <c r="E738" s="2" t="s">
        <v>4652</v>
      </c>
      <c r="F738" s="2" t="s">
        <v>1282</v>
      </c>
      <c r="G738" s="2" t="s">
        <v>318</v>
      </c>
      <c r="H738" s="2" t="s">
        <v>444</v>
      </c>
      <c r="I738" t="s">
        <v>6190</v>
      </c>
    </row>
    <row r="739" spans="1:9" x14ac:dyDescent="0.25">
      <c r="A739" s="2" t="s">
        <v>4654</v>
      </c>
      <c r="B739" s="2" t="s">
        <v>4655</v>
      </c>
      <c r="C739" s="2" t="s">
        <v>4656</v>
      </c>
      <c r="D739" s="2" t="s">
        <v>4657</v>
      </c>
      <c r="E739" s="2" t="s">
        <v>4658</v>
      </c>
      <c r="F739" s="2" t="s">
        <v>51</v>
      </c>
      <c r="G739" s="2" t="s">
        <v>19</v>
      </c>
      <c r="H739" s="2">
        <v>45228</v>
      </c>
      <c r="I739" t="s">
        <v>6191</v>
      </c>
    </row>
    <row r="740" spans="1:9" x14ac:dyDescent="0.25">
      <c r="A740" s="2" t="s">
        <v>4660</v>
      </c>
      <c r="B740" s="2" t="s">
        <v>4661</v>
      </c>
      <c r="C740" s="2" t="s">
        <v>4662</v>
      </c>
      <c r="D740" s="2" t="s">
        <v>4663</v>
      </c>
      <c r="E740" s="2" t="s">
        <v>4664</v>
      </c>
      <c r="F740" s="2" t="s">
        <v>264</v>
      </c>
      <c r="G740" s="2" t="s">
        <v>28</v>
      </c>
      <c r="H740" s="2" t="s">
        <v>265</v>
      </c>
      <c r="I740" t="s">
        <v>6191</v>
      </c>
    </row>
    <row r="741" spans="1:9" x14ac:dyDescent="0.25">
      <c r="A741" s="2" t="s">
        <v>4666</v>
      </c>
      <c r="B741" s="2" t="s">
        <v>4667</v>
      </c>
      <c r="C741" s="2"/>
      <c r="D741" s="2" t="s">
        <v>4668</v>
      </c>
      <c r="E741" s="2" t="s">
        <v>4669</v>
      </c>
      <c r="F741" s="2" t="s">
        <v>189</v>
      </c>
      <c r="G741" s="2" t="s">
        <v>19</v>
      </c>
      <c r="H741" s="2">
        <v>97296</v>
      </c>
      <c r="I741" t="s">
        <v>6190</v>
      </c>
    </row>
    <row r="742" spans="1:9" x14ac:dyDescent="0.25">
      <c r="A742" s="2" t="s">
        <v>4671</v>
      </c>
      <c r="B742" s="2" t="s">
        <v>4672</v>
      </c>
      <c r="C742" s="2" t="s">
        <v>4673</v>
      </c>
      <c r="D742" s="2" t="s">
        <v>4674</v>
      </c>
      <c r="E742" s="2" t="s">
        <v>4675</v>
      </c>
      <c r="F742" s="2" t="s">
        <v>382</v>
      </c>
      <c r="G742" s="2" t="s">
        <v>318</v>
      </c>
      <c r="H742" s="2" t="s">
        <v>383</v>
      </c>
      <c r="I742" t="s">
        <v>6191</v>
      </c>
    </row>
    <row r="743" spans="1:9" x14ac:dyDescent="0.25">
      <c r="A743" s="2" t="s">
        <v>4677</v>
      </c>
      <c r="B743" s="2" t="s">
        <v>4678</v>
      </c>
      <c r="C743" s="2" t="s">
        <v>4679</v>
      </c>
      <c r="D743" s="2" t="s">
        <v>4680</v>
      </c>
      <c r="E743" s="2" t="s">
        <v>4681</v>
      </c>
      <c r="F743" s="2" t="s">
        <v>256</v>
      </c>
      <c r="G743" s="2" t="s">
        <v>19</v>
      </c>
      <c r="H743" s="2">
        <v>94089</v>
      </c>
      <c r="I743" t="s">
        <v>6191</v>
      </c>
    </row>
    <row r="744" spans="1:9" x14ac:dyDescent="0.25">
      <c r="A744" s="2" t="s">
        <v>4683</v>
      </c>
      <c r="B744" s="2" t="s">
        <v>4684</v>
      </c>
      <c r="C744" s="2" t="s">
        <v>4685</v>
      </c>
      <c r="D744" s="2" t="s">
        <v>4686</v>
      </c>
      <c r="E744" s="2" t="s">
        <v>4687</v>
      </c>
      <c r="F744" s="2" t="s">
        <v>23</v>
      </c>
      <c r="G744" s="2" t="s">
        <v>19</v>
      </c>
      <c r="H744" s="2">
        <v>38188</v>
      </c>
      <c r="I744" t="s">
        <v>6191</v>
      </c>
    </row>
    <row r="745" spans="1:9" x14ac:dyDescent="0.25">
      <c r="A745" s="2" t="s">
        <v>4689</v>
      </c>
      <c r="B745" s="2" t="s">
        <v>4690</v>
      </c>
      <c r="C745" s="2" t="s">
        <v>4691</v>
      </c>
      <c r="D745" s="2" t="s">
        <v>4692</v>
      </c>
      <c r="E745" s="2" t="s">
        <v>4693</v>
      </c>
      <c r="F745" s="2" t="s">
        <v>80</v>
      </c>
      <c r="G745" s="2" t="s">
        <v>19</v>
      </c>
      <c r="H745" s="2">
        <v>32868</v>
      </c>
      <c r="I745" t="s">
        <v>6191</v>
      </c>
    </row>
    <row r="746" spans="1:9" x14ac:dyDescent="0.25">
      <c r="A746" s="2" t="s">
        <v>4695</v>
      </c>
      <c r="B746" s="2" t="s">
        <v>4696</v>
      </c>
      <c r="C746" s="2"/>
      <c r="D746" s="2" t="s">
        <v>4697</v>
      </c>
      <c r="E746" s="2" t="s">
        <v>4698</v>
      </c>
      <c r="F746" s="2" t="s">
        <v>41</v>
      </c>
      <c r="G746" s="2" t="s">
        <v>19</v>
      </c>
      <c r="H746" s="2">
        <v>48232</v>
      </c>
      <c r="I746" t="s">
        <v>6190</v>
      </c>
    </row>
    <row r="747" spans="1:9" x14ac:dyDescent="0.25">
      <c r="A747" s="2" t="s">
        <v>4700</v>
      </c>
      <c r="B747" s="2" t="s">
        <v>4701</v>
      </c>
      <c r="C747" s="2" t="s">
        <v>4702</v>
      </c>
      <c r="D747" s="2" t="s">
        <v>4703</v>
      </c>
      <c r="E747" s="2" t="s">
        <v>4704</v>
      </c>
      <c r="F747" s="2" t="s">
        <v>483</v>
      </c>
      <c r="G747" s="2" t="s">
        <v>318</v>
      </c>
      <c r="H747" s="2" t="s">
        <v>484</v>
      </c>
      <c r="I747" t="s">
        <v>6191</v>
      </c>
    </row>
    <row r="748" spans="1:9" x14ac:dyDescent="0.25">
      <c r="A748" s="2" t="s">
        <v>4706</v>
      </c>
      <c r="B748" s="2" t="s">
        <v>4707</v>
      </c>
      <c r="C748" s="2" t="s">
        <v>4708</v>
      </c>
      <c r="D748" s="2" t="s">
        <v>4709</v>
      </c>
      <c r="E748" s="2" t="s">
        <v>4710</v>
      </c>
      <c r="F748" s="2" t="s">
        <v>459</v>
      </c>
      <c r="G748" s="2" t="s">
        <v>318</v>
      </c>
      <c r="H748" s="2" t="s">
        <v>460</v>
      </c>
      <c r="I748" t="s">
        <v>6191</v>
      </c>
    </row>
    <row r="749" spans="1:9" x14ac:dyDescent="0.25">
      <c r="A749" s="2" t="s">
        <v>4712</v>
      </c>
      <c r="B749" s="2" t="s">
        <v>4713</v>
      </c>
      <c r="C749" s="2" t="s">
        <v>4714</v>
      </c>
      <c r="D749" s="2" t="s">
        <v>4715</v>
      </c>
      <c r="E749" s="2" t="s">
        <v>4716</v>
      </c>
      <c r="F749" s="2" t="s">
        <v>430</v>
      </c>
      <c r="G749" s="2" t="s">
        <v>318</v>
      </c>
      <c r="H749" s="2" t="s">
        <v>431</v>
      </c>
      <c r="I749" t="s">
        <v>6190</v>
      </c>
    </row>
    <row r="750" spans="1:9" x14ac:dyDescent="0.25">
      <c r="A750" s="2" t="s">
        <v>4718</v>
      </c>
      <c r="B750" s="2" t="s">
        <v>4719</v>
      </c>
      <c r="C750" s="2" t="s">
        <v>4720</v>
      </c>
      <c r="D750" s="2" t="s">
        <v>4721</v>
      </c>
      <c r="E750" s="2" t="s">
        <v>4722</v>
      </c>
      <c r="F750" s="2" t="s">
        <v>38</v>
      </c>
      <c r="G750" s="2" t="s">
        <v>19</v>
      </c>
      <c r="H750" s="2">
        <v>23203</v>
      </c>
      <c r="I750" t="s">
        <v>6191</v>
      </c>
    </row>
    <row r="751" spans="1:9" x14ac:dyDescent="0.25">
      <c r="A751" s="2" t="s">
        <v>4724</v>
      </c>
      <c r="B751" s="2" t="s">
        <v>4725</v>
      </c>
      <c r="C751" s="2" t="s">
        <v>4726</v>
      </c>
      <c r="D751" s="2" t="s">
        <v>4727</v>
      </c>
      <c r="E751" s="2" t="s">
        <v>4728</v>
      </c>
      <c r="F751" s="2" t="s">
        <v>4729</v>
      </c>
      <c r="G751" s="2" t="s">
        <v>318</v>
      </c>
      <c r="H751" s="2" t="s">
        <v>410</v>
      </c>
      <c r="I751" t="s">
        <v>6190</v>
      </c>
    </row>
    <row r="752" spans="1:9" x14ac:dyDescent="0.25">
      <c r="A752" s="2" t="s">
        <v>4731</v>
      </c>
      <c r="B752" s="2" t="s">
        <v>4732</v>
      </c>
      <c r="C752" s="2"/>
      <c r="D752" s="2" t="s">
        <v>4733</v>
      </c>
      <c r="E752" s="2" t="s">
        <v>4734</v>
      </c>
      <c r="F752" s="2" t="s">
        <v>106</v>
      </c>
      <c r="G752" s="2" t="s">
        <v>19</v>
      </c>
      <c r="H752" s="2">
        <v>76178</v>
      </c>
      <c r="I752" t="s">
        <v>6190</v>
      </c>
    </row>
    <row r="753" spans="1:9" x14ac:dyDescent="0.25">
      <c r="A753" s="2" t="s">
        <v>4736</v>
      </c>
      <c r="B753" s="2" t="s">
        <v>4737</v>
      </c>
      <c r="C753" s="2" t="s">
        <v>4738</v>
      </c>
      <c r="D753" s="2" t="s">
        <v>4739</v>
      </c>
      <c r="E753" s="2" t="s">
        <v>4740</v>
      </c>
      <c r="F753" s="2" t="s">
        <v>139</v>
      </c>
      <c r="G753" s="2" t="s">
        <v>19</v>
      </c>
      <c r="H753" s="2">
        <v>11254</v>
      </c>
      <c r="I753" t="s">
        <v>6191</v>
      </c>
    </row>
    <row r="754" spans="1:9" x14ac:dyDescent="0.25">
      <c r="A754" s="2" t="s">
        <v>4742</v>
      </c>
      <c r="B754" s="2" t="s">
        <v>4743</v>
      </c>
      <c r="C754" s="2" t="s">
        <v>4744</v>
      </c>
      <c r="D754" s="2" t="s">
        <v>4745</v>
      </c>
      <c r="E754" s="2" t="s">
        <v>4746</v>
      </c>
      <c r="F754" s="2" t="s">
        <v>106</v>
      </c>
      <c r="G754" s="2" t="s">
        <v>19</v>
      </c>
      <c r="H754" s="2">
        <v>76198</v>
      </c>
      <c r="I754" t="s">
        <v>6190</v>
      </c>
    </row>
    <row r="755" spans="1:9" x14ac:dyDescent="0.25">
      <c r="A755" s="2" t="s">
        <v>4748</v>
      </c>
      <c r="B755" s="2" t="s">
        <v>4749</v>
      </c>
      <c r="C755" s="2" t="s">
        <v>4750</v>
      </c>
      <c r="D755" s="2" t="s">
        <v>4751</v>
      </c>
      <c r="E755" s="2" t="s">
        <v>4752</v>
      </c>
      <c r="F755" s="2" t="s">
        <v>184</v>
      </c>
      <c r="G755" s="2" t="s">
        <v>19</v>
      </c>
      <c r="H755" s="2">
        <v>85053</v>
      </c>
      <c r="I755" t="s">
        <v>6191</v>
      </c>
    </row>
    <row r="756" spans="1:9" x14ac:dyDescent="0.25">
      <c r="A756" s="2" t="s">
        <v>4754</v>
      </c>
      <c r="B756" s="2" t="s">
        <v>4755</v>
      </c>
      <c r="C756" s="2" t="s">
        <v>4756</v>
      </c>
      <c r="D756" s="2"/>
      <c r="E756" s="2" t="s">
        <v>4757</v>
      </c>
      <c r="F756" s="2" t="s">
        <v>47</v>
      </c>
      <c r="G756" s="2" t="s">
        <v>19</v>
      </c>
      <c r="H756" s="2">
        <v>20470</v>
      </c>
      <c r="I756" t="s">
        <v>6191</v>
      </c>
    </row>
    <row r="757" spans="1:9" x14ac:dyDescent="0.25">
      <c r="A757" s="2" t="s">
        <v>4759</v>
      </c>
      <c r="B757" s="2" t="s">
        <v>4760</v>
      </c>
      <c r="C757" s="2" t="s">
        <v>4761</v>
      </c>
      <c r="D757" s="2" t="s">
        <v>4762</v>
      </c>
      <c r="E757" s="2" t="s">
        <v>4763</v>
      </c>
      <c r="F757" s="2" t="s">
        <v>52</v>
      </c>
      <c r="G757" s="2" t="s">
        <v>19</v>
      </c>
      <c r="H757" s="2">
        <v>75287</v>
      </c>
      <c r="I757" t="s">
        <v>6191</v>
      </c>
    </row>
    <row r="758" spans="1:9" x14ac:dyDescent="0.25">
      <c r="A758" s="2" t="s">
        <v>4765</v>
      </c>
      <c r="B758" s="2" t="s">
        <v>4766</v>
      </c>
      <c r="C758" s="2" t="s">
        <v>4767</v>
      </c>
      <c r="D758" s="2" t="s">
        <v>4768</v>
      </c>
      <c r="E758" s="2" t="s">
        <v>4769</v>
      </c>
      <c r="F758" s="2" t="s">
        <v>171</v>
      </c>
      <c r="G758" s="2" t="s">
        <v>19</v>
      </c>
      <c r="H758" s="2">
        <v>28805</v>
      </c>
      <c r="I758" t="s">
        <v>6190</v>
      </c>
    </row>
    <row r="759" spans="1:9" x14ac:dyDescent="0.25">
      <c r="A759" s="2" t="s">
        <v>4771</v>
      </c>
      <c r="B759" s="2" t="s">
        <v>4772</v>
      </c>
      <c r="C759" s="2" t="s">
        <v>4773</v>
      </c>
      <c r="D759" s="2" t="s">
        <v>4774</v>
      </c>
      <c r="E759" s="2" t="s">
        <v>4775</v>
      </c>
      <c r="F759" s="2" t="s">
        <v>252</v>
      </c>
      <c r="G759" s="2" t="s">
        <v>19</v>
      </c>
      <c r="H759" s="2">
        <v>59112</v>
      </c>
      <c r="I759" t="s">
        <v>6190</v>
      </c>
    </row>
    <row r="760" spans="1:9" x14ac:dyDescent="0.25">
      <c r="A760" s="2" t="s">
        <v>4777</v>
      </c>
      <c r="B760" s="2" t="s">
        <v>4778</v>
      </c>
      <c r="C760" s="2" t="s">
        <v>4779</v>
      </c>
      <c r="D760" s="2"/>
      <c r="E760" s="2" t="s">
        <v>4780</v>
      </c>
      <c r="F760" s="2" t="s">
        <v>104</v>
      </c>
      <c r="G760" s="2" t="s">
        <v>19</v>
      </c>
      <c r="H760" s="2">
        <v>63126</v>
      </c>
      <c r="I760" t="s">
        <v>6191</v>
      </c>
    </row>
    <row r="761" spans="1:9" x14ac:dyDescent="0.25">
      <c r="A761" s="2" t="s">
        <v>4782</v>
      </c>
      <c r="B761" s="2" t="s">
        <v>4783</v>
      </c>
      <c r="C761" s="2" t="s">
        <v>4784</v>
      </c>
      <c r="D761" s="2" t="s">
        <v>4785</v>
      </c>
      <c r="E761" s="2" t="s">
        <v>4786</v>
      </c>
      <c r="F761" s="2" t="s">
        <v>155</v>
      </c>
      <c r="G761" s="2" t="s">
        <v>19</v>
      </c>
      <c r="H761" s="2">
        <v>64054</v>
      </c>
      <c r="I761" t="s">
        <v>6190</v>
      </c>
    </row>
    <row r="762" spans="1:9" x14ac:dyDescent="0.25">
      <c r="A762" s="2" t="s">
        <v>4788</v>
      </c>
      <c r="B762" s="2" t="s">
        <v>4789</v>
      </c>
      <c r="C762" s="2" t="s">
        <v>4790</v>
      </c>
      <c r="D762" s="2"/>
      <c r="E762" s="2" t="s">
        <v>4791</v>
      </c>
      <c r="F762" s="2" t="s">
        <v>82</v>
      </c>
      <c r="G762" s="2" t="s">
        <v>19</v>
      </c>
      <c r="H762" s="2">
        <v>27404</v>
      </c>
      <c r="I762" t="s">
        <v>6191</v>
      </c>
    </row>
    <row r="763" spans="1:9" x14ac:dyDescent="0.25">
      <c r="A763" s="2" t="s">
        <v>4793</v>
      </c>
      <c r="B763" s="2" t="s">
        <v>4794</v>
      </c>
      <c r="C763" s="2" t="s">
        <v>4795</v>
      </c>
      <c r="D763" s="2"/>
      <c r="E763" s="2" t="s">
        <v>4796</v>
      </c>
      <c r="F763" s="2" t="s">
        <v>99</v>
      </c>
      <c r="G763" s="2" t="s">
        <v>19</v>
      </c>
      <c r="H763" s="2">
        <v>71213</v>
      </c>
      <c r="I763" t="s">
        <v>6190</v>
      </c>
    </row>
    <row r="764" spans="1:9" x14ac:dyDescent="0.25">
      <c r="A764" s="2" t="s">
        <v>4798</v>
      </c>
      <c r="B764" s="2" t="s">
        <v>4799</v>
      </c>
      <c r="C764" s="2" t="s">
        <v>4800</v>
      </c>
      <c r="D764" s="2" t="s">
        <v>4801</v>
      </c>
      <c r="E764" s="2" t="s">
        <v>4802</v>
      </c>
      <c r="F764" s="2" t="s">
        <v>159</v>
      </c>
      <c r="G764" s="2" t="s">
        <v>28</v>
      </c>
      <c r="H764" s="2" t="s">
        <v>160</v>
      </c>
      <c r="I764" t="s">
        <v>6191</v>
      </c>
    </row>
    <row r="765" spans="1:9" x14ac:dyDescent="0.25">
      <c r="A765" s="2" t="s">
        <v>4804</v>
      </c>
      <c r="B765" s="2" t="s">
        <v>4805</v>
      </c>
      <c r="C765" s="2"/>
      <c r="D765" s="2" t="s">
        <v>4806</v>
      </c>
      <c r="E765" s="2" t="s">
        <v>4807</v>
      </c>
      <c r="F765" s="2" t="s">
        <v>106</v>
      </c>
      <c r="G765" s="2" t="s">
        <v>19</v>
      </c>
      <c r="H765" s="2">
        <v>76129</v>
      </c>
      <c r="I765" t="s">
        <v>6191</v>
      </c>
    </row>
    <row r="766" spans="1:9" x14ac:dyDescent="0.25">
      <c r="A766" s="2" t="s">
        <v>4809</v>
      </c>
      <c r="B766" s="2" t="s">
        <v>4810</v>
      </c>
      <c r="C766" s="2" t="s">
        <v>4811</v>
      </c>
      <c r="D766" s="2" t="s">
        <v>4812</v>
      </c>
      <c r="E766" s="2" t="s">
        <v>4813</v>
      </c>
      <c r="F766" s="2" t="s">
        <v>97</v>
      </c>
      <c r="G766" s="2" t="s">
        <v>19</v>
      </c>
      <c r="H766" s="2">
        <v>58122</v>
      </c>
      <c r="I766" t="s">
        <v>6190</v>
      </c>
    </row>
    <row r="767" spans="1:9" x14ac:dyDescent="0.25">
      <c r="A767" s="2" t="s">
        <v>4815</v>
      </c>
      <c r="B767" s="2" t="s">
        <v>4816</v>
      </c>
      <c r="C767" s="2" t="s">
        <v>4817</v>
      </c>
      <c r="D767" s="2" t="s">
        <v>4818</v>
      </c>
      <c r="E767" s="2" t="s">
        <v>4819</v>
      </c>
      <c r="F767" s="2" t="s">
        <v>115</v>
      </c>
      <c r="G767" s="2" t="s">
        <v>19</v>
      </c>
      <c r="H767" s="2">
        <v>75044</v>
      </c>
      <c r="I767" t="s">
        <v>6190</v>
      </c>
    </row>
    <row r="768" spans="1:9" x14ac:dyDescent="0.25">
      <c r="A768" s="2" t="s">
        <v>4820</v>
      </c>
      <c r="B768" s="2" t="s">
        <v>4821</v>
      </c>
      <c r="C768" s="2" t="s">
        <v>4822</v>
      </c>
      <c r="D768" s="2" t="s">
        <v>4823</v>
      </c>
      <c r="E768" s="2" t="s">
        <v>4824</v>
      </c>
      <c r="F768" s="2" t="s">
        <v>39</v>
      </c>
      <c r="G768" s="2" t="s">
        <v>19</v>
      </c>
      <c r="H768" s="2">
        <v>43231</v>
      </c>
      <c r="I768" t="s">
        <v>6191</v>
      </c>
    </row>
    <row r="769" spans="1:9" x14ac:dyDescent="0.25">
      <c r="A769" s="2" t="s">
        <v>4826</v>
      </c>
      <c r="B769" s="2" t="s">
        <v>4827</v>
      </c>
      <c r="C769" s="2" t="s">
        <v>4828</v>
      </c>
      <c r="D769" s="2" t="s">
        <v>4829</v>
      </c>
      <c r="E769" s="2" t="s">
        <v>4830</v>
      </c>
      <c r="F769" s="2" t="s">
        <v>123</v>
      </c>
      <c r="G769" s="2" t="s">
        <v>19</v>
      </c>
      <c r="H769" s="2">
        <v>78737</v>
      </c>
      <c r="I769" t="s">
        <v>6191</v>
      </c>
    </row>
    <row r="770" spans="1:9" x14ac:dyDescent="0.25">
      <c r="A770" s="2" t="s">
        <v>4832</v>
      </c>
      <c r="B770" s="2" t="s">
        <v>4833</v>
      </c>
      <c r="C770" s="2"/>
      <c r="D770" s="2" t="s">
        <v>4834</v>
      </c>
      <c r="E770" s="2" t="s">
        <v>4835</v>
      </c>
      <c r="F770" s="2" t="s">
        <v>187</v>
      </c>
      <c r="G770" s="2" t="s">
        <v>19</v>
      </c>
      <c r="H770" s="2">
        <v>36104</v>
      </c>
      <c r="I770" t="s">
        <v>6190</v>
      </c>
    </row>
    <row r="771" spans="1:9" x14ac:dyDescent="0.25">
      <c r="A771" s="2" t="s">
        <v>4837</v>
      </c>
      <c r="B771" s="2" t="s">
        <v>4838</v>
      </c>
      <c r="C771" s="2" t="s">
        <v>4839</v>
      </c>
      <c r="D771" s="2" t="s">
        <v>4840</v>
      </c>
      <c r="E771" s="2" t="s">
        <v>4841</v>
      </c>
      <c r="F771" s="2" t="s">
        <v>144</v>
      </c>
      <c r="G771" s="2" t="s">
        <v>28</v>
      </c>
      <c r="H771" s="2" t="s">
        <v>215</v>
      </c>
      <c r="I771" t="s">
        <v>6191</v>
      </c>
    </row>
    <row r="772" spans="1:9" x14ac:dyDescent="0.25">
      <c r="A772" s="2" t="s">
        <v>4843</v>
      </c>
      <c r="B772" s="2" t="s">
        <v>4844</v>
      </c>
      <c r="C772" s="2" t="s">
        <v>4845</v>
      </c>
      <c r="D772" s="2"/>
      <c r="E772" s="2" t="s">
        <v>4846</v>
      </c>
      <c r="F772" s="2" t="s">
        <v>83</v>
      </c>
      <c r="G772" s="2" t="s">
        <v>19</v>
      </c>
      <c r="H772" s="2">
        <v>22156</v>
      </c>
      <c r="I772" t="s">
        <v>6191</v>
      </c>
    </row>
    <row r="773" spans="1:9" x14ac:dyDescent="0.25">
      <c r="A773" s="2" t="s">
        <v>4848</v>
      </c>
      <c r="B773" s="2" t="s">
        <v>4849</v>
      </c>
      <c r="C773" s="2" t="s">
        <v>4850</v>
      </c>
      <c r="D773" s="2" t="s">
        <v>4851</v>
      </c>
      <c r="E773" s="2" t="s">
        <v>4852</v>
      </c>
      <c r="F773" s="2" t="s">
        <v>204</v>
      </c>
      <c r="G773" s="2" t="s">
        <v>19</v>
      </c>
      <c r="H773" s="2">
        <v>80126</v>
      </c>
      <c r="I773" t="s">
        <v>6191</v>
      </c>
    </row>
    <row r="774" spans="1:9" x14ac:dyDescent="0.25">
      <c r="A774" s="2" t="s">
        <v>4854</v>
      </c>
      <c r="B774" s="2" t="s">
        <v>4855</v>
      </c>
      <c r="C774" s="2"/>
      <c r="D774" s="2" t="s">
        <v>4856</v>
      </c>
      <c r="E774" s="2" t="s">
        <v>4857</v>
      </c>
      <c r="F774" s="2" t="s">
        <v>20</v>
      </c>
      <c r="G774" s="2" t="s">
        <v>19</v>
      </c>
      <c r="H774" s="2">
        <v>21275</v>
      </c>
      <c r="I774" t="s">
        <v>6191</v>
      </c>
    </row>
    <row r="775" spans="1:9" x14ac:dyDescent="0.25">
      <c r="A775" s="2" t="s">
        <v>4859</v>
      </c>
      <c r="B775" s="2" t="s">
        <v>4860</v>
      </c>
      <c r="C775" s="2" t="s">
        <v>4861</v>
      </c>
      <c r="D775" s="2" t="s">
        <v>4862</v>
      </c>
      <c r="E775" s="2" t="s">
        <v>4863</v>
      </c>
      <c r="F775" s="2" t="s">
        <v>482</v>
      </c>
      <c r="G775" s="2" t="s">
        <v>318</v>
      </c>
      <c r="H775" s="2" t="s">
        <v>359</v>
      </c>
      <c r="I775" t="s">
        <v>6191</v>
      </c>
    </row>
    <row r="776" spans="1:9" x14ac:dyDescent="0.25">
      <c r="A776" s="2" t="s">
        <v>4865</v>
      </c>
      <c r="B776" s="2" t="s">
        <v>4866</v>
      </c>
      <c r="C776" s="2"/>
      <c r="D776" s="2" t="s">
        <v>4867</v>
      </c>
      <c r="E776" s="2" t="s">
        <v>4868</v>
      </c>
      <c r="F776" s="2" t="s">
        <v>271</v>
      </c>
      <c r="G776" s="2" t="s">
        <v>19</v>
      </c>
      <c r="H776" s="2">
        <v>33345</v>
      </c>
      <c r="I776" t="s">
        <v>6190</v>
      </c>
    </row>
    <row r="777" spans="1:9" x14ac:dyDescent="0.25">
      <c r="A777" s="2" t="s">
        <v>4870</v>
      </c>
      <c r="B777" s="2" t="s">
        <v>4871</v>
      </c>
      <c r="C777" s="2" t="s">
        <v>4872</v>
      </c>
      <c r="D777" s="2" t="s">
        <v>4873</v>
      </c>
      <c r="E777" s="2" t="s">
        <v>4874</v>
      </c>
      <c r="F777" s="2" t="s">
        <v>58</v>
      </c>
      <c r="G777" s="2" t="s">
        <v>19</v>
      </c>
      <c r="H777" s="2">
        <v>92191</v>
      </c>
      <c r="I777" t="s">
        <v>6190</v>
      </c>
    </row>
    <row r="778" spans="1:9" x14ac:dyDescent="0.25">
      <c r="A778" s="2" t="s">
        <v>4876</v>
      </c>
      <c r="B778" s="2" t="s">
        <v>4877</v>
      </c>
      <c r="C778" s="2" t="s">
        <v>4878</v>
      </c>
      <c r="D778" s="2" t="s">
        <v>4879</v>
      </c>
      <c r="E778" s="2" t="s">
        <v>4880</v>
      </c>
      <c r="F778" s="2" t="s">
        <v>52</v>
      </c>
      <c r="G778" s="2" t="s">
        <v>19</v>
      </c>
      <c r="H778" s="2">
        <v>75216</v>
      </c>
      <c r="I778" t="s">
        <v>6191</v>
      </c>
    </row>
    <row r="779" spans="1:9" x14ac:dyDescent="0.25">
      <c r="A779" s="2" t="s">
        <v>4882</v>
      </c>
      <c r="B779" s="2" t="s">
        <v>4883</v>
      </c>
      <c r="C779" s="2" t="s">
        <v>4884</v>
      </c>
      <c r="D779" s="2"/>
      <c r="E779" s="2" t="s">
        <v>4885</v>
      </c>
      <c r="F779" s="2" t="s">
        <v>316</v>
      </c>
      <c r="G779" s="2" t="s">
        <v>19</v>
      </c>
      <c r="H779" s="2">
        <v>60435</v>
      </c>
      <c r="I779" t="s">
        <v>6191</v>
      </c>
    </row>
    <row r="780" spans="1:9" x14ac:dyDescent="0.25">
      <c r="A780" s="2" t="s">
        <v>4887</v>
      </c>
      <c r="B780" s="2" t="s">
        <v>4888</v>
      </c>
      <c r="C780" s="2" t="s">
        <v>4889</v>
      </c>
      <c r="D780" s="2" t="s">
        <v>4890</v>
      </c>
      <c r="E780" s="2" t="s">
        <v>4891</v>
      </c>
      <c r="F780" s="2" t="s">
        <v>183</v>
      </c>
      <c r="G780" s="2" t="s">
        <v>19</v>
      </c>
      <c r="H780" s="2">
        <v>49510</v>
      </c>
      <c r="I780" t="s">
        <v>6190</v>
      </c>
    </row>
    <row r="781" spans="1:9" x14ac:dyDescent="0.25">
      <c r="A781" s="2" t="s">
        <v>4893</v>
      </c>
      <c r="B781" s="2" t="s">
        <v>4894</v>
      </c>
      <c r="C781" s="2" t="s">
        <v>4895</v>
      </c>
      <c r="D781" s="2" t="s">
        <v>4896</v>
      </c>
      <c r="E781" s="2" t="s">
        <v>4897</v>
      </c>
      <c r="F781" s="2" t="s">
        <v>209</v>
      </c>
      <c r="G781" s="2" t="s">
        <v>19</v>
      </c>
      <c r="H781" s="2">
        <v>34620</v>
      </c>
      <c r="I781" t="s">
        <v>6190</v>
      </c>
    </row>
    <row r="782" spans="1:9" x14ac:dyDescent="0.25">
      <c r="A782" s="2" t="s">
        <v>4899</v>
      </c>
      <c r="B782" s="2" t="s">
        <v>4900</v>
      </c>
      <c r="C782" s="2"/>
      <c r="D782" s="2" t="s">
        <v>4901</v>
      </c>
      <c r="E782" s="2" t="s">
        <v>4902</v>
      </c>
      <c r="F782" s="2" t="s">
        <v>33</v>
      </c>
      <c r="G782" s="2" t="s">
        <v>19</v>
      </c>
      <c r="H782" s="2">
        <v>55441</v>
      </c>
      <c r="I782" t="s">
        <v>6191</v>
      </c>
    </row>
    <row r="783" spans="1:9" x14ac:dyDescent="0.25">
      <c r="A783" s="2" t="s">
        <v>4904</v>
      </c>
      <c r="B783" s="2" t="s">
        <v>4905</v>
      </c>
      <c r="C783" s="2" t="s">
        <v>4906</v>
      </c>
      <c r="D783" s="2" t="s">
        <v>4907</v>
      </c>
      <c r="E783" s="2" t="s">
        <v>4908</v>
      </c>
      <c r="F783" s="2" t="s">
        <v>259</v>
      </c>
      <c r="G783" s="2" t="s">
        <v>19</v>
      </c>
      <c r="H783" s="2">
        <v>30045</v>
      </c>
      <c r="I783" t="s">
        <v>6191</v>
      </c>
    </row>
    <row r="784" spans="1:9" x14ac:dyDescent="0.25">
      <c r="A784" s="2" t="s">
        <v>4910</v>
      </c>
      <c r="B784" s="2" t="s">
        <v>4911</v>
      </c>
      <c r="C784" s="2" t="s">
        <v>4912</v>
      </c>
      <c r="D784" s="2" t="s">
        <v>4913</v>
      </c>
      <c r="E784" s="2" t="s">
        <v>4914</v>
      </c>
      <c r="F784" s="2" t="s">
        <v>480</v>
      </c>
      <c r="G784" s="2" t="s">
        <v>318</v>
      </c>
      <c r="H784" s="2" t="s">
        <v>341</v>
      </c>
      <c r="I784" t="s">
        <v>6191</v>
      </c>
    </row>
    <row r="785" spans="1:9" x14ac:dyDescent="0.25">
      <c r="A785" s="2" t="s">
        <v>4916</v>
      </c>
      <c r="B785" s="2" t="s">
        <v>4917</v>
      </c>
      <c r="C785" s="2" t="s">
        <v>4918</v>
      </c>
      <c r="D785" s="2" t="s">
        <v>4919</v>
      </c>
      <c r="E785" s="2" t="s">
        <v>4920</v>
      </c>
      <c r="F785" s="2" t="s">
        <v>137</v>
      </c>
      <c r="G785" s="2" t="s">
        <v>19</v>
      </c>
      <c r="H785" s="2">
        <v>33673</v>
      </c>
      <c r="I785" t="s">
        <v>6190</v>
      </c>
    </row>
    <row r="786" spans="1:9" x14ac:dyDescent="0.25">
      <c r="A786" s="2" t="s">
        <v>4922</v>
      </c>
      <c r="B786" s="2" t="s">
        <v>4923</v>
      </c>
      <c r="C786" s="2" t="s">
        <v>4924</v>
      </c>
      <c r="D786" s="2"/>
      <c r="E786" s="2" t="s">
        <v>4925</v>
      </c>
      <c r="F786" s="2" t="s">
        <v>130</v>
      </c>
      <c r="G786" s="2" t="s">
        <v>19</v>
      </c>
      <c r="H786" s="2">
        <v>37240</v>
      </c>
      <c r="I786" t="s">
        <v>6191</v>
      </c>
    </row>
    <row r="787" spans="1:9" x14ac:dyDescent="0.25">
      <c r="A787" s="2" t="s">
        <v>4927</v>
      </c>
      <c r="B787" s="2" t="s">
        <v>4928</v>
      </c>
      <c r="C787" s="2" t="s">
        <v>4929</v>
      </c>
      <c r="D787" s="2" t="s">
        <v>4930</v>
      </c>
      <c r="E787" s="2" t="s">
        <v>4931</v>
      </c>
      <c r="F787" s="2" t="s">
        <v>92</v>
      </c>
      <c r="G787" s="2" t="s">
        <v>19</v>
      </c>
      <c r="H787" s="2">
        <v>33175</v>
      </c>
      <c r="I787" t="s">
        <v>6191</v>
      </c>
    </row>
    <row r="788" spans="1:9" x14ac:dyDescent="0.25">
      <c r="A788" s="2" t="s">
        <v>4933</v>
      </c>
      <c r="B788" s="2" t="s">
        <v>4934</v>
      </c>
      <c r="C788" s="2" t="s">
        <v>4935</v>
      </c>
      <c r="D788" s="2" t="s">
        <v>4936</v>
      </c>
      <c r="E788" s="2" t="s">
        <v>4937</v>
      </c>
      <c r="F788" s="2" t="s">
        <v>203</v>
      </c>
      <c r="G788" s="2" t="s">
        <v>19</v>
      </c>
      <c r="H788" s="2">
        <v>45426</v>
      </c>
      <c r="I788" t="s">
        <v>6190</v>
      </c>
    </row>
    <row r="789" spans="1:9" x14ac:dyDescent="0.25">
      <c r="A789" s="2" t="s">
        <v>4939</v>
      </c>
      <c r="B789" s="2" t="s">
        <v>4940</v>
      </c>
      <c r="C789" s="2"/>
      <c r="D789" s="2" t="s">
        <v>4941</v>
      </c>
      <c r="E789" s="2" t="s">
        <v>4942</v>
      </c>
      <c r="F789" s="2" t="s">
        <v>56</v>
      </c>
      <c r="G789" s="2" t="s">
        <v>19</v>
      </c>
      <c r="H789" s="2">
        <v>60686</v>
      </c>
      <c r="I789" t="s">
        <v>6190</v>
      </c>
    </row>
    <row r="790" spans="1:9" x14ac:dyDescent="0.25">
      <c r="A790" s="2" t="s">
        <v>4944</v>
      </c>
      <c r="B790" s="2" t="s">
        <v>4945</v>
      </c>
      <c r="C790" s="2" t="s">
        <v>4946</v>
      </c>
      <c r="D790" s="2" t="s">
        <v>4947</v>
      </c>
      <c r="E790" s="2" t="s">
        <v>4948</v>
      </c>
      <c r="F790" s="2" t="s">
        <v>405</v>
      </c>
      <c r="G790" s="2" t="s">
        <v>318</v>
      </c>
      <c r="H790" s="2" t="s">
        <v>406</v>
      </c>
      <c r="I790" t="s">
        <v>6190</v>
      </c>
    </row>
    <row r="791" spans="1:9" x14ac:dyDescent="0.25">
      <c r="A791" s="2" t="s">
        <v>4950</v>
      </c>
      <c r="B791" s="2" t="s">
        <v>4951</v>
      </c>
      <c r="C791" s="2" t="s">
        <v>4952</v>
      </c>
      <c r="D791" s="2" t="s">
        <v>4953</v>
      </c>
      <c r="E791" s="2" t="s">
        <v>4954</v>
      </c>
      <c r="F791" s="2" t="s">
        <v>38</v>
      </c>
      <c r="G791" s="2" t="s">
        <v>19</v>
      </c>
      <c r="H791" s="2">
        <v>94807</v>
      </c>
      <c r="I791" t="s">
        <v>6191</v>
      </c>
    </row>
    <row r="792" spans="1:9" x14ac:dyDescent="0.25">
      <c r="A792" s="2" t="s">
        <v>4956</v>
      </c>
      <c r="B792" s="2" t="s">
        <v>4957</v>
      </c>
      <c r="C792" s="2" t="s">
        <v>4958</v>
      </c>
      <c r="D792" s="2" t="s">
        <v>4959</v>
      </c>
      <c r="E792" s="2" t="s">
        <v>4960</v>
      </c>
      <c r="F792" s="2" t="s">
        <v>76</v>
      </c>
      <c r="G792" s="2" t="s">
        <v>19</v>
      </c>
      <c r="H792" s="2">
        <v>98506</v>
      </c>
      <c r="I792" t="s">
        <v>6191</v>
      </c>
    </row>
    <row r="793" spans="1:9" x14ac:dyDescent="0.25">
      <c r="A793" s="2" t="s">
        <v>4962</v>
      </c>
      <c r="B793" s="2" t="s">
        <v>4963</v>
      </c>
      <c r="C793" s="2" t="s">
        <v>4964</v>
      </c>
      <c r="D793" s="2" t="s">
        <v>4965</v>
      </c>
      <c r="E793" s="2" t="s">
        <v>4966</v>
      </c>
      <c r="F793" s="2" t="s">
        <v>59</v>
      </c>
      <c r="G793" s="2" t="s">
        <v>19</v>
      </c>
      <c r="H793" s="2">
        <v>76011</v>
      </c>
      <c r="I793" t="s">
        <v>6190</v>
      </c>
    </row>
    <row r="794" spans="1:9" x14ac:dyDescent="0.25">
      <c r="A794" s="2" t="s">
        <v>4968</v>
      </c>
      <c r="B794" s="2" t="s">
        <v>4969</v>
      </c>
      <c r="C794" s="2" t="s">
        <v>4970</v>
      </c>
      <c r="D794" s="2" t="s">
        <v>4971</v>
      </c>
      <c r="E794" s="2" t="s">
        <v>4972</v>
      </c>
      <c r="F794" s="2" t="s">
        <v>357</v>
      </c>
      <c r="G794" s="2" t="s">
        <v>28</v>
      </c>
      <c r="H794" s="2" t="s">
        <v>358</v>
      </c>
      <c r="I794" t="s">
        <v>6190</v>
      </c>
    </row>
    <row r="795" spans="1:9" x14ac:dyDescent="0.25">
      <c r="A795" s="2" t="s">
        <v>4974</v>
      </c>
      <c r="B795" s="2" t="s">
        <v>4975</v>
      </c>
      <c r="C795" s="2" t="s">
        <v>4976</v>
      </c>
      <c r="D795" s="2" t="s">
        <v>4977</v>
      </c>
      <c r="E795" s="2" t="s">
        <v>4978</v>
      </c>
      <c r="F795" s="2" t="s">
        <v>24</v>
      </c>
      <c r="G795" s="2" t="s">
        <v>19</v>
      </c>
      <c r="H795" s="2">
        <v>24009</v>
      </c>
      <c r="I795" t="s">
        <v>6191</v>
      </c>
    </row>
    <row r="796" spans="1:9" x14ac:dyDescent="0.25">
      <c r="A796" s="2" t="s">
        <v>4980</v>
      </c>
      <c r="B796" s="2" t="s">
        <v>4981</v>
      </c>
      <c r="C796" s="2" t="s">
        <v>4982</v>
      </c>
      <c r="D796" s="2" t="s">
        <v>4983</v>
      </c>
      <c r="E796" s="2" t="s">
        <v>4984</v>
      </c>
      <c r="F796" s="2" t="s">
        <v>278</v>
      </c>
      <c r="G796" s="2" t="s">
        <v>19</v>
      </c>
      <c r="H796" s="2">
        <v>11044</v>
      </c>
      <c r="I796" t="s">
        <v>6191</v>
      </c>
    </row>
    <row r="797" spans="1:9" x14ac:dyDescent="0.25">
      <c r="A797" s="2" t="s">
        <v>4986</v>
      </c>
      <c r="B797" s="2" t="s">
        <v>4987</v>
      </c>
      <c r="C797" s="2" t="s">
        <v>4988</v>
      </c>
      <c r="D797" s="2" t="s">
        <v>4989</v>
      </c>
      <c r="E797" s="2" t="s">
        <v>4990</v>
      </c>
      <c r="F797" s="2" t="s">
        <v>282</v>
      </c>
      <c r="G797" s="2" t="s">
        <v>19</v>
      </c>
      <c r="H797" s="2">
        <v>92825</v>
      </c>
      <c r="I797" t="s">
        <v>6191</v>
      </c>
    </row>
    <row r="798" spans="1:9" x14ac:dyDescent="0.25">
      <c r="A798" s="2" t="s">
        <v>4992</v>
      </c>
      <c r="B798" s="2" t="s">
        <v>4993</v>
      </c>
      <c r="C798" s="2"/>
      <c r="D798" s="2" t="s">
        <v>4994</v>
      </c>
      <c r="E798" s="2" t="s">
        <v>4995</v>
      </c>
      <c r="F798" s="2" t="s">
        <v>43</v>
      </c>
      <c r="G798" s="2" t="s">
        <v>19</v>
      </c>
      <c r="H798" s="2">
        <v>40596</v>
      </c>
      <c r="I798" t="s">
        <v>6191</v>
      </c>
    </row>
    <row r="799" spans="1:9" x14ac:dyDescent="0.25">
      <c r="A799" s="2" t="s">
        <v>4997</v>
      </c>
      <c r="B799" s="2" t="s">
        <v>4998</v>
      </c>
      <c r="C799" s="2" t="s">
        <v>4999</v>
      </c>
      <c r="D799" s="2" t="s">
        <v>5000</v>
      </c>
      <c r="E799" s="2" t="s">
        <v>5001</v>
      </c>
      <c r="F799" s="2" t="s">
        <v>137</v>
      </c>
      <c r="G799" s="2" t="s">
        <v>19</v>
      </c>
      <c r="H799" s="2">
        <v>33673</v>
      </c>
      <c r="I799" t="s">
        <v>6191</v>
      </c>
    </row>
    <row r="800" spans="1:9" x14ac:dyDescent="0.25">
      <c r="A800" s="2" t="s">
        <v>5003</v>
      </c>
      <c r="B800" s="2" t="s">
        <v>5004</v>
      </c>
      <c r="C800" s="2" t="s">
        <v>5005</v>
      </c>
      <c r="D800" s="2" t="s">
        <v>5006</v>
      </c>
      <c r="E800" s="2" t="s">
        <v>5007</v>
      </c>
      <c r="F800" s="2" t="s">
        <v>98</v>
      </c>
      <c r="G800" s="2" t="s">
        <v>19</v>
      </c>
      <c r="H800" s="2">
        <v>95138</v>
      </c>
      <c r="I800" t="s">
        <v>6190</v>
      </c>
    </row>
    <row r="801" spans="1:9" x14ac:dyDescent="0.25">
      <c r="A801" s="2" t="s">
        <v>5009</v>
      </c>
      <c r="B801" s="2" t="s">
        <v>5010</v>
      </c>
      <c r="C801" s="2"/>
      <c r="D801" s="2"/>
      <c r="E801" s="2" t="s">
        <v>5011</v>
      </c>
      <c r="F801" s="2" t="s">
        <v>47</v>
      </c>
      <c r="G801" s="2" t="s">
        <v>19</v>
      </c>
      <c r="H801" s="2">
        <v>20470</v>
      </c>
      <c r="I801" t="s">
        <v>6190</v>
      </c>
    </row>
    <row r="802" spans="1:9" x14ac:dyDescent="0.25">
      <c r="A802" s="2" t="s">
        <v>5013</v>
      </c>
      <c r="B802" s="2" t="s">
        <v>5014</v>
      </c>
      <c r="C802" s="2" t="s">
        <v>5015</v>
      </c>
      <c r="D802" s="2" t="s">
        <v>5016</v>
      </c>
      <c r="E802" s="2" t="s">
        <v>5017</v>
      </c>
      <c r="F802" s="2" t="s">
        <v>3664</v>
      </c>
      <c r="G802" s="2" t="s">
        <v>318</v>
      </c>
      <c r="H802" s="2" t="s">
        <v>398</v>
      </c>
      <c r="I802" t="s">
        <v>6191</v>
      </c>
    </row>
    <row r="803" spans="1:9" x14ac:dyDescent="0.25">
      <c r="A803" s="2" t="s">
        <v>5019</v>
      </c>
      <c r="B803" s="2" t="s">
        <v>5020</v>
      </c>
      <c r="C803" s="2" t="s">
        <v>5021</v>
      </c>
      <c r="D803" s="2" t="s">
        <v>5022</v>
      </c>
      <c r="E803" s="2" t="s">
        <v>5023</v>
      </c>
      <c r="F803" s="2" t="s">
        <v>76</v>
      </c>
      <c r="G803" s="2" t="s">
        <v>19</v>
      </c>
      <c r="H803" s="2">
        <v>98506</v>
      </c>
      <c r="I803" t="s">
        <v>6190</v>
      </c>
    </row>
    <row r="804" spans="1:9" x14ac:dyDescent="0.25">
      <c r="A804" s="2" t="s">
        <v>5025</v>
      </c>
      <c r="B804" s="2" t="s">
        <v>5026</v>
      </c>
      <c r="C804" s="2" t="s">
        <v>5027</v>
      </c>
      <c r="D804" s="2" t="s">
        <v>5028</v>
      </c>
      <c r="E804" s="2" t="s">
        <v>5029</v>
      </c>
      <c r="F804" s="2" t="s">
        <v>458</v>
      </c>
      <c r="G804" s="2" t="s">
        <v>19</v>
      </c>
      <c r="H804" s="2">
        <v>75185</v>
      </c>
      <c r="I804" t="s">
        <v>6191</v>
      </c>
    </row>
    <row r="805" spans="1:9" x14ac:dyDescent="0.25">
      <c r="A805" s="2" t="s">
        <v>5031</v>
      </c>
      <c r="B805" s="2" t="s">
        <v>5032</v>
      </c>
      <c r="C805" s="2" t="s">
        <v>5033</v>
      </c>
      <c r="D805" s="2"/>
      <c r="E805" s="2" t="s">
        <v>5034</v>
      </c>
      <c r="F805" s="2" t="s">
        <v>131</v>
      </c>
      <c r="G805" s="2" t="s">
        <v>19</v>
      </c>
      <c r="H805" s="2">
        <v>94207</v>
      </c>
      <c r="I805" t="s">
        <v>6191</v>
      </c>
    </row>
    <row r="806" spans="1:9" x14ac:dyDescent="0.25">
      <c r="A806" s="2" t="s">
        <v>5036</v>
      </c>
      <c r="B806" s="2" t="s">
        <v>5037</v>
      </c>
      <c r="C806" s="2"/>
      <c r="D806" s="2" t="s">
        <v>5038</v>
      </c>
      <c r="E806" s="2" t="s">
        <v>5039</v>
      </c>
      <c r="F806" s="2" t="s">
        <v>280</v>
      </c>
      <c r="G806" s="2" t="s">
        <v>28</v>
      </c>
      <c r="H806" s="2" t="s">
        <v>310</v>
      </c>
      <c r="I806" t="s">
        <v>6191</v>
      </c>
    </row>
    <row r="807" spans="1:9" x14ac:dyDescent="0.25">
      <c r="A807" s="2" t="s">
        <v>5041</v>
      </c>
      <c r="B807" s="2" t="s">
        <v>5042</v>
      </c>
      <c r="C807" s="2"/>
      <c r="D807" s="2" t="s">
        <v>5043</v>
      </c>
      <c r="E807" s="2" t="s">
        <v>5044</v>
      </c>
      <c r="F807" s="2" t="s">
        <v>5045</v>
      </c>
      <c r="G807" s="2" t="s">
        <v>19</v>
      </c>
      <c r="H807" s="2">
        <v>55590</v>
      </c>
      <c r="I807" t="s">
        <v>6191</v>
      </c>
    </row>
    <row r="808" spans="1:9" x14ac:dyDescent="0.25">
      <c r="A808" s="2" t="s">
        <v>5047</v>
      </c>
      <c r="B808" s="2" t="s">
        <v>5048</v>
      </c>
      <c r="C808" s="2"/>
      <c r="D808" s="2"/>
      <c r="E808" s="2" t="s">
        <v>5049</v>
      </c>
      <c r="F808" s="2" t="s">
        <v>248</v>
      </c>
      <c r="G808" s="2" t="s">
        <v>28</v>
      </c>
      <c r="H808" s="2" t="s">
        <v>249</v>
      </c>
      <c r="I808" t="s">
        <v>6190</v>
      </c>
    </row>
    <row r="809" spans="1:9" x14ac:dyDescent="0.25">
      <c r="A809" s="2" t="s">
        <v>5051</v>
      </c>
      <c r="B809" s="2" t="s">
        <v>5052</v>
      </c>
      <c r="C809" s="2" t="s">
        <v>5053</v>
      </c>
      <c r="D809" s="2" t="s">
        <v>5054</v>
      </c>
      <c r="E809" s="2" t="s">
        <v>5055</v>
      </c>
      <c r="F809" s="2" t="s">
        <v>373</v>
      </c>
      <c r="G809" s="2" t="s">
        <v>318</v>
      </c>
      <c r="H809" s="2" t="s">
        <v>374</v>
      </c>
      <c r="I809" t="s">
        <v>6191</v>
      </c>
    </row>
    <row r="810" spans="1:9" x14ac:dyDescent="0.25">
      <c r="A810" s="2" t="s">
        <v>5057</v>
      </c>
      <c r="B810" s="2" t="s">
        <v>5058</v>
      </c>
      <c r="C810" s="2" t="s">
        <v>5059</v>
      </c>
      <c r="D810" s="2" t="s">
        <v>5060</v>
      </c>
      <c r="E810" s="2" t="s">
        <v>5061</v>
      </c>
      <c r="F810" s="2" t="s">
        <v>132</v>
      </c>
      <c r="G810" s="2" t="s">
        <v>19</v>
      </c>
      <c r="H810" s="2">
        <v>11499</v>
      </c>
      <c r="I810" t="s">
        <v>6190</v>
      </c>
    </row>
    <row r="811" spans="1:9" x14ac:dyDescent="0.25">
      <c r="A811" s="2" t="s">
        <v>5063</v>
      </c>
      <c r="B811" s="2" t="s">
        <v>5064</v>
      </c>
      <c r="C811" s="2"/>
      <c r="D811" s="2" t="s">
        <v>5065</v>
      </c>
      <c r="E811" s="2" t="s">
        <v>5066</v>
      </c>
      <c r="F811" s="2" t="s">
        <v>50</v>
      </c>
      <c r="G811" s="2" t="s">
        <v>19</v>
      </c>
      <c r="H811" s="2">
        <v>79934</v>
      </c>
      <c r="I811" t="s">
        <v>6190</v>
      </c>
    </row>
    <row r="812" spans="1:9" x14ac:dyDescent="0.25">
      <c r="A812" s="2" t="s">
        <v>5068</v>
      </c>
      <c r="B812" s="2" t="s">
        <v>5069</v>
      </c>
      <c r="C812" s="2" t="s">
        <v>5070</v>
      </c>
      <c r="D812" s="2" t="s">
        <v>5071</v>
      </c>
      <c r="E812" s="2" t="s">
        <v>5072</v>
      </c>
      <c r="F812" s="2" t="s">
        <v>309</v>
      </c>
      <c r="G812" s="2" t="s">
        <v>19</v>
      </c>
      <c r="H812" s="2">
        <v>34643</v>
      </c>
      <c r="I812" t="s">
        <v>6191</v>
      </c>
    </row>
    <row r="813" spans="1:9" x14ac:dyDescent="0.25">
      <c r="A813" s="2" t="s">
        <v>5074</v>
      </c>
      <c r="B813" s="2" t="s">
        <v>5075</v>
      </c>
      <c r="C813" s="2" t="s">
        <v>5076</v>
      </c>
      <c r="D813" s="2" t="s">
        <v>5077</v>
      </c>
      <c r="E813" s="2" t="s">
        <v>5078</v>
      </c>
      <c r="F813" s="2" t="s">
        <v>421</v>
      </c>
      <c r="G813" s="2" t="s">
        <v>318</v>
      </c>
      <c r="H813" s="2" t="s">
        <v>348</v>
      </c>
      <c r="I813" t="s">
        <v>6190</v>
      </c>
    </row>
    <row r="814" spans="1:9" x14ac:dyDescent="0.25">
      <c r="A814" s="2" t="s">
        <v>5079</v>
      </c>
      <c r="B814" s="2" t="s">
        <v>5080</v>
      </c>
      <c r="C814" s="2" t="s">
        <v>5081</v>
      </c>
      <c r="D814" s="2" t="s">
        <v>5082</v>
      </c>
      <c r="E814" s="2" t="s">
        <v>5083</v>
      </c>
      <c r="F814" s="2" t="s">
        <v>224</v>
      </c>
      <c r="G814" s="2" t="s">
        <v>28</v>
      </c>
      <c r="H814" s="2" t="s">
        <v>225</v>
      </c>
      <c r="I814" t="s">
        <v>6190</v>
      </c>
    </row>
    <row r="815" spans="1:9" x14ac:dyDescent="0.25">
      <c r="A815" s="2" t="s">
        <v>5085</v>
      </c>
      <c r="B815" s="2" t="s">
        <v>5086</v>
      </c>
      <c r="C815" s="2" t="s">
        <v>5087</v>
      </c>
      <c r="D815" s="2" t="s">
        <v>5088</v>
      </c>
      <c r="E815" s="2" t="s">
        <v>5089</v>
      </c>
      <c r="F815" s="2" t="s">
        <v>77</v>
      </c>
      <c r="G815" s="2" t="s">
        <v>19</v>
      </c>
      <c r="H815" s="2">
        <v>73179</v>
      </c>
      <c r="I815" t="s">
        <v>6190</v>
      </c>
    </row>
    <row r="816" spans="1:9" x14ac:dyDescent="0.25">
      <c r="A816" s="2" t="s">
        <v>5091</v>
      </c>
      <c r="B816" s="2" t="s">
        <v>5092</v>
      </c>
      <c r="C816" s="2" t="s">
        <v>5093</v>
      </c>
      <c r="D816" s="2" t="s">
        <v>5094</v>
      </c>
      <c r="E816" s="2" t="s">
        <v>5095</v>
      </c>
      <c r="F816" s="2" t="s">
        <v>47</v>
      </c>
      <c r="G816" s="2" t="s">
        <v>19</v>
      </c>
      <c r="H816" s="2">
        <v>20051</v>
      </c>
      <c r="I816" t="s">
        <v>6191</v>
      </c>
    </row>
    <row r="817" spans="1:9" x14ac:dyDescent="0.25">
      <c r="A817" s="2" t="s">
        <v>5097</v>
      </c>
      <c r="B817" s="2" t="s">
        <v>5098</v>
      </c>
      <c r="C817" s="2" t="s">
        <v>5099</v>
      </c>
      <c r="D817" s="2" t="s">
        <v>5100</v>
      </c>
      <c r="E817" s="2" t="s">
        <v>5101</v>
      </c>
      <c r="F817" s="2" t="s">
        <v>84</v>
      </c>
      <c r="G817" s="2" t="s">
        <v>19</v>
      </c>
      <c r="H817" s="2">
        <v>30351</v>
      </c>
      <c r="I817" t="s">
        <v>6191</v>
      </c>
    </row>
    <row r="818" spans="1:9" x14ac:dyDescent="0.25">
      <c r="A818" s="2" t="s">
        <v>5103</v>
      </c>
      <c r="B818" s="2" t="s">
        <v>5104</v>
      </c>
      <c r="C818" s="2" t="s">
        <v>5105</v>
      </c>
      <c r="D818" s="2" t="s">
        <v>5106</v>
      </c>
      <c r="E818" s="2" t="s">
        <v>298</v>
      </c>
      <c r="F818" s="2" t="s">
        <v>1419</v>
      </c>
      <c r="G818" s="2" t="s">
        <v>318</v>
      </c>
      <c r="H818" s="2" t="s">
        <v>370</v>
      </c>
      <c r="I818" t="s">
        <v>6191</v>
      </c>
    </row>
    <row r="819" spans="1:9" x14ac:dyDescent="0.25">
      <c r="A819" s="2" t="s">
        <v>5108</v>
      </c>
      <c r="B819" s="2" t="s">
        <v>5109</v>
      </c>
      <c r="C819" s="2" t="s">
        <v>5110</v>
      </c>
      <c r="D819" s="2"/>
      <c r="E819" s="2" t="s">
        <v>5111</v>
      </c>
      <c r="F819" s="2" t="s">
        <v>120</v>
      </c>
      <c r="G819" s="2" t="s">
        <v>19</v>
      </c>
      <c r="H819" s="2">
        <v>14276</v>
      </c>
      <c r="I819" t="s">
        <v>6191</v>
      </c>
    </row>
    <row r="820" spans="1:9" x14ac:dyDescent="0.25">
      <c r="A820" s="2" t="s">
        <v>5113</v>
      </c>
      <c r="B820" s="2" t="s">
        <v>5114</v>
      </c>
      <c r="C820" s="2"/>
      <c r="D820" s="2" t="s">
        <v>5115</v>
      </c>
      <c r="E820" s="2" t="s">
        <v>5116</v>
      </c>
      <c r="F820" s="2" t="s">
        <v>63</v>
      </c>
      <c r="G820" s="2" t="s">
        <v>19</v>
      </c>
      <c r="H820" s="2">
        <v>77260</v>
      </c>
      <c r="I820" t="s">
        <v>6191</v>
      </c>
    </row>
    <row r="821" spans="1:9" x14ac:dyDescent="0.25">
      <c r="A821" s="2" t="s">
        <v>5118</v>
      </c>
      <c r="B821" s="2" t="s">
        <v>5119</v>
      </c>
      <c r="C821" s="2" t="s">
        <v>5120</v>
      </c>
      <c r="D821" s="2" t="s">
        <v>5121</v>
      </c>
      <c r="E821" s="2" t="s">
        <v>5122</v>
      </c>
      <c r="F821" s="2" t="s">
        <v>47</v>
      </c>
      <c r="G821" s="2" t="s">
        <v>19</v>
      </c>
      <c r="H821" s="2">
        <v>20470</v>
      </c>
      <c r="I821" t="s">
        <v>6190</v>
      </c>
    </row>
    <row r="822" spans="1:9" x14ac:dyDescent="0.25">
      <c r="A822" s="2" t="s">
        <v>5124</v>
      </c>
      <c r="B822" s="2" t="s">
        <v>5125</v>
      </c>
      <c r="C822" s="2" t="s">
        <v>5126</v>
      </c>
      <c r="D822" s="2" t="s">
        <v>5127</v>
      </c>
      <c r="E822" s="2" t="s">
        <v>5128</v>
      </c>
      <c r="F822" s="2" t="s">
        <v>123</v>
      </c>
      <c r="G822" s="2" t="s">
        <v>19</v>
      </c>
      <c r="H822" s="2">
        <v>78764</v>
      </c>
      <c r="I822" t="s">
        <v>6190</v>
      </c>
    </row>
    <row r="823" spans="1:9" x14ac:dyDescent="0.25">
      <c r="A823" s="2" t="s">
        <v>5130</v>
      </c>
      <c r="B823" s="2" t="s">
        <v>5131</v>
      </c>
      <c r="C823" s="2" t="s">
        <v>5132</v>
      </c>
      <c r="D823" s="2" t="s">
        <v>5133</v>
      </c>
      <c r="E823" s="2" t="s">
        <v>5134</v>
      </c>
      <c r="F823" s="2" t="s">
        <v>188</v>
      </c>
      <c r="G823" s="2" t="s">
        <v>19</v>
      </c>
      <c r="H823" s="2">
        <v>85205</v>
      </c>
      <c r="I823" t="s">
        <v>6191</v>
      </c>
    </row>
    <row r="824" spans="1:9" x14ac:dyDescent="0.25">
      <c r="A824" s="2" t="s">
        <v>5136</v>
      </c>
      <c r="B824" s="2" t="s">
        <v>5137</v>
      </c>
      <c r="C824" s="2" t="s">
        <v>5138</v>
      </c>
      <c r="D824" s="2" t="s">
        <v>5139</v>
      </c>
      <c r="E824" s="2" t="s">
        <v>5140</v>
      </c>
      <c r="F824" s="2" t="s">
        <v>129</v>
      </c>
      <c r="G824" s="2" t="s">
        <v>19</v>
      </c>
      <c r="H824" s="2">
        <v>31416</v>
      </c>
      <c r="I824" t="s">
        <v>6191</v>
      </c>
    </row>
    <row r="825" spans="1:9" x14ac:dyDescent="0.25">
      <c r="A825" s="2" t="s">
        <v>5142</v>
      </c>
      <c r="B825" s="2" t="s">
        <v>5143</v>
      </c>
      <c r="C825" s="2" t="s">
        <v>5144</v>
      </c>
      <c r="D825" s="2" t="s">
        <v>5145</v>
      </c>
      <c r="E825" s="2" t="s">
        <v>5146</v>
      </c>
      <c r="F825" s="2" t="s">
        <v>74</v>
      </c>
      <c r="G825" s="2" t="s">
        <v>19</v>
      </c>
      <c r="H825" s="2">
        <v>87140</v>
      </c>
      <c r="I825" t="s">
        <v>6190</v>
      </c>
    </row>
    <row r="826" spans="1:9" x14ac:dyDescent="0.25">
      <c r="A826" s="2" t="s">
        <v>5148</v>
      </c>
      <c r="B826" s="2" t="s">
        <v>5149</v>
      </c>
      <c r="C826" s="2" t="s">
        <v>5150</v>
      </c>
      <c r="D826" s="2"/>
      <c r="E826" s="2" t="s">
        <v>5151</v>
      </c>
      <c r="F826" s="2" t="s">
        <v>35</v>
      </c>
      <c r="G826" s="2" t="s">
        <v>19</v>
      </c>
      <c r="H826" s="2">
        <v>28299</v>
      </c>
      <c r="I826" t="s">
        <v>6190</v>
      </c>
    </row>
    <row r="827" spans="1:9" x14ac:dyDescent="0.25">
      <c r="A827" s="2" t="s">
        <v>5153</v>
      </c>
      <c r="B827" s="2" t="s">
        <v>5154</v>
      </c>
      <c r="C827" s="2" t="s">
        <v>5155</v>
      </c>
      <c r="D827" s="2" t="s">
        <v>5156</v>
      </c>
      <c r="E827" s="2" t="s">
        <v>5157</v>
      </c>
      <c r="F827" s="2" t="s">
        <v>58</v>
      </c>
      <c r="G827" s="2" t="s">
        <v>19</v>
      </c>
      <c r="H827" s="2">
        <v>92191</v>
      </c>
      <c r="I827" t="s">
        <v>6190</v>
      </c>
    </row>
    <row r="828" spans="1:9" x14ac:dyDescent="0.25">
      <c r="A828" s="2" t="s">
        <v>5159</v>
      </c>
      <c r="B828" s="2" t="s">
        <v>5160</v>
      </c>
      <c r="C828" s="2" t="s">
        <v>5161</v>
      </c>
      <c r="D828" s="2" t="s">
        <v>5162</v>
      </c>
      <c r="E828" s="2" t="s">
        <v>5163</v>
      </c>
      <c r="F828" s="2" t="s">
        <v>250</v>
      </c>
      <c r="G828" s="2" t="s">
        <v>19</v>
      </c>
      <c r="H828" s="2">
        <v>32575</v>
      </c>
      <c r="I828" t="s">
        <v>6190</v>
      </c>
    </row>
    <row r="829" spans="1:9" x14ac:dyDescent="0.25">
      <c r="A829" s="2" t="s">
        <v>5165</v>
      </c>
      <c r="B829" s="2" t="s">
        <v>5166</v>
      </c>
      <c r="C829" s="2" t="s">
        <v>5167</v>
      </c>
      <c r="D829" s="2" t="s">
        <v>5168</v>
      </c>
      <c r="E829" s="2" t="s">
        <v>5169</v>
      </c>
      <c r="F829" s="2" t="s">
        <v>47</v>
      </c>
      <c r="G829" s="2" t="s">
        <v>19</v>
      </c>
      <c r="H829" s="2">
        <v>20470</v>
      </c>
      <c r="I829" t="s">
        <v>6191</v>
      </c>
    </row>
    <row r="830" spans="1:9" x14ac:dyDescent="0.25">
      <c r="A830" s="2" t="s">
        <v>5171</v>
      </c>
      <c r="B830" s="2" t="s">
        <v>5172</v>
      </c>
      <c r="C830" s="2" t="s">
        <v>5173</v>
      </c>
      <c r="D830" s="2" t="s">
        <v>5174</v>
      </c>
      <c r="E830" s="2" t="s">
        <v>5175</v>
      </c>
      <c r="F830" s="2" t="s">
        <v>263</v>
      </c>
      <c r="G830" s="2" t="s">
        <v>19</v>
      </c>
      <c r="H830" s="2">
        <v>34985</v>
      </c>
      <c r="I830" t="s">
        <v>6190</v>
      </c>
    </row>
    <row r="831" spans="1:9" x14ac:dyDescent="0.25">
      <c r="A831" s="2" t="s">
        <v>5177</v>
      </c>
      <c r="B831" s="2" t="s">
        <v>5178</v>
      </c>
      <c r="C831" s="2" t="s">
        <v>5179</v>
      </c>
      <c r="D831" s="2" t="s">
        <v>5180</v>
      </c>
      <c r="E831" s="2" t="s">
        <v>5181</v>
      </c>
      <c r="F831" s="2" t="s">
        <v>26</v>
      </c>
      <c r="G831" s="2" t="s">
        <v>19</v>
      </c>
      <c r="H831" s="2">
        <v>25705</v>
      </c>
      <c r="I831" t="s">
        <v>6191</v>
      </c>
    </row>
    <row r="832" spans="1:9" x14ac:dyDescent="0.25">
      <c r="A832" s="2" t="s">
        <v>5183</v>
      </c>
      <c r="B832" s="2" t="s">
        <v>5184</v>
      </c>
      <c r="C832" s="2" t="s">
        <v>5185</v>
      </c>
      <c r="D832" s="2" t="s">
        <v>5186</v>
      </c>
      <c r="E832" s="2" t="s">
        <v>5187</v>
      </c>
      <c r="F832" s="2" t="s">
        <v>46</v>
      </c>
      <c r="G832" s="2" t="s">
        <v>19</v>
      </c>
      <c r="H832" s="2">
        <v>19172</v>
      </c>
      <c r="I832" t="s">
        <v>6191</v>
      </c>
    </row>
    <row r="833" spans="1:9" x14ac:dyDescent="0.25">
      <c r="A833" s="2" t="s">
        <v>5188</v>
      </c>
      <c r="B833" s="2" t="s">
        <v>5189</v>
      </c>
      <c r="C833" s="2" t="s">
        <v>5190</v>
      </c>
      <c r="D833" s="2" t="s">
        <v>5191</v>
      </c>
      <c r="E833" s="2" t="s">
        <v>5192</v>
      </c>
      <c r="F833" s="2" t="s">
        <v>77</v>
      </c>
      <c r="G833" s="2" t="s">
        <v>19</v>
      </c>
      <c r="H833" s="2">
        <v>73167</v>
      </c>
      <c r="I833" t="s">
        <v>6190</v>
      </c>
    </row>
    <row r="834" spans="1:9" x14ac:dyDescent="0.25">
      <c r="A834" s="2" t="s">
        <v>5194</v>
      </c>
      <c r="B834" s="2" t="s">
        <v>5195</v>
      </c>
      <c r="C834" s="2" t="s">
        <v>5196</v>
      </c>
      <c r="D834" s="2" t="s">
        <v>5197</v>
      </c>
      <c r="E834" s="2" t="s">
        <v>5198</v>
      </c>
      <c r="F834" s="2" t="s">
        <v>267</v>
      </c>
      <c r="G834" s="2" t="s">
        <v>19</v>
      </c>
      <c r="H834" s="2">
        <v>34114</v>
      </c>
      <c r="I834" t="s">
        <v>6191</v>
      </c>
    </row>
    <row r="835" spans="1:9" x14ac:dyDescent="0.25">
      <c r="A835" s="2" t="s">
        <v>5200</v>
      </c>
      <c r="B835" s="2" t="s">
        <v>5201</v>
      </c>
      <c r="C835" s="2" t="s">
        <v>5202</v>
      </c>
      <c r="D835" s="2" t="s">
        <v>5203</v>
      </c>
      <c r="E835" s="2" t="s">
        <v>5204</v>
      </c>
      <c r="F835" s="2" t="s">
        <v>106</v>
      </c>
      <c r="G835" s="2" t="s">
        <v>19</v>
      </c>
      <c r="H835" s="2">
        <v>76105</v>
      </c>
      <c r="I835" t="s">
        <v>6190</v>
      </c>
    </row>
    <row r="836" spans="1:9" x14ac:dyDescent="0.25">
      <c r="A836" s="2" t="s">
        <v>5206</v>
      </c>
      <c r="B836" s="2" t="s">
        <v>5207</v>
      </c>
      <c r="C836" s="2" t="s">
        <v>5208</v>
      </c>
      <c r="D836" s="2" t="s">
        <v>5209</v>
      </c>
      <c r="E836" s="2" t="s">
        <v>5210</v>
      </c>
      <c r="F836" s="2" t="s">
        <v>127</v>
      </c>
      <c r="G836" s="2" t="s">
        <v>19</v>
      </c>
      <c r="H836" s="2">
        <v>68117</v>
      </c>
      <c r="I836" t="s">
        <v>6191</v>
      </c>
    </row>
    <row r="837" spans="1:9" x14ac:dyDescent="0.25">
      <c r="A837" s="2" t="s">
        <v>5212</v>
      </c>
      <c r="B837" s="2" t="s">
        <v>5213</v>
      </c>
      <c r="C837" s="2" t="s">
        <v>5214</v>
      </c>
      <c r="D837" s="2"/>
      <c r="E837" s="2" t="s">
        <v>5215</v>
      </c>
      <c r="F837" s="2" t="s">
        <v>126</v>
      </c>
      <c r="G837" s="2" t="s">
        <v>19</v>
      </c>
      <c r="H837" s="2">
        <v>85732</v>
      </c>
      <c r="I837" t="s">
        <v>6190</v>
      </c>
    </row>
    <row r="838" spans="1:9" x14ac:dyDescent="0.25">
      <c r="A838" s="2" t="s">
        <v>5217</v>
      </c>
      <c r="B838" s="2" t="s">
        <v>5218</v>
      </c>
      <c r="C838" s="2" t="s">
        <v>5219</v>
      </c>
      <c r="D838" s="2" t="s">
        <v>5220</v>
      </c>
      <c r="E838" s="2" t="s">
        <v>5221</v>
      </c>
      <c r="F838" s="2" t="s">
        <v>351</v>
      </c>
      <c r="G838" s="2" t="s">
        <v>19</v>
      </c>
      <c r="H838" s="2">
        <v>89436</v>
      </c>
      <c r="I838" t="s">
        <v>6191</v>
      </c>
    </row>
    <row r="839" spans="1:9" x14ac:dyDescent="0.25">
      <c r="A839" s="2" t="s">
        <v>5223</v>
      </c>
      <c r="B839" s="2" t="s">
        <v>5224</v>
      </c>
      <c r="C839" s="2" t="s">
        <v>5225</v>
      </c>
      <c r="D839" s="2" t="s">
        <v>5226</v>
      </c>
      <c r="E839" s="2" t="s">
        <v>5227</v>
      </c>
      <c r="F839" s="2" t="s">
        <v>80</v>
      </c>
      <c r="G839" s="2" t="s">
        <v>19</v>
      </c>
      <c r="H839" s="2">
        <v>32835</v>
      </c>
      <c r="I839" t="s">
        <v>6190</v>
      </c>
    </row>
    <row r="840" spans="1:9" x14ac:dyDescent="0.25">
      <c r="A840" s="2" t="s">
        <v>5229</v>
      </c>
      <c r="B840" s="2" t="s">
        <v>5230</v>
      </c>
      <c r="C840" s="2" t="s">
        <v>5231</v>
      </c>
      <c r="D840" s="2" t="s">
        <v>5232</v>
      </c>
      <c r="E840" s="2" t="s">
        <v>5233</v>
      </c>
      <c r="F840" s="2" t="s">
        <v>47</v>
      </c>
      <c r="G840" s="2" t="s">
        <v>19</v>
      </c>
      <c r="H840" s="2">
        <v>20067</v>
      </c>
      <c r="I840" t="s">
        <v>6191</v>
      </c>
    </row>
    <row r="841" spans="1:9" x14ac:dyDescent="0.25">
      <c r="A841" s="2" t="s">
        <v>5235</v>
      </c>
      <c r="B841" s="2" t="s">
        <v>5236</v>
      </c>
      <c r="C841" s="2" t="s">
        <v>5237</v>
      </c>
      <c r="D841" s="2" t="s">
        <v>5238</v>
      </c>
      <c r="E841" s="2" t="s">
        <v>5239</v>
      </c>
      <c r="F841" s="2" t="s">
        <v>207</v>
      </c>
      <c r="G841" s="2" t="s">
        <v>19</v>
      </c>
      <c r="H841" s="2">
        <v>93907</v>
      </c>
      <c r="I841" t="s">
        <v>6191</v>
      </c>
    </row>
    <row r="842" spans="1:9" x14ac:dyDescent="0.25">
      <c r="A842" s="2" t="s">
        <v>5241</v>
      </c>
      <c r="B842" s="2" t="s">
        <v>5242</v>
      </c>
      <c r="C842" s="2" t="s">
        <v>5243</v>
      </c>
      <c r="D842" s="2" t="s">
        <v>5244</v>
      </c>
      <c r="E842" s="2" t="s">
        <v>5245</v>
      </c>
      <c r="F842" s="2" t="s">
        <v>271</v>
      </c>
      <c r="G842" s="2" t="s">
        <v>19</v>
      </c>
      <c r="H842" s="2">
        <v>33345</v>
      </c>
      <c r="I842" t="s">
        <v>6190</v>
      </c>
    </row>
    <row r="843" spans="1:9" x14ac:dyDescent="0.25">
      <c r="A843" s="2" t="s">
        <v>5247</v>
      </c>
      <c r="B843" s="2" t="s">
        <v>5248</v>
      </c>
      <c r="C843" s="2" t="s">
        <v>5249</v>
      </c>
      <c r="D843" s="2"/>
      <c r="E843" s="2" t="s">
        <v>5250</v>
      </c>
      <c r="F843" s="2" t="s">
        <v>50</v>
      </c>
      <c r="G843" s="2" t="s">
        <v>19</v>
      </c>
      <c r="H843" s="2">
        <v>88553</v>
      </c>
      <c r="I843" t="s">
        <v>6191</v>
      </c>
    </row>
    <row r="844" spans="1:9" x14ac:dyDescent="0.25">
      <c r="A844" s="2" t="s">
        <v>5252</v>
      </c>
      <c r="B844" s="2" t="s">
        <v>5253</v>
      </c>
      <c r="C844" s="2" t="s">
        <v>5254</v>
      </c>
      <c r="D844" s="2"/>
      <c r="E844" s="2" t="s">
        <v>5255</v>
      </c>
      <c r="F844" s="2" t="s">
        <v>446</v>
      </c>
      <c r="G844" s="2" t="s">
        <v>19</v>
      </c>
      <c r="H844" s="2">
        <v>91210</v>
      </c>
      <c r="I844" t="s">
        <v>6190</v>
      </c>
    </row>
    <row r="845" spans="1:9" x14ac:dyDescent="0.25">
      <c r="A845" s="2" t="s">
        <v>5257</v>
      </c>
      <c r="B845" s="2" t="s">
        <v>5258</v>
      </c>
      <c r="C845" s="2" t="s">
        <v>5259</v>
      </c>
      <c r="D845" s="2" t="s">
        <v>5260</v>
      </c>
      <c r="E845" s="2" t="s">
        <v>5261</v>
      </c>
      <c r="F845" s="2" t="s">
        <v>164</v>
      </c>
      <c r="G845" s="2" t="s">
        <v>19</v>
      </c>
      <c r="H845" s="2">
        <v>22313</v>
      </c>
      <c r="I845" t="s">
        <v>6190</v>
      </c>
    </row>
    <row r="846" spans="1:9" x14ac:dyDescent="0.25">
      <c r="A846" s="2" t="s">
        <v>5263</v>
      </c>
      <c r="B846" s="2" t="s">
        <v>5264</v>
      </c>
      <c r="C846" s="2" t="s">
        <v>5265</v>
      </c>
      <c r="D846" s="2" t="s">
        <v>5266</v>
      </c>
      <c r="E846" s="2" t="s">
        <v>5267</v>
      </c>
      <c r="F846" s="2" t="s">
        <v>20</v>
      </c>
      <c r="G846" s="2" t="s">
        <v>19</v>
      </c>
      <c r="H846" s="2">
        <v>21290</v>
      </c>
      <c r="I846" t="s">
        <v>6190</v>
      </c>
    </row>
    <row r="847" spans="1:9" x14ac:dyDescent="0.25">
      <c r="A847" s="2" t="s">
        <v>5269</v>
      </c>
      <c r="B847" s="2" t="s">
        <v>5270</v>
      </c>
      <c r="C847" s="2" t="s">
        <v>5271</v>
      </c>
      <c r="D847" s="2"/>
      <c r="E847" s="2" t="s">
        <v>5272</v>
      </c>
      <c r="F847" s="2" t="s">
        <v>95</v>
      </c>
      <c r="G847" s="2" t="s">
        <v>19</v>
      </c>
      <c r="H847" s="2">
        <v>47732</v>
      </c>
      <c r="I847" t="s">
        <v>6191</v>
      </c>
    </row>
    <row r="848" spans="1:9" x14ac:dyDescent="0.25">
      <c r="A848" s="2" t="s">
        <v>5274</v>
      </c>
      <c r="B848" s="2" t="s">
        <v>5275</v>
      </c>
      <c r="C848" s="2"/>
      <c r="D848" s="2" t="s">
        <v>5276</v>
      </c>
      <c r="E848" s="2" t="s">
        <v>5277</v>
      </c>
      <c r="F848" s="2" t="s">
        <v>259</v>
      </c>
      <c r="G848" s="2" t="s">
        <v>19</v>
      </c>
      <c r="H848" s="2">
        <v>30045</v>
      </c>
      <c r="I848" t="s">
        <v>6190</v>
      </c>
    </row>
    <row r="849" spans="1:9" x14ac:dyDescent="0.25">
      <c r="A849" s="2" t="s">
        <v>5279</v>
      </c>
      <c r="B849" s="2" t="s">
        <v>5280</v>
      </c>
      <c r="C849" s="2" t="s">
        <v>5281</v>
      </c>
      <c r="D849" s="2"/>
      <c r="E849" s="2" t="s">
        <v>5282</v>
      </c>
      <c r="F849" s="2" t="s">
        <v>119</v>
      </c>
      <c r="G849" s="2" t="s">
        <v>19</v>
      </c>
      <c r="H849" s="2">
        <v>36670</v>
      </c>
      <c r="I849" t="s">
        <v>6190</v>
      </c>
    </row>
    <row r="850" spans="1:9" x14ac:dyDescent="0.25">
      <c r="A850" s="2" t="s">
        <v>5284</v>
      </c>
      <c r="B850" s="2" t="s">
        <v>5285</v>
      </c>
      <c r="C850" s="2"/>
      <c r="D850" s="2" t="s">
        <v>5286</v>
      </c>
      <c r="E850" s="2" t="s">
        <v>5287</v>
      </c>
      <c r="F850" s="2" t="s">
        <v>212</v>
      </c>
      <c r="G850" s="2" t="s">
        <v>19</v>
      </c>
      <c r="H850" s="2">
        <v>79705</v>
      </c>
      <c r="I850" t="s">
        <v>6191</v>
      </c>
    </row>
    <row r="851" spans="1:9" x14ac:dyDescent="0.25">
      <c r="A851" s="2" t="s">
        <v>5289</v>
      </c>
      <c r="B851" s="2" t="s">
        <v>5290</v>
      </c>
      <c r="C851" s="2" t="s">
        <v>5291</v>
      </c>
      <c r="D851" s="2" t="s">
        <v>5292</v>
      </c>
      <c r="E851" s="2" t="s">
        <v>5293</v>
      </c>
      <c r="F851" s="2" t="s">
        <v>136</v>
      </c>
      <c r="G851" s="2" t="s">
        <v>19</v>
      </c>
      <c r="H851" s="2">
        <v>33023</v>
      </c>
      <c r="I851" t="s">
        <v>6190</v>
      </c>
    </row>
    <row r="852" spans="1:9" x14ac:dyDescent="0.25">
      <c r="A852" s="2" t="s">
        <v>5294</v>
      </c>
      <c r="B852" s="2" t="s">
        <v>5295</v>
      </c>
      <c r="C852" s="2" t="s">
        <v>5296</v>
      </c>
      <c r="D852" s="2" t="s">
        <v>5297</v>
      </c>
      <c r="E852" s="2" t="s">
        <v>5298</v>
      </c>
      <c r="F852" s="2" t="s">
        <v>148</v>
      </c>
      <c r="G852" s="2" t="s">
        <v>19</v>
      </c>
      <c r="H852" s="2">
        <v>66611</v>
      </c>
      <c r="I852" t="s">
        <v>6190</v>
      </c>
    </row>
    <row r="853" spans="1:9" x14ac:dyDescent="0.25">
      <c r="A853" s="2" t="s">
        <v>5300</v>
      </c>
      <c r="B853" s="2" t="s">
        <v>5301</v>
      </c>
      <c r="C853" s="2" t="s">
        <v>5302</v>
      </c>
      <c r="D853" s="2" t="s">
        <v>5303</v>
      </c>
      <c r="E853" s="2" t="s">
        <v>5304</v>
      </c>
      <c r="F853" s="2" t="s">
        <v>237</v>
      </c>
      <c r="G853" s="2" t="s">
        <v>19</v>
      </c>
      <c r="H853" s="2">
        <v>95973</v>
      </c>
      <c r="I853" t="s">
        <v>6190</v>
      </c>
    </row>
    <row r="854" spans="1:9" x14ac:dyDescent="0.25">
      <c r="A854" s="2" t="s">
        <v>5306</v>
      </c>
      <c r="B854" s="2" t="s">
        <v>5307</v>
      </c>
      <c r="C854" s="2" t="s">
        <v>5308</v>
      </c>
      <c r="D854" s="2"/>
      <c r="E854" s="2" t="s">
        <v>5309</v>
      </c>
      <c r="F854" s="2" t="s">
        <v>123</v>
      </c>
      <c r="G854" s="2" t="s">
        <v>19</v>
      </c>
      <c r="H854" s="2">
        <v>78737</v>
      </c>
      <c r="I854" t="s">
        <v>6190</v>
      </c>
    </row>
    <row r="855" spans="1:9" x14ac:dyDescent="0.25">
      <c r="A855" s="2" t="s">
        <v>5311</v>
      </c>
      <c r="B855" s="2" t="s">
        <v>5312</v>
      </c>
      <c r="C855" s="2" t="s">
        <v>5313</v>
      </c>
      <c r="D855" s="2"/>
      <c r="E855" s="2" t="s">
        <v>5314</v>
      </c>
      <c r="F855" s="2" t="s">
        <v>50</v>
      </c>
      <c r="G855" s="2" t="s">
        <v>19</v>
      </c>
      <c r="H855" s="2">
        <v>88546</v>
      </c>
      <c r="I855" t="s">
        <v>6191</v>
      </c>
    </row>
    <row r="856" spans="1:9" x14ac:dyDescent="0.25">
      <c r="A856" s="2" t="s">
        <v>5316</v>
      </c>
      <c r="B856" s="2" t="s">
        <v>5317</v>
      </c>
      <c r="C856" s="2" t="s">
        <v>5318</v>
      </c>
      <c r="D856" s="2" t="s">
        <v>5319</v>
      </c>
      <c r="E856" s="2" t="s">
        <v>5320</v>
      </c>
      <c r="F856" s="2" t="s">
        <v>48</v>
      </c>
      <c r="G856" s="2" t="s">
        <v>19</v>
      </c>
      <c r="H856" s="2">
        <v>25326</v>
      </c>
      <c r="I856" t="s">
        <v>6190</v>
      </c>
    </row>
    <row r="857" spans="1:9" x14ac:dyDescent="0.25">
      <c r="A857" s="2" t="s">
        <v>5322</v>
      </c>
      <c r="B857" s="2" t="s">
        <v>5323</v>
      </c>
      <c r="C857" s="2" t="s">
        <v>5324</v>
      </c>
      <c r="D857" s="2" t="s">
        <v>5325</v>
      </c>
      <c r="E857" s="2" t="s">
        <v>5326</v>
      </c>
      <c r="F857" s="2" t="s">
        <v>313</v>
      </c>
      <c r="G857" s="2" t="s">
        <v>19</v>
      </c>
      <c r="H857" s="2">
        <v>18105</v>
      </c>
      <c r="I857" t="s">
        <v>6191</v>
      </c>
    </row>
    <row r="858" spans="1:9" x14ac:dyDescent="0.25">
      <c r="A858" s="2" t="s">
        <v>5328</v>
      </c>
      <c r="B858" s="2" t="s">
        <v>5329</v>
      </c>
      <c r="C858" s="2" t="s">
        <v>5330</v>
      </c>
      <c r="D858" s="2" t="s">
        <v>5331</v>
      </c>
      <c r="E858" s="2" t="s">
        <v>5332</v>
      </c>
      <c r="F858" s="2" t="s">
        <v>180</v>
      </c>
      <c r="G858" s="2" t="s">
        <v>28</v>
      </c>
      <c r="H858" s="2" t="s">
        <v>314</v>
      </c>
      <c r="I858" t="s">
        <v>6190</v>
      </c>
    </row>
    <row r="859" spans="1:9" x14ac:dyDescent="0.25">
      <c r="A859" s="2" t="s">
        <v>5334</v>
      </c>
      <c r="B859" s="2" t="s">
        <v>5335</v>
      </c>
      <c r="C859" s="2" t="s">
        <v>5336</v>
      </c>
      <c r="D859" s="2" t="s">
        <v>5337</v>
      </c>
      <c r="E859" s="2" t="s">
        <v>5338</v>
      </c>
      <c r="F859" s="2" t="s">
        <v>309</v>
      </c>
      <c r="G859" s="2" t="s">
        <v>19</v>
      </c>
      <c r="H859" s="2">
        <v>34643</v>
      </c>
      <c r="I859" t="s">
        <v>6191</v>
      </c>
    </row>
    <row r="860" spans="1:9" x14ac:dyDescent="0.25">
      <c r="A860" s="2" t="s">
        <v>5340</v>
      </c>
      <c r="B860" s="2" t="s">
        <v>5341</v>
      </c>
      <c r="C860" s="2" t="s">
        <v>5342</v>
      </c>
      <c r="D860" s="2" t="s">
        <v>5343</v>
      </c>
      <c r="E860" s="2" t="s">
        <v>5344</v>
      </c>
      <c r="F860" s="2" t="s">
        <v>97</v>
      </c>
      <c r="G860" s="2" t="s">
        <v>19</v>
      </c>
      <c r="H860" s="2">
        <v>58122</v>
      </c>
      <c r="I860" t="s">
        <v>6191</v>
      </c>
    </row>
    <row r="861" spans="1:9" x14ac:dyDescent="0.25">
      <c r="A861" s="2" t="s">
        <v>5346</v>
      </c>
      <c r="B861" s="2" t="s">
        <v>5347</v>
      </c>
      <c r="C861" s="2" t="s">
        <v>5348</v>
      </c>
      <c r="D861" s="2" t="s">
        <v>5349</v>
      </c>
      <c r="E861" s="2" t="s">
        <v>5350</v>
      </c>
      <c r="F861" s="2" t="s">
        <v>4511</v>
      </c>
      <c r="G861" s="2" t="s">
        <v>19</v>
      </c>
      <c r="H861" s="2">
        <v>72905</v>
      </c>
      <c r="I861" t="s">
        <v>6191</v>
      </c>
    </row>
    <row r="862" spans="1:9" x14ac:dyDescent="0.25">
      <c r="A862" s="2" t="s">
        <v>5352</v>
      </c>
      <c r="B862" s="2" t="s">
        <v>5353</v>
      </c>
      <c r="C862" s="2"/>
      <c r="D862" s="2" t="s">
        <v>5354</v>
      </c>
      <c r="E862" s="2" t="s">
        <v>5355</v>
      </c>
      <c r="F862" s="2" t="s">
        <v>319</v>
      </c>
      <c r="G862" s="2" t="s">
        <v>19</v>
      </c>
      <c r="H862" s="2">
        <v>33811</v>
      </c>
      <c r="I862" t="s">
        <v>6191</v>
      </c>
    </row>
    <row r="863" spans="1:9" x14ac:dyDescent="0.25">
      <c r="A863" s="2" t="s">
        <v>5357</v>
      </c>
      <c r="B863" s="2" t="s">
        <v>5358</v>
      </c>
      <c r="C863" s="2" t="s">
        <v>5359</v>
      </c>
      <c r="D863" s="2" t="s">
        <v>5360</v>
      </c>
      <c r="E863" s="2" t="s">
        <v>5361</v>
      </c>
      <c r="F863" s="2" t="s">
        <v>49</v>
      </c>
      <c r="G863" s="2" t="s">
        <v>19</v>
      </c>
      <c r="H863" s="2">
        <v>37924</v>
      </c>
      <c r="I863" t="s">
        <v>6190</v>
      </c>
    </row>
    <row r="864" spans="1:9" x14ac:dyDescent="0.25">
      <c r="A864" s="2" t="s">
        <v>5363</v>
      </c>
      <c r="B864" s="2" t="s">
        <v>5364</v>
      </c>
      <c r="C864" s="2" t="s">
        <v>5365</v>
      </c>
      <c r="D864" s="2" t="s">
        <v>5366</v>
      </c>
      <c r="E864" s="2" t="s">
        <v>5367</v>
      </c>
      <c r="F864" s="2" t="s">
        <v>27</v>
      </c>
      <c r="G864" s="2" t="s">
        <v>19</v>
      </c>
      <c r="H864" s="2">
        <v>90030</v>
      </c>
      <c r="I864" t="s">
        <v>6190</v>
      </c>
    </row>
    <row r="865" spans="1:9" x14ac:dyDescent="0.25">
      <c r="A865" s="2" t="s">
        <v>5369</v>
      </c>
      <c r="B865" s="2" t="s">
        <v>5370</v>
      </c>
      <c r="C865" s="2" t="s">
        <v>5371</v>
      </c>
      <c r="D865" s="2" t="s">
        <v>5372</v>
      </c>
      <c r="E865" s="2" t="s">
        <v>5373</v>
      </c>
      <c r="F865" s="2" t="s">
        <v>92</v>
      </c>
      <c r="G865" s="2" t="s">
        <v>19</v>
      </c>
      <c r="H865" s="2">
        <v>33169</v>
      </c>
      <c r="I865" t="s">
        <v>6190</v>
      </c>
    </row>
    <row r="866" spans="1:9" x14ac:dyDescent="0.25">
      <c r="A866" s="2" t="s">
        <v>5375</v>
      </c>
      <c r="B866" s="2" t="s">
        <v>5376</v>
      </c>
      <c r="C866" s="2" t="s">
        <v>5377</v>
      </c>
      <c r="D866" s="2" t="s">
        <v>5378</v>
      </c>
      <c r="E866" s="2" t="s">
        <v>5379</v>
      </c>
      <c r="F866" s="2" t="s">
        <v>483</v>
      </c>
      <c r="G866" s="2" t="s">
        <v>318</v>
      </c>
      <c r="H866" s="2" t="s">
        <v>484</v>
      </c>
      <c r="I866" t="s">
        <v>6191</v>
      </c>
    </row>
    <row r="867" spans="1:9" x14ac:dyDescent="0.25">
      <c r="A867" s="2" t="s">
        <v>5381</v>
      </c>
      <c r="B867" s="2" t="s">
        <v>5382</v>
      </c>
      <c r="C867" s="2"/>
      <c r="D867" s="2" t="s">
        <v>5383</v>
      </c>
      <c r="E867" s="2" t="s">
        <v>5384</v>
      </c>
      <c r="F867" s="2" t="s">
        <v>56</v>
      </c>
      <c r="G867" s="2" t="s">
        <v>19</v>
      </c>
      <c r="H867" s="2">
        <v>60604</v>
      </c>
      <c r="I867" t="s">
        <v>6190</v>
      </c>
    </row>
    <row r="868" spans="1:9" x14ac:dyDescent="0.25">
      <c r="A868" s="2" t="s">
        <v>5386</v>
      </c>
      <c r="B868" s="2" t="s">
        <v>5387</v>
      </c>
      <c r="C868" s="2" t="s">
        <v>5388</v>
      </c>
      <c r="D868" s="2" t="s">
        <v>5389</v>
      </c>
      <c r="E868" s="2" t="s">
        <v>5390</v>
      </c>
      <c r="F868" s="2" t="s">
        <v>445</v>
      </c>
      <c r="G868" s="2" t="s">
        <v>318</v>
      </c>
      <c r="H868" s="2" t="s">
        <v>388</v>
      </c>
      <c r="I868" t="s">
        <v>6191</v>
      </c>
    </row>
    <row r="869" spans="1:9" x14ac:dyDescent="0.25">
      <c r="A869" s="2" t="s">
        <v>5392</v>
      </c>
      <c r="B869" s="2" t="s">
        <v>5393</v>
      </c>
      <c r="C869" s="2" t="s">
        <v>5394</v>
      </c>
      <c r="D869" s="2"/>
      <c r="E869" s="2" t="s">
        <v>5395</v>
      </c>
      <c r="F869" s="2" t="s">
        <v>478</v>
      </c>
      <c r="G869" s="2" t="s">
        <v>318</v>
      </c>
      <c r="H869" s="2" t="s">
        <v>479</v>
      </c>
      <c r="I869" t="s">
        <v>6190</v>
      </c>
    </row>
    <row r="870" spans="1:9" x14ac:dyDescent="0.25">
      <c r="A870" s="2" t="s">
        <v>5397</v>
      </c>
      <c r="B870" s="2" t="s">
        <v>5398</v>
      </c>
      <c r="C870" s="2" t="s">
        <v>5399</v>
      </c>
      <c r="D870" s="2" t="s">
        <v>5400</v>
      </c>
      <c r="E870" s="2" t="s">
        <v>5401</v>
      </c>
      <c r="F870" s="2" t="s">
        <v>121</v>
      </c>
      <c r="G870" s="2" t="s">
        <v>19</v>
      </c>
      <c r="H870" s="2">
        <v>33064</v>
      </c>
      <c r="I870" t="s">
        <v>6190</v>
      </c>
    </row>
    <row r="871" spans="1:9" x14ac:dyDescent="0.25">
      <c r="A871" s="2" t="s">
        <v>5403</v>
      </c>
      <c r="B871" s="2" t="s">
        <v>5404</v>
      </c>
      <c r="C871" s="2"/>
      <c r="D871" s="2" t="s">
        <v>5405</v>
      </c>
      <c r="E871" s="2" t="s">
        <v>5406</v>
      </c>
      <c r="F871" s="2" t="s">
        <v>131</v>
      </c>
      <c r="G871" s="2" t="s">
        <v>19</v>
      </c>
      <c r="H871" s="2">
        <v>94297</v>
      </c>
      <c r="I871" t="s">
        <v>6190</v>
      </c>
    </row>
    <row r="872" spans="1:9" x14ac:dyDescent="0.25">
      <c r="A872" s="2" t="s">
        <v>5408</v>
      </c>
      <c r="B872" s="2" t="s">
        <v>5409</v>
      </c>
      <c r="C872" s="2" t="s">
        <v>5410</v>
      </c>
      <c r="D872" s="2" t="s">
        <v>5411</v>
      </c>
      <c r="E872" s="2" t="s">
        <v>5412</v>
      </c>
      <c r="F872" s="2" t="s">
        <v>347</v>
      </c>
      <c r="G872" s="2" t="s">
        <v>318</v>
      </c>
      <c r="H872" s="2" t="s">
        <v>348</v>
      </c>
      <c r="I872" t="s">
        <v>6190</v>
      </c>
    </row>
    <row r="873" spans="1:9" x14ac:dyDescent="0.25">
      <c r="A873" s="2" t="s">
        <v>5414</v>
      </c>
      <c r="B873" s="2" t="s">
        <v>5415</v>
      </c>
      <c r="C873" s="2" t="s">
        <v>5416</v>
      </c>
      <c r="D873" s="2" t="s">
        <v>5417</v>
      </c>
      <c r="E873" s="2" t="s">
        <v>5418</v>
      </c>
      <c r="F873" s="2" t="s">
        <v>5419</v>
      </c>
      <c r="G873" s="2" t="s">
        <v>28</v>
      </c>
      <c r="H873" s="2" t="s">
        <v>5420</v>
      </c>
      <c r="I873" t="s">
        <v>6190</v>
      </c>
    </row>
    <row r="874" spans="1:9" x14ac:dyDescent="0.25">
      <c r="A874" s="2" t="s">
        <v>5422</v>
      </c>
      <c r="B874" s="2" t="s">
        <v>5423</v>
      </c>
      <c r="C874" s="2" t="s">
        <v>5424</v>
      </c>
      <c r="D874" s="2" t="s">
        <v>5425</v>
      </c>
      <c r="E874" s="2" t="s">
        <v>5426</v>
      </c>
      <c r="F874" s="2" t="s">
        <v>171</v>
      </c>
      <c r="G874" s="2" t="s">
        <v>19</v>
      </c>
      <c r="H874" s="2">
        <v>28805</v>
      </c>
      <c r="I874" t="s">
        <v>6191</v>
      </c>
    </row>
    <row r="875" spans="1:9" x14ac:dyDescent="0.25">
      <c r="A875" s="2" t="s">
        <v>5428</v>
      </c>
      <c r="B875" s="2" t="s">
        <v>5429</v>
      </c>
      <c r="C875" s="2" t="s">
        <v>5430</v>
      </c>
      <c r="D875" s="2" t="s">
        <v>5431</v>
      </c>
      <c r="E875" s="2" t="s">
        <v>5432</v>
      </c>
      <c r="F875" s="2" t="s">
        <v>48</v>
      </c>
      <c r="G875" s="2" t="s">
        <v>19</v>
      </c>
      <c r="H875" s="2">
        <v>25362</v>
      </c>
      <c r="I875" t="s">
        <v>6190</v>
      </c>
    </row>
    <row r="876" spans="1:9" x14ac:dyDescent="0.25">
      <c r="A876" s="2" t="s">
        <v>5434</v>
      </c>
      <c r="B876" s="2" t="s">
        <v>5435</v>
      </c>
      <c r="C876" s="2" t="s">
        <v>5436</v>
      </c>
      <c r="D876" s="2" t="s">
        <v>5437</v>
      </c>
      <c r="E876" s="2" t="s">
        <v>5438</v>
      </c>
      <c r="F876" s="2" t="s">
        <v>63</v>
      </c>
      <c r="G876" s="2" t="s">
        <v>19</v>
      </c>
      <c r="H876" s="2">
        <v>77281</v>
      </c>
      <c r="I876" t="s">
        <v>6191</v>
      </c>
    </row>
    <row r="877" spans="1:9" x14ac:dyDescent="0.25">
      <c r="A877" s="2" t="s">
        <v>5440</v>
      </c>
      <c r="B877" s="2" t="s">
        <v>5441</v>
      </c>
      <c r="C877" s="2" t="s">
        <v>5442</v>
      </c>
      <c r="D877" s="2" t="s">
        <v>5443</v>
      </c>
      <c r="E877" s="2" t="s">
        <v>5444</v>
      </c>
      <c r="F877" s="2" t="s">
        <v>384</v>
      </c>
      <c r="G877" s="2" t="s">
        <v>318</v>
      </c>
      <c r="H877" s="2" t="s">
        <v>369</v>
      </c>
      <c r="I877" t="s">
        <v>6191</v>
      </c>
    </row>
    <row r="878" spans="1:9" x14ac:dyDescent="0.25">
      <c r="A878" s="2" t="s">
        <v>5445</v>
      </c>
      <c r="B878" s="2" t="s">
        <v>5446</v>
      </c>
      <c r="C878" s="2" t="s">
        <v>5447</v>
      </c>
      <c r="D878" s="2" t="s">
        <v>5448</v>
      </c>
      <c r="E878" s="2" t="s">
        <v>5449</v>
      </c>
      <c r="F878" s="2" t="s">
        <v>47</v>
      </c>
      <c r="G878" s="2" t="s">
        <v>19</v>
      </c>
      <c r="H878" s="2">
        <v>20575</v>
      </c>
      <c r="I878" t="s">
        <v>6190</v>
      </c>
    </row>
    <row r="879" spans="1:9" x14ac:dyDescent="0.25">
      <c r="A879" s="2" t="s">
        <v>5451</v>
      </c>
      <c r="B879" s="2" t="s">
        <v>5452</v>
      </c>
      <c r="C879" s="2" t="s">
        <v>5453</v>
      </c>
      <c r="D879" s="2" t="s">
        <v>5454</v>
      </c>
      <c r="E879" s="2" t="s">
        <v>5455</v>
      </c>
      <c r="F879" s="2" t="s">
        <v>199</v>
      </c>
      <c r="G879" s="2" t="s">
        <v>19</v>
      </c>
      <c r="H879" s="2">
        <v>7195</v>
      </c>
      <c r="I879" t="s">
        <v>6191</v>
      </c>
    </row>
    <row r="880" spans="1:9" x14ac:dyDescent="0.25">
      <c r="A880" s="2" t="s">
        <v>5457</v>
      </c>
      <c r="B880" s="2" t="s">
        <v>5458</v>
      </c>
      <c r="C880" s="2"/>
      <c r="D880" s="2" t="s">
        <v>5459</v>
      </c>
      <c r="E880" s="2" t="s">
        <v>5460</v>
      </c>
      <c r="F880" s="2" t="s">
        <v>105</v>
      </c>
      <c r="G880" s="2" t="s">
        <v>19</v>
      </c>
      <c r="H880" s="2">
        <v>98195</v>
      </c>
      <c r="I880" t="s">
        <v>6190</v>
      </c>
    </row>
    <row r="881" spans="1:9" x14ac:dyDescent="0.25">
      <c r="A881" s="2" t="s">
        <v>5462</v>
      </c>
      <c r="B881" s="2" t="s">
        <v>5463</v>
      </c>
      <c r="C881" s="2"/>
      <c r="D881" s="2" t="s">
        <v>5464</v>
      </c>
      <c r="E881" s="2" t="s">
        <v>5465</v>
      </c>
      <c r="F881" s="2" t="s">
        <v>157</v>
      </c>
      <c r="G881" s="2" t="s">
        <v>19</v>
      </c>
      <c r="H881" s="2">
        <v>80150</v>
      </c>
      <c r="I881" t="s">
        <v>6191</v>
      </c>
    </row>
    <row r="882" spans="1:9" x14ac:dyDescent="0.25">
      <c r="A882" s="2" t="s">
        <v>5467</v>
      </c>
      <c r="B882" s="2" t="s">
        <v>5468</v>
      </c>
      <c r="C882" s="2" t="s">
        <v>5469</v>
      </c>
      <c r="D882" s="2" t="s">
        <v>5470</v>
      </c>
      <c r="E882" s="2" t="s">
        <v>5471</v>
      </c>
      <c r="F882" s="2" t="s">
        <v>156</v>
      </c>
      <c r="G882" s="2" t="s">
        <v>19</v>
      </c>
      <c r="H882" s="2">
        <v>61105</v>
      </c>
      <c r="I882" t="s">
        <v>6191</v>
      </c>
    </row>
    <row r="883" spans="1:9" x14ac:dyDescent="0.25">
      <c r="A883" s="2" t="s">
        <v>5473</v>
      </c>
      <c r="B883" s="2" t="s">
        <v>5474</v>
      </c>
      <c r="C883" s="2"/>
      <c r="D883" s="2" t="s">
        <v>5475</v>
      </c>
      <c r="E883" s="2" t="s">
        <v>5476</v>
      </c>
      <c r="F883" s="2" t="s">
        <v>252</v>
      </c>
      <c r="G883" s="2" t="s">
        <v>19</v>
      </c>
      <c r="H883" s="2">
        <v>59112</v>
      </c>
      <c r="I883" t="s">
        <v>6190</v>
      </c>
    </row>
    <row r="884" spans="1:9" x14ac:dyDescent="0.25">
      <c r="A884" s="2" t="s">
        <v>5478</v>
      </c>
      <c r="B884" s="2" t="s">
        <v>5479</v>
      </c>
      <c r="C884" s="2" t="s">
        <v>5480</v>
      </c>
      <c r="D884" s="2" t="s">
        <v>5481</v>
      </c>
      <c r="E884" s="2" t="s">
        <v>5482</v>
      </c>
      <c r="F884" s="2" t="s">
        <v>84</v>
      </c>
      <c r="G884" s="2" t="s">
        <v>19</v>
      </c>
      <c r="H884" s="2">
        <v>31165</v>
      </c>
      <c r="I884" t="s">
        <v>6191</v>
      </c>
    </row>
    <row r="885" spans="1:9" x14ac:dyDescent="0.25">
      <c r="A885" s="2" t="s">
        <v>5484</v>
      </c>
      <c r="B885" s="2" t="s">
        <v>5485</v>
      </c>
      <c r="C885" s="2" t="s">
        <v>5486</v>
      </c>
      <c r="D885" s="2" t="s">
        <v>5487</v>
      </c>
      <c r="E885" s="2" t="s">
        <v>5488</v>
      </c>
      <c r="F885" s="2" t="s">
        <v>90</v>
      </c>
      <c r="G885" s="2" t="s">
        <v>19</v>
      </c>
      <c r="H885" s="2">
        <v>74108</v>
      </c>
      <c r="I885" t="s">
        <v>6190</v>
      </c>
    </row>
    <row r="886" spans="1:9" x14ac:dyDescent="0.25">
      <c r="A886" s="2" t="s">
        <v>5490</v>
      </c>
      <c r="B886" s="2" t="s">
        <v>5491</v>
      </c>
      <c r="C886" s="2" t="s">
        <v>5492</v>
      </c>
      <c r="D886" s="2" t="s">
        <v>5493</v>
      </c>
      <c r="E886" s="2" t="s">
        <v>5494</v>
      </c>
      <c r="F886" s="2" t="s">
        <v>30</v>
      </c>
      <c r="G886" s="2" t="s">
        <v>19</v>
      </c>
      <c r="H886" s="2">
        <v>93704</v>
      </c>
      <c r="I886" t="s">
        <v>6190</v>
      </c>
    </row>
    <row r="887" spans="1:9" x14ac:dyDescent="0.25">
      <c r="A887" s="2" t="s">
        <v>5496</v>
      </c>
      <c r="B887" s="2" t="s">
        <v>5497</v>
      </c>
      <c r="C887" s="2" t="s">
        <v>5498</v>
      </c>
      <c r="D887" s="2" t="s">
        <v>5499</v>
      </c>
      <c r="E887" s="2" t="s">
        <v>5500</v>
      </c>
      <c r="F887" s="2" t="s">
        <v>464</v>
      </c>
      <c r="G887" s="2" t="s">
        <v>318</v>
      </c>
      <c r="H887" s="2" t="s">
        <v>321</v>
      </c>
      <c r="I887" t="s">
        <v>6191</v>
      </c>
    </row>
    <row r="888" spans="1:9" x14ac:dyDescent="0.25">
      <c r="A888" s="2" t="s">
        <v>5502</v>
      </c>
      <c r="B888" s="2" t="s">
        <v>5503</v>
      </c>
      <c r="C888" s="2" t="s">
        <v>5504</v>
      </c>
      <c r="D888" s="2" t="s">
        <v>5505</v>
      </c>
      <c r="E888" s="2" t="s">
        <v>5506</v>
      </c>
      <c r="F888" s="2" t="s">
        <v>150</v>
      </c>
      <c r="G888" s="2" t="s">
        <v>19</v>
      </c>
      <c r="H888" s="2">
        <v>94154</v>
      </c>
      <c r="I888" t="s">
        <v>6191</v>
      </c>
    </row>
    <row r="889" spans="1:9" x14ac:dyDescent="0.25">
      <c r="A889" s="2" t="s">
        <v>5508</v>
      </c>
      <c r="B889" s="2" t="s">
        <v>5509</v>
      </c>
      <c r="C889" s="2" t="s">
        <v>5510</v>
      </c>
      <c r="D889" s="2" t="s">
        <v>5511</v>
      </c>
      <c r="E889" s="2" t="s">
        <v>5512</v>
      </c>
      <c r="F889" s="2" t="s">
        <v>119</v>
      </c>
      <c r="G889" s="2" t="s">
        <v>19</v>
      </c>
      <c r="H889" s="2">
        <v>36689</v>
      </c>
      <c r="I889" t="s">
        <v>6191</v>
      </c>
    </row>
    <row r="890" spans="1:9" x14ac:dyDescent="0.25">
      <c r="A890" s="2" t="s">
        <v>5514</v>
      </c>
      <c r="B890" s="2" t="s">
        <v>5515</v>
      </c>
      <c r="C890" s="2" t="s">
        <v>5516</v>
      </c>
      <c r="D890" s="2" t="s">
        <v>5517</v>
      </c>
      <c r="E890" s="2" t="s">
        <v>5518</v>
      </c>
      <c r="F890" s="2" t="s">
        <v>150</v>
      </c>
      <c r="G890" s="2" t="s">
        <v>19</v>
      </c>
      <c r="H890" s="2">
        <v>94110</v>
      </c>
      <c r="I890" t="s">
        <v>6190</v>
      </c>
    </row>
    <row r="891" spans="1:9" x14ac:dyDescent="0.25">
      <c r="A891" s="2" t="s">
        <v>5520</v>
      </c>
      <c r="B891" s="2" t="s">
        <v>5521</v>
      </c>
      <c r="C891" s="2" t="s">
        <v>5522</v>
      </c>
      <c r="D891" s="2" t="s">
        <v>5523</v>
      </c>
      <c r="E891" s="2" t="s">
        <v>5524</v>
      </c>
      <c r="F891" s="2" t="s">
        <v>132</v>
      </c>
      <c r="G891" s="2" t="s">
        <v>19</v>
      </c>
      <c r="H891" s="2">
        <v>11470</v>
      </c>
      <c r="I891" t="s">
        <v>6190</v>
      </c>
    </row>
    <row r="892" spans="1:9" x14ac:dyDescent="0.25">
      <c r="A892" s="2" t="s">
        <v>5526</v>
      </c>
      <c r="B892" s="2" t="s">
        <v>5527</v>
      </c>
      <c r="C892" s="2" t="s">
        <v>5528</v>
      </c>
      <c r="D892" s="2" t="s">
        <v>5529</v>
      </c>
      <c r="E892" s="2" t="s">
        <v>5530</v>
      </c>
      <c r="F892" s="2" t="s">
        <v>42</v>
      </c>
      <c r="G892" s="2" t="s">
        <v>19</v>
      </c>
      <c r="H892" s="2">
        <v>80243</v>
      </c>
      <c r="I892" t="s">
        <v>6190</v>
      </c>
    </row>
    <row r="893" spans="1:9" x14ac:dyDescent="0.25">
      <c r="A893" s="2" t="s">
        <v>5532</v>
      </c>
      <c r="B893" s="2" t="s">
        <v>5533</v>
      </c>
      <c r="C893" s="2" t="s">
        <v>5534</v>
      </c>
      <c r="D893" s="2" t="s">
        <v>5535</v>
      </c>
      <c r="E893" s="2" t="s">
        <v>5536</v>
      </c>
      <c r="F893" s="2" t="s">
        <v>58</v>
      </c>
      <c r="G893" s="2" t="s">
        <v>19</v>
      </c>
      <c r="H893" s="2">
        <v>92165</v>
      </c>
      <c r="I893" t="s">
        <v>6190</v>
      </c>
    </row>
    <row r="894" spans="1:9" x14ac:dyDescent="0.25">
      <c r="A894" s="2" t="s">
        <v>5538</v>
      </c>
      <c r="B894" s="2" t="s">
        <v>5539</v>
      </c>
      <c r="C894" s="2" t="s">
        <v>5540</v>
      </c>
      <c r="D894" s="2" t="s">
        <v>5541</v>
      </c>
      <c r="E894" s="2" t="s">
        <v>5542</v>
      </c>
      <c r="F894" s="2" t="s">
        <v>305</v>
      </c>
      <c r="G894" s="2" t="s">
        <v>28</v>
      </c>
      <c r="H894" s="2" t="s">
        <v>306</v>
      </c>
      <c r="I894" t="s">
        <v>6191</v>
      </c>
    </row>
    <row r="895" spans="1:9" x14ac:dyDescent="0.25">
      <c r="A895" s="2" t="s">
        <v>5544</v>
      </c>
      <c r="B895" s="2" t="s">
        <v>5545</v>
      </c>
      <c r="C895" s="2" t="s">
        <v>5546</v>
      </c>
      <c r="D895" s="2"/>
      <c r="E895" s="2" t="s">
        <v>5547</v>
      </c>
      <c r="F895" s="2" t="s">
        <v>108</v>
      </c>
      <c r="G895" s="2" t="s">
        <v>19</v>
      </c>
      <c r="H895" s="2">
        <v>15250</v>
      </c>
      <c r="I895" t="s">
        <v>6190</v>
      </c>
    </row>
    <row r="896" spans="1:9" x14ac:dyDescent="0.25">
      <c r="A896" s="2" t="s">
        <v>5549</v>
      </c>
      <c r="B896" s="2" t="s">
        <v>5550</v>
      </c>
      <c r="C896" s="2"/>
      <c r="D896" s="2" t="s">
        <v>5551</v>
      </c>
      <c r="E896" s="2" t="s">
        <v>5552</v>
      </c>
      <c r="F896" s="2" t="s">
        <v>481</v>
      </c>
      <c r="G896" s="2" t="s">
        <v>318</v>
      </c>
      <c r="H896" s="2" t="s">
        <v>361</v>
      </c>
      <c r="I896" t="s">
        <v>6190</v>
      </c>
    </row>
    <row r="897" spans="1:9" x14ac:dyDescent="0.25">
      <c r="A897" s="2" t="s">
        <v>5554</v>
      </c>
      <c r="B897" s="2" t="s">
        <v>5555</v>
      </c>
      <c r="C897" s="2"/>
      <c r="D897" s="2" t="s">
        <v>5556</v>
      </c>
      <c r="E897" s="2" t="s">
        <v>5557</v>
      </c>
      <c r="F897" s="2" t="s">
        <v>57</v>
      </c>
      <c r="G897" s="2" t="s">
        <v>19</v>
      </c>
      <c r="H897" s="2">
        <v>10004</v>
      </c>
      <c r="I897" t="s">
        <v>6191</v>
      </c>
    </row>
    <row r="898" spans="1:9" x14ac:dyDescent="0.25">
      <c r="A898" s="2" t="s">
        <v>5559</v>
      </c>
      <c r="B898" s="2" t="s">
        <v>5560</v>
      </c>
      <c r="C898" s="2" t="s">
        <v>5561</v>
      </c>
      <c r="D898" s="2" t="s">
        <v>5562</v>
      </c>
      <c r="E898" s="2" t="s">
        <v>5563</v>
      </c>
      <c r="F898" s="2" t="s">
        <v>105</v>
      </c>
      <c r="G898" s="2" t="s">
        <v>19</v>
      </c>
      <c r="H898" s="2">
        <v>98148</v>
      </c>
      <c r="I898" t="s">
        <v>6190</v>
      </c>
    </row>
    <row r="899" spans="1:9" x14ac:dyDescent="0.25">
      <c r="A899" s="2" t="s">
        <v>5565</v>
      </c>
      <c r="B899" s="2" t="s">
        <v>5566</v>
      </c>
      <c r="C899" s="2" t="s">
        <v>5567</v>
      </c>
      <c r="D899" s="2" t="s">
        <v>5568</v>
      </c>
      <c r="E899" s="2" t="s">
        <v>5569</v>
      </c>
      <c r="F899" s="2" t="s">
        <v>144</v>
      </c>
      <c r="G899" s="2" t="s">
        <v>28</v>
      </c>
      <c r="H899" s="2" t="s">
        <v>145</v>
      </c>
      <c r="I899" t="s">
        <v>6191</v>
      </c>
    </row>
    <row r="900" spans="1:9" x14ac:dyDescent="0.25">
      <c r="A900" s="2" t="s">
        <v>5571</v>
      </c>
      <c r="B900" s="2" t="s">
        <v>5572</v>
      </c>
      <c r="C900" s="2"/>
      <c r="D900" s="2" t="s">
        <v>5573</v>
      </c>
      <c r="E900" s="2" t="s">
        <v>5574</v>
      </c>
      <c r="F900" s="2" t="s">
        <v>276</v>
      </c>
      <c r="G900" s="2" t="s">
        <v>19</v>
      </c>
      <c r="H900" s="2">
        <v>49018</v>
      </c>
      <c r="I900" t="s">
        <v>6191</v>
      </c>
    </row>
    <row r="901" spans="1:9" x14ac:dyDescent="0.25">
      <c r="A901" s="2" t="s">
        <v>5576</v>
      </c>
      <c r="B901" s="2" t="s">
        <v>5577</v>
      </c>
      <c r="C901" s="2" t="s">
        <v>5578</v>
      </c>
      <c r="D901" s="2"/>
      <c r="E901" s="2" t="s">
        <v>5579</v>
      </c>
      <c r="F901" s="2" t="s">
        <v>437</v>
      </c>
      <c r="G901" s="2" t="s">
        <v>318</v>
      </c>
      <c r="H901" s="2" t="s">
        <v>438</v>
      </c>
      <c r="I901" t="s">
        <v>6190</v>
      </c>
    </row>
    <row r="902" spans="1:9" x14ac:dyDescent="0.25">
      <c r="A902" s="2" t="s">
        <v>5581</v>
      </c>
      <c r="B902" s="2" t="s">
        <v>5582</v>
      </c>
      <c r="C902" s="2"/>
      <c r="D902" s="2" t="s">
        <v>5583</v>
      </c>
      <c r="E902" s="2" t="s">
        <v>5584</v>
      </c>
      <c r="F902" s="2" t="s">
        <v>409</v>
      </c>
      <c r="G902" s="2" t="s">
        <v>318</v>
      </c>
      <c r="H902" s="2" t="s">
        <v>410</v>
      </c>
      <c r="I902" t="s">
        <v>6191</v>
      </c>
    </row>
    <row r="903" spans="1:9" x14ac:dyDescent="0.25">
      <c r="A903" s="2" t="s">
        <v>5586</v>
      </c>
      <c r="B903" s="2" t="s">
        <v>5587</v>
      </c>
      <c r="C903" s="2" t="s">
        <v>5588</v>
      </c>
      <c r="D903" s="2" t="s">
        <v>5589</v>
      </c>
      <c r="E903" s="2" t="s">
        <v>5590</v>
      </c>
      <c r="F903" s="2" t="s">
        <v>63</v>
      </c>
      <c r="G903" s="2" t="s">
        <v>19</v>
      </c>
      <c r="H903" s="2">
        <v>77070</v>
      </c>
      <c r="I903" t="s">
        <v>6190</v>
      </c>
    </row>
    <row r="904" spans="1:9" x14ac:dyDescent="0.25">
      <c r="A904" s="2" t="s">
        <v>5592</v>
      </c>
      <c r="B904" s="2" t="s">
        <v>5593</v>
      </c>
      <c r="C904" s="2" t="s">
        <v>5594</v>
      </c>
      <c r="D904" s="2" t="s">
        <v>5595</v>
      </c>
      <c r="E904" s="2" t="s">
        <v>5596</v>
      </c>
      <c r="F904" s="2" t="s">
        <v>51</v>
      </c>
      <c r="G904" s="2" t="s">
        <v>19</v>
      </c>
      <c r="H904" s="2">
        <v>45249</v>
      </c>
      <c r="I904" t="s">
        <v>6191</v>
      </c>
    </row>
    <row r="905" spans="1:9" x14ac:dyDescent="0.25">
      <c r="A905" s="2" t="s">
        <v>5598</v>
      </c>
      <c r="B905" s="2" t="s">
        <v>5599</v>
      </c>
      <c r="C905" s="2" t="s">
        <v>5600</v>
      </c>
      <c r="D905" s="2" t="s">
        <v>5601</v>
      </c>
      <c r="E905" s="2" t="s">
        <v>5602</v>
      </c>
      <c r="F905" s="2" t="s">
        <v>30</v>
      </c>
      <c r="G905" s="2" t="s">
        <v>19</v>
      </c>
      <c r="H905" s="2">
        <v>93704</v>
      </c>
      <c r="I905" t="s">
        <v>6191</v>
      </c>
    </row>
    <row r="906" spans="1:9" x14ac:dyDescent="0.25">
      <c r="A906" s="2" t="s">
        <v>5604</v>
      </c>
      <c r="B906" s="2" t="s">
        <v>5605</v>
      </c>
      <c r="C906" s="2" t="s">
        <v>5606</v>
      </c>
      <c r="D906" s="2" t="s">
        <v>5607</v>
      </c>
      <c r="E906" s="2" t="s">
        <v>5608</v>
      </c>
      <c r="F906" s="2" t="s">
        <v>173</v>
      </c>
      <c r="G906" s="2" t="s">
        <v>19</v>
      </c>
      <c r="H906" s="2">
        <v>55123</v>
      </c>
      <c r="I906" t="s">
        <v>6191</v>
      </c>
    </row>
    <row r="907" spans="1:9" x14ac:dyDescent="0.25">
      <c r="A907" s="2" t="s">
        <v>5610</v>
      </c>
      <c r="B907" s="2" t="s">
        <v>5611</v>
      </c>
      <c r="C907" s="2"/>
      <c r="D907" s="2" t="s">
        <v>5612</v>
      </c>
      <c r="E907" s="2" t="s">
        <v>5613</v>
      </c>
      <c r="F907" s="2" t="s">
        <v>50</v>
      </c>
      <c r="G907" s="2" t="s">
        <v>19</v>
      </c>
      <c r="H907" s="2">
        <v>88519</v>
      </c>
      <c r="I907" t="s">
        <v>6190</v>
      </c>
    </row>
    <row r="908" spans="1:9" x14ac:dyDescent="0.25">
      <c r="A908" s="2" t="s">
        <v>5615</v>
      </c>
      <c r="B908" s="2" t="s">
        <v>5616</v>
      </c>
      <c r="C908" s="2" t="s">
        <v>5617</v>
      </c>
      <c r="D908" s="2" t="s">
        <v>5618</v>
      </c>
      <c r="E908" s="2" t="s">
        <v>5619</v>
      </c>
      <c r="F908" s="2" t="s">
        <v>169</v>
      </c>
      <c r="G908" s="2" t="s">
        <v>19</v>
      </c>
      <c r="H908" s="2">
        <v>50981</v>
      </c>
      <c r="I908" t="s">
        <v>6190</v>
      </c>
    </row>
    <row r="909" spans="1:9" x14ac:dyDescent="0.25">
      <c r="A909" s="2" t="s">
        <v>5621</v>
      </c>
      <c r="B909" s="2" t="s">
        <v>5622</v>
      </c>
      <c r="C909" s="2" t="s">
        <v>5623</v>
      </c>
      <c r="D909" s="2" t="s">
        <v>5624</v>
      </c>
      <c r="E909" s="2" t="s">
        <v>5625</v>
      </c>
      <c r="F909" s="2" t="s">
        <v>189</v>
      </c>
      <c r="G909" s="2" t="s">
        <v>19</v>
      </c>
      <c r="H909" s="2">
        <v>97240</v>
      </c>
      <c r="I909" t="s">
        <v>6191</v>
      </c>
    </row>
    <row r="910" spans="1:9" x14ac:dyDescent="0.25">
      <c r="A910" s="2" t="s">
        <v>5627</v>
      </c>
      <c r="B910" s="2" t="s">
        <v>5628</v>
      </c>
      <c r="C910" s="2" t="s">
        <v>5629</v>
      </c>
      <c r="D910" s="2" t="s">
        <v>5630</v>
      </c>
      <c r="E910" s="2" t="s">
        <v>5631</v>
      </c>
      <c r="F910" s="2" t="s">
        <v>63</v>
      </c>
      <c r="G910" s="2" t="s">
        <v>19</v>
      </c>
      <c r="H910" s="2">
        <v>77070</v>
      </c>
      <c r="I910" t="s">
        <v>6191</v>
      </c>
    </row>
    <row r="911" spans="1:9" x14ac:dyDescent="0.25">
      <c r="A911" s="2" t="s">
        <v>5633</v>
      </c>
      <c r="B911" s="2" t="s">
        <v>5634</v>
      </c>
      <c r="C911" s="2"/>
      <c r="D911" s="2" t="s">
        <v>5635</v>
      </c>
      <c r="E911" s="2" t="s">
        <v>5636</v>
      </c>
      <c r="F911" s="2" t="s">
        <v>31</v>
      </c>
      <c r="G911" s="2" t="s">
        <v>19</v>
      </c>
      <c r="H911" s="2">
        <v>27705</v>
      </c>
      <c r="I911" t="s">
        <v>6191</v>
      </c>
    </row>
    <row r="912" spans="1:9" x14ac:dyDescent="0.25">
      <c r="A912" s="2" t="s">
        <v>5638</v>
      </c>
      <c r="B912" s="2" t="s">
        <v>5639</v>
      </c>
      <c r="C912" s="2" t="s">
        <v>5640</v>
      </c>
      <c r="D912" s="2" t="s">
        <v>5641</v>
      </c>
      <c r="E912" s="2" t="s">
        <v>5642</v>
      </c>
      <c r="F912" s="2" t="s">
        <v>241</v>
      </c>
      <c r="G912" s="2" t="s">
        <v>19</v>
      </c>
      <c r="H912" s="2">
        <v>2298</v>
      </c>
      <c r="I912" t="s">
        <v>6191</v>
      </c>
    </row>
    <row r="913" spans="1:9" x14ac:dyDescent="0.25">
      <c r="A913" s="2" t="s">
        <v>5644</v>
      </c>
      <c r="B913" s="2" t="s">
        <v>5645</v>
      </c>
      <c r="C913" s="2" t="s">
        <v>5646</v>
      </c>
      <c r="D913" s="2" t="s">
        <v>5647</v>
      </c>
      <c r="E913" s="2" t="s">
        <v>5648</v>
      </c>
      <c r="F913" s="2" t="s">
        <v>47</v>
      </c>
      <c r="G913" s="2" t="s">
        <v>19</v>
      </c>
      <c r="H913" s="2">
        <v>20226</v>
      </c>
      <c r="I913" t="s">
        <v>6190</v>
      </c>
    </row>
    <row r="914" spans="1:9" x14ac:dyDescent="0.25">
      <c r="A914" s="2" t="s">
        <v>5650</v>
      </c>
      <c r="B914" s="2" t="s">
        <v>5651</v>
      </c>
      <c r="C914" s="2"/>
      <c r="D914" s="2" t="s">
        <v>5652</v>
      </c>
      <c r="E914" s="2" t="s">
        <v>5653</v>
      </c>
      <c r="F914" s="2" t="s">
        <v>198</v>
      </c>
      <c r="G914" s="2" t="s">
        <v>19</v>
      </c>
      <c r="H914" s="2">
        <v>12205</v>
      </c>
      <c r="I914" t="s">
        <v>6190</v>
      </c>
    </row>
    <row r="915" spans="1:9" x14ac:dyDescent="0.25">
      <c r="A915" s="2" t="s">
        <v>5655</v>
      </c>
      <c r="B915" s="2" t="s">
        <v>5656</v>
      </c>
      <c r="C915" s="2" t="s">
        <v>5657</v>
      </c>
      <c r="D915" s="2" t="s">
        <v>5658</v>
      </c>
      <c r="E915" s="2" t="s">
        <v>5659</v>
      </c>
      <c r="F915" s="2" t="s">
        <v>126</v>
      </c>
      <c r="G915" s="2" t="s">
        <v>19</v>
      </c>
      <c r="H915" s="2">
        <v>85732</v>
      </c>
      <c r="I915" t="s">
        <v>6191</v>
      </c>
    </row>
    <row r="916" spans="1:9" x14ac:dyDescent="0.25">
      <c r="A916" s="2" t="s">
        <v>5661</v>
      </c>
      <c r="B916" s="2" t="s">
        <v>5662</v>
      </c>
      <c r="C916" s="2" t="s">
        <v>5663</v>
      </c>
      <c r="D916" s="2" t="s">
        <v>5664</v>
      </c>
      <c r="E916" s="2" t="s">
        <v>5665</v>
      </c>
      <c r="F916" s="2" t="s">
        <v>187</v>
      </c>
      <c r="G916" s="2" t="s">
        <v>19</v>
      </c>
      <c r="H916" s="2">
        <v>36195</v>
      </c>
      <c r="I916" t="s">
        <v>6191</v>
      </c>
    </row>
    <row r="917" spans="1:9" x14ac:dyDescent="0.25">
      <c r="A917" s="2" t="s">
        <v>5667</v>
      </c>
      <c r="B917" s="2" t="s">
        <v>5668</v>
      </c>
      <c r="C917" s="2" t="s">
        <v>5669</v>
      </c>
      <c r="D917" s="2" t="s">
        <v>5670</v>
      </c>
      <c r="E917" s="2" t="s">
        <v>5671</v>
      </c>
      <c r="F917" s="2" t="s">
        <v>205</v>
      </c>
      <c r="G917" s="2" t="s">
        <v>19</v>
      </c>
      <c r="H917" s="2">
        <v>99709</v>
      </c>
      <c r="I917" t="s">
        <v>6190</v>
      </c>
    </row>
    <row r="918" spans="1:9" x14ac:dyDescent="0.25">
      <c r="A918" s="2" t="s">
        <v>5673</v>
      </c>
      <c r="B918" s="2" t="s">
        <v>5674</v>
      </c>
      <c r="C918" s="2"/>
      <c r="D918" s="2"/>
      <c r="E918" s="2" t="s">
        <v>5675</v>
      </c>
      <c r="F918" s="2" t="s">
        <v>2998</v>
      </c>
      <c r="G918" s="2" t="s">
        <v>318</v>
      </c>
      <c r="H918" s="2" t="s">
        <v>395</v>
      </c>
      <c r="I918" t="s">
        <v>6190</v>
      </c>
    </row>
    <row r="919" spans="1:9" x14ac:dyDescent="0.25">
      <c r="A919" s="2" t="s">
        <v>5677</v>
      </c>
      <c r="B919" s="2" t="s">
        <v>5678</v>
      </c>
      <c r="C919" s="2" t="s">
        <v>5679</v>
      </c>
      <c r="D919" s="2" t="s">
        <v>5680</v>
      </c>
      <c r="E919" s="2" t="s">
        <v>5681</v>
      </c>
      <c r="F919" s="2" t="s">
        <v>220</v>
      </c>
      <c r="G919" s="2" t="s">
        <v>28</v>
      </c>
      <c r="H919" s="2" t="s">
        <v>221</v>
      </c>
      <c r="I919" t="s">
        <v>6191</v>
      </c>
    </row>
    <row r="920" spans="1:9" x14ac:dyDescent="0.25">
      <c r="A920" s="2" t="s">
        <v>5682</v>
      </c>
      <c r="B920" s="2" t="s">
        <v>5683</v>
      </c>
      <c r="C920" s="2" t="s">
        <v>5684</v>
      </c>
      <c r="D920" s="2" t="s">
        <v>5685</v>
      </c>
      <c r="E920" s="2" t="s">
        <v>5686</v>
      </c>
      <c r="F920" s="2" t="s">
        <v>209</v>
      </c>
      <c r="G920" s="2" t="s">
        <v>19</v>
      </c>
      <c r="H920" s="2">
        <v>34615</v>
      </c>
      <c r="I920" t="s">
        <v>6191</v>
      </c>
    </row>
    <row r="921" spans="1:9" x14ac:dyDescent="0.25">
      <c r="A921" s="2" t="s">
        <v>5688</v>
      </c>
      <c r="B921" s="2" t="s">
        <v>5689</v>
      </c>
      <c r="C921" s="2" t="s">
        <v>5690</v>
      </c>
      <c r="D921" s="2" t="s">
        <v>5691</v>
      </c>
      <c r="E921" s="2" t="s">
        <v>5692</v>
      </c>
      <c r="F921" s="2" t="s">
        <v>43</v>
      </c>
      <c r="G921" s="2" t="s">
        <v>19</v>
      </c>
      <c r="H921" s="2">
        <v>40515</v>
      </c>
      <c r="I921" t="s">
        <v>6190</v>
      </c>
    </row>
    <row r="922" spans="1:9" x14ac:dyDescent="0.25">
      <c r="A922" s="2" t="s">
        <v>5694</v>
      </c>
      <c r="B922" s="2" t="s">
        <v>5695</v>
      </c>
      <c r="C922" s="2" t="s">
        <v>5696</v>
      </c>
      <c r="D922" s="2" t="s">
        <v>5697</v>
      </c>
      <c r="E922" s="2" t="s">
        <v>5698</v>
      </c>
      <c r="F922" s="2" t="s">
        <v>183</v>
      </c>
      <c r="G922" s="2" t="s">
        <v>19</v>
      </c>
      <c r="H922" s="2">
        <v>49560</v>
      </c>
      <c r="I922" t="s">
        <v>6191</v>
      </c>
    </row>
    <row r="923" spans="1:9" x14ac:dyDescent="0.25">
      <c r="A923" s="2" t="s">
        <v>5700</v>
      </c>
      <c r="B923" s="2" t="s">
        <v>5701</v>
      </c>
      <c r="C923" s="2" t="s">
        <v>5702</v>
      </c>
      <c r="D923" s="2" t="s">
        <v>5703</v>
      </c>
      <c r="E923" s="2" t="s">
        <v>5704</v>
      </c>
      <c r="F923" s="2" t="s">
        <v>169</v>
      </c>
      <c r="G923" s="2" t="s">
        <v>19</v>
      </c>
      <c r="H923" s="2">
        <v>50369</v>
      </c>
      <c r="I923" t="s">
        <v>6191</v>
      </c>
    </row>
    <row r="924" spans="1:9" x14ac:dyDescent="0.25">
      <c r="A924" s="2" t="s">
        <v>5706</v>
      </c>
      <c r="B924" s="2" t="s">
        <v>5707</v>
      </c>
      <c r="C924" s="2"/>
      <c r="D924" s="2"/>
      <c r="E924" s="2" t="s">
        <v>5708</v>
      </c>
      <c r="F924" s="2" t="s">
        <v>168</v>
      </c>
      <c r="G924" s="2" t="s">
        <v>19</v>
      </c>
      <c r="H924" s="2">
        <v>19810</v>
      </c>
      <c r="I924" t="s">
        <v>6190</v>
      </c>
    </row>
    <row r="925" spans="1:9" x14ac:dyDescent="0.25">
      <c r="A925" s="2" t="s">
        <v>5710</v>
      </c>
      <c r="B925" s="2" t="s">
        <v>5711</v>
      </c>
      <c r="C925" s="2" t="s">
        <v>5712</v>
      </c>
      <c r="D925" s="2" t="s">
        <v>5713</v>
      </c>
      <c r="E925" s="2" t="s">
        <v>5714</v>
      </c>
      <c r="F925" s="2" t="s">
        <v>123</v>
      </c>
      <c r="G925" s="2" t="s">
        <v>19</v>
      </c>
      <c r="H925" s="2">
        <v>78726</v>
      </c>
      <c r="I925" t="s">
        <v>6191</v>
      </c>
    </row>
    <row r="926" spans="1:9" x14ac:dyDescent="0.25">
      <c r="A926" s="2" t="s">
        <v>5716</v>
      </c>
      <c r="B926" s="2" t="s">
        <v>5717</v>
      </c>
      <c r="C926" s="2" t="s">
        <v>5718</v>
      </c>
      <c r="D926" s="2"/>
      <c r="E926" s="2" t="s">
        <v>5719</v>
      </c>
      <c r="F926" s="2" t="s">
        <v>80</v>
      </c>
      <c r="G926" s="2" t="s">
        <v>19</v>
      </c>
      <c r="H926" s="2">
        <v>32835</v>
      </c>
      <c r="I926" t="s">
        <v>6191</v>
      </c>
    </row>
    <row r="927" spans="1:9" x14ac:dyDescent="0.25">
      <c r="A927" s="2" t="s">
        <v>5721</v>
      </c>
      <c r="B927" s="2" t="s">
        <v>5722</v>
      </c>
      <c r="C927" s="2"/>
      <c r="D927" s="2" t="s">
        <v>5723</v>
      </c>
      <c r="E927" s="2" t="s">
        <v>5724</v>
      </c>
      <c r="F927" s="2" t="s">
        <v>87</v>
      </c>
      <c r="G927" s="2" t="s">
        <v>19</v>
      </c>
      <c r="H927" s="2">
        <v>91199</v>
      </c>
      <c r="I927" t="s">
        <v>6190</v>
      </c>
    </row>
    <row r="928" spans="1:9" x14ac:dyDescent="0.25">
      <c r="A928" s="2" t="s">
        <v>5726</v>
      </c>
      <c r="B928" s="2" t="s">
        <v>5727</v>
      </c>
      <c r="C928" s="2" t="s">
        <v>5728</v>
      </c>
      <c r="D928" s="2" t="s">
        <v>5729</v>
      </c>
      <c r="E928" s="2" t="s">
        <v>5730</v>
      </c>
      <c r="F928" s="2" t="s">
        <v>47</v>
      </c>
      <c r="G928" s="2" t="s">
        <v>19</v>
      </c>
      <c r="H928" s="2">
        <v>20238</v>
      </c>
      <c r="I928" t="s">
        <v>6190</v>
      </c>
    </row>
    <row r="929" spans="1:9" x14ac:dyDescent="0.25">
      <c r="A929" s="2" t="s">
        <v>5732</v>
      </c>
      <c r="B929" s="2" t="s">
        <v>5733</v>
      </c>
      <c r="C929" s="2" t="s">
        <v>5734</v>
      </c>
      <c r="D929" s="2" t="s">
        <v>5735</v>
      </c>
      <c r="E929" s="2" t="s">
        <v>5736</v>
      </c>
      <c r="F929" s="2" t="s">
        <v>189</v>
      </c>
      <c r="G929" s="2" t="s">
        <v>19</v>
      </c>
      <c r="H929" s="2">
        <v>97271</v>
      </c>
      <c r="I929" t="s">
        <v>6191</v>
      </c>
    </row>
    <row r="930" spans="1:9" x14ac:dyDescent="0.25">
      <c r="A930" s="2" t="s">
        <v>5738</v>
      </c>
      <c r="B930" s="2" t="s">
        <v>5739</v>
      </c>
      <c r="C930" s="2" t="s">
        <v>5740</v>
      </c>
      <c r="D930" s="2"/>
      <c r="E930" s="2" t="s">
        <v>5741</v>
      </c>
      <c r="F930" s="2" t="s">
        <v>57</v>
      </c>
      <c r="G930" s="2" t="s">
        <v>19</v>
      </c>
      <c r="H930" s="2">
        <v>10004</v>
      </c>
      <c r="I930" t="s">
        <v>6190</v>
      </c>
    </row>
    <row r="931" spans="1:9" x14ac:dyDescent="0.25">
      <c r="A931" s="2" t="s">
        <v>5743</v>
      </c>
      <c r="B931" s="2" t="s">
        <v>5744</v>
      </c>
      <c r="C931" s="2" t="s">
        <v>5745</v>
      </c>
      <c r="D931" s="2" t="s">
        <v>5746</v>
      </c>
      <c r="E931" s="2" t="s">
        <v>5747</v>
      </c>
      <c r="F931" s="2" t="s">
        <v>47</v>
      </c>
      <c r="G931" s="2" t="s">
        <v>19</v>
      </c>
      <c r="H931" s="2">
        <v>20404</v>
      </c>
      <c r="I931" t="s">
        <v>6190</v>
      </c>
    </row>
    <row r="932" spans="1:9" x14ac:dyDescent="0.25">
      <c r="A932" s="2" t="s">
        <v>5749</v>
      </c>
      <c r="B932" s="2" t="s">
        <v>5750</v>
      </c>
      <c r="C932" s="2" t="s">
        <v>5751</v>
      </c>
      <c r="D932" s="2"/>
      <c r="E932" s="2" t="s">
        <v>5752</v>
      </c>
      <c r="F932" s="2" t="s">
        <v>47</v>
      </c>
      <c r="G932" s="2" t="s">
        <v>19</v>
      </c>
      <c r="H932" s="2">
        <v>20067</v>
      </c>
      <c r="I932" t="s">
        <v>6190</v>
      </c>
    </row>
    <row r="933" spans="1:9" x14ac:dyDescent="0.25">
      <c r="A933" s="2" t="s">
        <v>5754</v>
      </c>
      <c r="B933" s="2" t="s">
        <v>5755</v>
      </c>
      <c r="C933" s="2"/>
      <c r="D933" s="2"/>
      <c r="E933" s="2" t="s">
        <v>5756</v>
      </c>
      <c r="F933" s="2" t="s">
        <v>313</v>
      </c>
      <c r="G933" s="2" t="s">
        <v>19</v>
      </c>
      <c r="H933" s="2">
        <v>18105</v>
      </c>
      <c r="I933" t="s">
        <v>6190</v>
      </c>
    </row>
    <row r="934" spans="1:9" x14ac:dyDescent="0.25">
      <c r="A934" s="2" t="s">
        <v>5758</v>
      </c>
      <c r="B934" s="2" t="s">
        <v>5759</v>
      </c>
      <c r="C934" s="2" t="s">
        <v>5760</v>
      </c>
      <c r="D934" s="2" t="s">
        <v>5761</v>
      </c>
      <c r="E934" s="2" t="s">
        <v>5762</v>
      </c>
      <c r="F934" s="2" t="s">
        <v>92</v>
      </c>
      <c r="G934" s="2" t="s">
        <v>19</v>
      </c>
      <c r="H934" s="2">
        <v>33169</v>
      </c>
      <c r="I934" t="s">
        <v>6191</v>
      </c>
    </row>
    <row r="935" spans="1:9" x14ac:dyDescent="0.25">
      <c r="A935" s="2" t="s">
        <v>5764</v>
      </c>
      <c r="B935" s="2" t="s">
        <v>5765</v>
      </c>
      <c r="C935" s="2"/>
      <c r="D935" s="2" t="s">
        <v>5766</v>
      </c>
      <c r="E935" s="2" t="s">
        <v>5767</v>
      </c>
      <c r="F935" s="2" t="s">
        <v>77</v>
      </c>
      <c r="G935" s="2" t="s">
        <v>19</v>
      </c>
      <c r="H935" s="2">
        <v>73129</v>
      </c>
      <c r="I935" t="s">
        <v>6190</v>
      </c>
    </row>
    <row r="936" spans="1:9" x14ac:dyDescent="0.25">
      <c r="A936" s="2" t="s">
        <v>5769</v>
      </c>
      <c r="B936" s="2" t="s">
        <v>5770</v>
      </c>
      <c r="C936" s="2" t="s">
        <v>5771</v>
      </c>
      <c r="D936" s="2" t="s">
        <v>5772</v>
      </c>
      <c r="E936" s="2" t="s">
        <v>5773</v>
      </c>
      <c r="F936" s="2" t="s">
        <v>156</v>
      </c>
      <c r="G936" s="2" t="s">
        <v>19</v>
      </c>
      <c r="H936" s="2">
        <v>61105</v>
      </c>
      <c r="I936" t="s">
        <v>6191</v>
      </c>
    </row>
    <row r="937" spans="1:9" x14ac:dyDescent="0.25">
      <c r="A937" s="2" t="s">
        <v>5775</v>
      </c>
      <c r="B937" s="2" t="s">
        <v>5776</v>
      </c>
      <c r="C937" s="2" t="s">
        <v>5777</v>
      </c>
      <c r="D937" s="2" t="s">
        <v>5778</v>
      </c>
      <c r="E937" s="2" t="s">
        <v>5779</v>
      </c>
      <c r="F937" s="2" t="s">
        <v>187</v>
      </c>
      <c r="G937" s="2" t="s">
        <v>19</v>
      </c>
      <c r="H937" s="2">
        <v>36177</v>
      </c>
      <c r="I937" t="s">
        <v>6190</v>
      </c>
    </row>
    <row r="938" spans="1:9" x14ac:dyDescent="0.25">
      <c r="A938" s="2" t="s">
        <v>5781</v>
      </c>
      <c r="B938" s="2" t="s">
        <v>5782</v>
      </c>
      <c r="C938" s="2" t="s">
        <v>5783</v>
      </c>
      <c r="D938" s="2" t="s">
        <v>5784</v>
      </c>
      <c r="E938" s="2" t="s">
        <v>5785</v>
      </c>
      <c r="F938" s="2" t="s">
        <v>87</v>
      </c>
      <c r="G938" s="2" t="s">
        <v>19</v>
      </c>
      <c r="H938" s="2">
        <v>91117</v>
      </c>
      <c r="I938" t="s">
        <v>6190</v>
      </c>
    </row>
    <row r="939" spans="1:9" x14ac:dyDescent="0.25">
      <c r="A939" s="2" t="s">
        <v>5786</v>
      </c>
      <c r="B939" s="2" t="s">
        <v>5787</v>
      </c>
      <c r="C939" s="2" t="s">
        <v>5788</v>
      </c>
      <c r="D939" s="2" t="s">
        <v>5789</v>
      </c>
      <c r="E939" s="2" t="s">
        <v>5790</v>
      </c>
      <c r="F939" s="2" t="s">
        <v>56</v>
      </c>
      <c r="G939" s="2" t="s">
        <v>19</v>
      </c>
      <c r="H939" s="2">
        <v>60624</v>
      </c>
      <c r="I939" t="s">
        <v>6191</v>
      </c>
    </row>
    <row r="940" spans="1:9" x14ac:dyDescent="0.25">
      <c r="A940" s="2" t="s">
        <v>5792</v>
      </c>
      <c r="B940" s="2" t="s">
        <v>5793</v>
      </c>
      <c r="C940" s="2" t="s">
        <v>5794</v>
      </c>
      <c r="D940" s="2" t="s">
        <v>5795</v>
      </c>
      <c r="E940" s="2" t="s">
        <v>5796</v>
      </c>
      <c r="F940" s="2" t="s">
        <v>63</v>
      </c>
      <c r="G940" s="2" t="s">
        <v>19</v>
      </c>
      <c r="H940" s="2">
        <v>77293</v>
      </c>
      <c r="I940" t="s">
        <v>6190</v>
      </c>
    </row>
    <row r="941" spans="1:9" x14ac:dyDescent="0.25">
      <c r="A941" s="2" t="s">
        <v>5798</v>
      </c>
      <c r="B941" s="2" t="s">
        <v>5799</v>
      </c>
      <c r="C941" s="2" t="s">
        <v>5800</v>
      </c>
      <c r="D941" s="2" t="s">
        <v>5801</v>
      </c>
      <c r="E941" s="2" t="s">
        <v>5802</v>
      </c>
      <c r="F941" s="2" t="s">
        <v>227</v>
      </c>
      <c r="G941" s="2" t="s">
        <v>19</v>
      </c>
      <c r="H941" s="2">
        <v>49444</v>
      </c>
      <c r="I941" t="s">
        <v>6191</v>
      </c>
    </row>
    <row r="942" spans="1:9" x14ac:dyDescent="0.25">
      <c r="A942" s="2" t="s">
        <v>5804</v>
      </c>
      <c r="B942" s="2" t="s">
        <v>5805</v>
      </c>
      <c r="C942" s="2" t="s">
        <v>5806</v>
      </c>
      <c r="D942" s="2" t="s">
        <v>5807</v>
      </c>
      <c r="E942" s="2" t="s">
        <v>5808</v>
      </c>
      <c r="F942" s="2" t="s">
        <v>47</v>
      </c>
      <c r="G942" s="2" t="s">
        <v>19</v>
      </c>
      <c r="H942" s="2">
        <v>20380</v>
      </c>
      <c r="I942" t="s">
        <v>6190</v>
      </c>
    </row>
    <row r="943" spans="1:9" x14ac:dyDescent="0.25">
      <c r="A943" s="2" t="s">
        <v>5810</v>
      </c>
      <c r="B943" s="2" t="s">
        <v>5811</v>
      </c>
      <c r="C943" s="2" t="s">
        <v>5812</v>
      </c>
      <c r="D943" s="2" t="s">
        <v>5813</v>
      </c>
      <c r="E943" s="2" t="s">
        <v>5814</v>
      </c>
      <c r="F943" s="2" t="s">
        <v>5815</v>
      </c>
      <c r="G943" s="2" t="s">
        <v>318</v>
      </c>
      <c r="H943" s="2" t="s">
        <v>462</v>
      </c>
      <c r="I943" t="s">
        <v>6190</v>
      </c>
    </row>
    <row r="944" spans="1:9" x14ac:dyDescent="0.25">
      <c r="A944" s="2" t="s">
        <v>5817</v>
      </c>
      <c r="B944" s="2" t="s">
        <v>5818</v>
      </c>
      <c r="C944" s="2" t="s">
        <v>5819</v>
      </c>
      <c r="D944" s="2" t="s">
        <v>5820</v>
      </c>
      <c r="E944" s="2" t="s">
        <v>5821</v>
      </c>
      <c r="F944" s="2" t="s">
        <v>167</v>
      </c>
      <c r="G944" s="2" t="s">
        <v>19</v>
      </c>
      <c r="H944" s="2">
        <v>31205</v>
      </c>
      <c r="I944" t="s">
        <v>6191</v>
      </c>
    </row>
    <row r="945" spans="1:9" x14ac:dyDescent="0.25">
      <c r="A945" s="2" t="s">
        <v>5823</v>
      </c>
      <c r="B945" s="2" t="s">
        <v>5824</v>
      </c>
      <c r="C945" s="2" t="s">
        <v>5825</v>
      </c>
      <c r="D945" s="2" t="s">
        <v>5826</v>
      </c>
      <c r="E945" s="2" t="s">
        <v>5827</v>
      </c>
      <c r="F945" s="2" t="s">
        <v>175</v>
      </c>
      <c r="G945" s="2" t="s">
        <v>19</v>
      </c>
      <c r="H945" s="2">
        <v>71105</v>
      </c>
      <c r="I945" t="s">
        <v>6191</v>
      </c>
    </row>
    <row r="946" spans="1:9" x14ac:dyDescent="0.25">
      <c r="A946" s="2" t="s">
        <v>5829</v>
      </c>
      <c r="B946" s="2" t="s">
        <v>5830</v>
      </c>
      <c r="C946" s="2" t="s">
        <v>5831</v>
      </c>
      <c r="D946" s="2" t="s">
        <v>5832</v>
      </c>
      <c r="E946" s="2" t="s">
        <v>5833</v>
      </c>
      <c r="F946" s="2" t="s">
        <v>134</v>
      </c>
      <c r="G946" s="2" t="s">
        <v>19</v>
      </c>
      <c r="H946" s="2">
        <v>98405</v>
      </c>
      <c r="I946" t="s">
        <v>6191</v>
      </c>
    </row>
    <row r="947" spans="1:9" x14ac:dyDescent="0.25">
      <c r="A947" s="2" t="s">
        <v>5835</v>
      </c>
      <c r="B947" s="2" t="s">
        <v>5836</v>
      </c>
      <c r="C947" s="2"/>
      <c r="D947" s="2" t="s">
        <v>5837</v>
      </c>
      <c r="E947" s="2" t="s">
        <v>5838</v>
      </c>
      <c r="F947" s="2" t="s">
        <v>50</v>
      </c>
      <c r="G947" s="2" t="s">
        <v>19</v>
      </c>
      <c r="H947" s="2">
        <v>79934</v>
      </c>
      <c r="I947" t="s">
        <v>6191</v>
      </c>
    </row>
    <row r="948" spans="1:9" x14ac:dyDescent="0.25">
      <c r="A948" s="2" t="s">
        <v>5840</v>
      </c>
      <c r="B948" s="2" t="s">
        <v>5841</v>
      </c>
      <c r="C948" s="2"/>
      <c r="D948" s="2" t="s">
        <v>5842</v>
      </c>
      <c r="E948" s="2" t="s">
        <v>5843</v>
      </c>
      <c r="F948" s="2" t="s">
        <v>144</v>
      </c>
      <c r="G948" s="2" t="s">
        <v>19</v>
      </c>
      <c r="H948" s="2">
        <v>35263</v>
      </c>
      <c r="I948" t="s">
        <v>6191</v>
      </c>
    </row>
    <row r="949" spans="1:9" x14ac:dyDescent="0.25">
      <c r="A949" s="2" t="s">
        <v>5845</v>
      </c>
      <c r="B949" s="2" t="s">
        <v>5846</v>
      </c>
      <c r="C949" s="2" t="s">
        <v>5847</v>
      </c>
      <c r="D949" s="2"/>
      <c r="E949" s="2" t="s">
        <v>5848</v>
      </c>
      <c r="F949" s="2" t="s">
        <v>320</v>
      </c>
      <c r="G949" s="2" t="s">
        <v>318</v>
      </c>
      <c r="H949" s="2" t="s">
        <v>321</v>
      </c>
      <c r="I949" t="s">
        <v>6191</v>
      </c>
    </row>
    <row r="950" spans="1:9" x14ac:dyDescent="0.25">
      <c r="A950" s="2" t="s">
        <v>5850</v>
      </c>
      <c r="B950" s="2" t="s">
        <v>5851</v>
      </c>
      <c r="C950" s="2" t="s">
        <v>5852</v>
      </c>
      <c r="D950" s="2" t="s">
        <v>5853</v>
      </c>
      <c r="E950" s="2" t="s">
        <v>5854</v>
      </c>
      <c r="F950" s="2" t="s">
        <v>180</v>
      </c>
      <c r="G950" s="2" t="s">
        <v>28</v>
      </c>
      <c r="H950" s="2" t="s">
        <v>262</v>
      </c>
      <c r="I950" t="s">
        <v>6190</v>
      </c>
    </row>
    <row r="951" spans="1:9" x14ac:dyDescent="0.25">
      <c r="A951" s="2" t="s">
        <v>5856</v>
      </c>
      <c r="B951" s="2" t="s">
        <v>5857</v>
      </c>
      <c r="C951" s="2" t="s">
        <v>5858</v>
      </c>
      <c r="D951" s="2" t="s">
        <v>5859</v>
      </c>
      <c r="E951" s="2" t="s">
        <v>5860</v>
      </c>
      <c r="F951" s="2" t="s">
        <v>489</v>
      </c>
      <c r="G951" s="2" t="s">
        <v>318</v>
      </c>
      <c r="H951" s="2" t="s">
        <v>448</v>
      </c>
      <c r="I951" t="s">
        <v>6191</v>
      </c>
    </row>
    <row r="952" spans="1:9" x14ac:dyDescent="0.25">
      <c r="A952" s="2" t="s">
        <v>5862</v>
      </c>
      <c r="B952" s="2" t="s">
        <v>5863</v>
      </c>
      <c r="C952" s="2"/>
      <c r="D952" s="2" t="s">
        <v>5864</v>
      </c>
      <c r="E952" s="2" t="s">
        <v>5865</v>
      </c>
      <c r="F952" s="2" t="s">
        <v>168</v>
      </c>
      <c r="G952" s="2" t="s">
        <v>19</v>
      </c>
      <c r="H952" s="2">
        <v>19810</v>
      </c>
      <c r="I952" t="s">
        <v>6190</v>
      </c>
    </row>
    <row r="953" spans="1:9" x14ac:dyDescent="0.25">
      <c r="A953" s="2" t="s">
        <v>5867</v>
      </c>
      <c r="B953" s="2" t="s">
        <v>5868</v>
      </c>
      <c r="C953" s="2" t="s">
        <v>5869</v>
      </c>
      <c r="D953" s="2" t="s">
        <v>5870</v>
      </c>
      <c r="E953" s="2" t="s">
        <v>5871</v>
      </c>
      <c r="F953" s="2" t="s">
        <v>172</v>
      </c>
      <c r="G953" s="2" t="s">
        <v>19</v>
      </c>
      <c r="H953" s="2">
        <v>17121</v>
      </c>
      <c r="I953" t="s">
        <v>6191</v>
      </c>
    </row>
    <row r="954" spans="1:9" x14ac:dyDescent="0.25">
      <c r="A954" s="2" t="s">
        <v>5873</v>
      </c>
      <c r="B954" s="2" t="s">
        <v>5874</v>
      </c>
      <c r="C954" s="2" t="s">
        <v>5875</v>
      </c>
      <c r="D954" s="2" t="s">
        <v>5876</v>
      </c>
      <c r="E954" s="2" t="s">
        <v>5877</v>
      </c>
      <c r="F954" s="2" t="s">
        <v>5815</v>
      </c>
      <c r="G954" s="2" t="s">
        <v>318</v>
      </c>
      <c r="H954" s="2" t="s">
        <v>462</v>
      </c>
      <c r="I954" t="s">
        <v>6190</v>
      </c>
    </row>
    <row r="955" spans="1:9" x14ac:dyDescent="0.25">
      <c r="A955" s="2" t="s">
        <v>5879</v>
      </c>
      <c r="B955" s="2" t="s">
        <v>5880</v>
      </c>
      <c r="C955" s="2" t="s">
        <v>5881</v>
      </c>
      <c r="D955" s="2" t="s">
        <v>5882</v>
      </c>
      <c r="E955" s="2" t="s">
        <v>5883</v>
      </c>
      <c r="F955" s="2" t="s">
        <v>50</v>
      </c>
      <c r="G955" s="2" t="s">
        <v>19</v>
      </c>
      <c r="H955" s="2">
        <v>79940</v>
      </c>
      <c r="I955" t="s">
        <v>6190</v>
      </c>
    </row>
    <row r="956" spans="1:9" x14ac:dyDescent="0.25">
      <c r="A956" s="2" t="s">
        <v>5885</v>
      </c>
      <c r="B956" s="2" t="s">
        <v>5886</v>
      </c>
      <c r="C956" s="2" t="s">
        <v>5887</v>
      </c>
      <c r="D956" s="2" t="s">
        <v>5888</v>
      </c>
      <c r="E956" s="2" t="s">
        <v>5889</v>
      </c>
      <c r="F956" s="2" t="s">
        <v>104</v>
      </c>
      <c r="G956" s="2" t="s">
        <v>19</v>
      </c>
      <c r="H956" s="2">
        <v>63136</v>
      </c>
      <c r="I956" t="s">
        <v>6190</v>
      </c>
    </row>
    <row r="957" spans="1:9" x14ac:dyDescent="0.25">
      <c r="A957" s="2" t="s">
        <v>5891</v>
      </c>
      <c r="B957" s="2" t="s">
        <v>5892</v>
      </c>
      <c r="C957" s="2" t="s">
        <v>5893</v>
      </c>
      <c r="D957" s="2" t="s">
        <v>5894</v>
      </c>
      <c r="E957" s="2" t="s">
        <v>5895</v>
      </c>
      <c r="F957" s="2" t="s">
        <v>4511</v>
      </c>
      <c r="G957" s="2" t="s">
        <v>19</v>
      </c>
      <c r="H957" s="2">
        <v>72905</v>
      </c>
      <c r="I957" t="s">
        <v>6190</v>
      </c>
    </row>
    <row r="958" spans="1:9" x14ac:dyDescent="0.25">
      <c r="A958" s="2" t="s">
        <v>5896</v>
      </c>
      <c r="B958" s="2" t="s">
        <v>5897</v>
      </c>
      <c r="C958" s="2" t="s">
        <v>5898</v>
      </c>
      <c r="D958" s="2" t="s">
        <v>5899</v>
      </c>
      <c r="E958" s="2" t="s">
        <v>5900</v>
      </c>
      <c r="F958" s="2" t="s">
        <v>130</v>
      </c>
      <c r="G958" s="2" t="s">
        <v>19</v>
      </c>
      <c r="H958" s="2">
        <v>37245</v>
      </c>
      <c r="I958" t="s">
        <v>6191</v>
      </c>
    </row>
    <row r="959" spans="1:9" x14ac:dyDescent="0.25">
      <c r="A959" s="2" t="s">
        <v>5901</v>
      </c>
      <c r="B959" s="2" t="s">
        <v>5902</v>
      </c>
      <c r="C959" s="2" t="s">
        <v>5903</v>
      </c>
      <c r="D959" s="2" t="s">
        <v>5904</v>
      </c>
      <c r="E959" s="2" t="s">
        <v>5905</v>
      </c>
      <c r="F959" s="2" t="s">
        <v>47</v>
      </c>
      <c r="G959" s="2" t="s">
        <v>19</v>
      </c>
      <c r="H959" s="2">
        <v>20088</v>
      </c>
      <c r="I959" t="s">
        <v>6190</v>
      </c>
    </row>
    <row r="960" spans="1:9" x14ac:dyDescent="0.25">
      <c r="A960" s="2" t="s">
        <v>5906</v>
      </c>
      <c r="B960" s="2" t="s">
        <v>5907</v>
      </c>
      <c r="C960" s="2" t="s">
        <v>5908</v>
      </c>
      <c r="D960" s="2"/>
      <c r="E960" s="2" t="s">
        <v>5909</v>
      </c>
      <c r="F960" s="2" t="s">
        <v>182</v>
      </c>
      <c r="G960" s="2" t="s">
        <v>19</v>
      </c>
      <c r="H960" s="2">
        <v>90305</v>
      </c>
      <c r="I960" t="s">
        <v>6190</v>
      </c>
    </row>
    <row r="961" spans="1:9" x14ac:dyDescent="0.25">
      <c r="A961" s="2" t="s">
        <v>5911</v>
      </c>
      <c r="B961" s="2" t="s">
        <v>5912</v>
      </c>
      <c r="C961" s="2" t="s">
        <v>5913</v>
      </c>
      <c r="D961" s="2"/>
      <c r="E961" s="2" t="s">
        <v>5914</v>
      </c>
      <c r="F961" s="2" t="s">
        <v>88</v>
      </c>
      <c r="G961" s="2" t="s">
        <v>19</v>
      </c>
      <c r="H961" s="2">
        <v>72215</v>
      </c>
      <c r="I961" t="s">
        <v>6190</v>
      </c>
    </row>
    <row r="962" spans="1:9" x14ac:dyDescent="0.25">
      <c r="A962" s="2" t="s">
        <v>5916</v>
      </c>
      <c r="B962" s="2" t="s">
        <v>5917</v>
      </c>
      <c r="C962" s="2" t="s">
        <v>5918</v>
      </c>
      <c r="D962" s="2" t="s">
        <v>5919</v>
      </c>
      <c r="E962" s="2" t="s">
        <v>5920</v>
      </c>
      <c r="F962" s="2" t="s">
        <v>261</v>
      </c>
      <c r="G962" s="2" t="s">
        <v>19</v>
      </c>
      <c r="H962" s="2">
        <v>21747</v>
      </c>
      <c r="I962" t="s">
        <v>6190</v>
      </c>
    </row>
    <row r="963" spans="1:9" x14ac:dyDescent="0.25">
      <c r="A963" s="2" t="s">
        <v>5922</v>
      </c>
      <c r="B963" s="2" t="s">
        <v>5923</v>
      </c>
      <c r="C963" s="2"/>
      <c r="D963" s="2" t="s">
        <v>5924</v>
      </c>
      <c r="E963" s="2" t="s">
        <v>5925</v>
      </c>
      <c r="F963" s="2" t="s">
        <v>198</v>
      </c>
      <c r="G963" s="2" t="s">
        <v>19</v>
      </c>
      <c r="H963" s="2">
        <v>12205</v>
      </c>
      <c r="I963" t="s">
        <v>6190</v>
      </c>
    </row>
    <row r="964" spans="1:9" x14ac:dyDescent="0.25">
      <c r="A964" s="2" t="s">
        <v>5927</v>
      </c>
      <c r="B964" s="2" t="s">
        <v>5928</v>
      </c>
      <c r="C964" s="2" t="s">
        <v>5929</v>
      </c>
      <c r="D964" s="2" t="s">
        <v>5930</v>
      </c>
      <c r="E964" s="2" t="s">
        <v>5931</v>
      </c>
      <c r="F964" s="2" t="s">
        <v>453</v>
      </c>
      <c r="G964" s="2" t="s">
        <v>318</v>
      </c>
      <c r="H964" s="2" t="s">
        <v>454</v>
      </c>
      <c r="I964" t="s">
        <v>6190</v>
      </c>
    </row>
    <row r="965" spans="1:9" x14ac:dyDescent="0.25">
      <c r="A965" s="2" t="s">
        <v>5933</v>
      </c>
      <c r="B965" s="2" t="s">
        <v>5934</v>
      </c>
      <c r="C965" s="2" t="s">
        <v>5935</v>
      </c>
      <c r="D965" s="2" t="s">
        <v>5936</v>
      </c>
      <c r="E965" s="2" t="s">
        <v>5937</v>
      </c>
      <c r="F965" s="2" t="s">
        <v>43</v>
      </c>
      <c r="G965" s="2" t="s">
        <v>19</v>
      </c>
      <c r="H965" s="2">
        <v>40510</v>
      </c>
      <c r="I965" t="s">
        <v>6190</v>
      </c>
    </row>
    <row r="966" spans="1:9" x14ac:dyDescent="0.25">
      <c r="A966" s="2" t="s">
        <v>5939</v>
      </c>
      <c r="B966" s="2" t="s">
        <v>5940</v>
      </c>
      <c r="C966" s="2" t="s">
        <v>5941</v>
      </c>
      <c r="D966" s="2" t="s">
        <v>5942</v>
      </c>
      <c r="E966" s="2" t="s">
        <v>5943</v>
      </c>
      <c r="F966" s="2" t="s">
        <v>58</v>
      </c>
      <c r="G966" s="2" t="s">
        <v>19</v>
      </c>
      <c r="H966" s="2">
        <v>92165</v>
      </c>
      <c r="I966" t="s">
        <v>6191</v>
      </c>
    </row>
    <row r="967" spans="1:9" x14ac:dyDescent="0.25">
      <c r="A967" s="2" t="s">
        <v>5945</v>
      </c>
      <c r="B967" s="2" t="s">
        <v>5946</v>
      </c>
      <c r="C967" s="2" t="s">
        <v>5947</v>
      </c>
      <c r="D967" s="2"/>
      <c r="E967" s="2" t="s">
        <v>5948</v>
      </c>
      <c r="F967" s="2" t="s">
        <v>27</v>
      </c>
      <c r="G967" s="2" t="s">
        <v>19</v>
      </c>
      <c r="H967" s="2">
        <v>90040</v>
      </c>
      <c r="I967" t="s">
        <v>6190</v>
      </c>
    </row>
    <row r="968" spans="1:9" x14ac:dyDescent="0.25">
      <c r="A968" s="2" t="s">
        <v>5950</v>
      </c>
      <c r="B968" s="2" t="s">
        <v>5951</v>
      </c>
      <c r="C968" s="2" t="s">
        <v>5952</v>
      </c>
      <c r="D968" s="2" t="s">
        <v>5953</v>
      </c>
      <c r="E968" s="2" t="s">
        <v>5954</v>
      </c>
      <c r="F968" s="2" t="s">
        <v>139</v>
      </c>
      <c r="G968" s="2" t="s">
        <v>19</v>
      </c>
      <c r="H968" s="2">
        <v>11210</v>
      </c>
      <c r="I968" t="s">
        <v>6190</v>
      </c>
    </row>
    <row r="969" spans="1:9" x14ac:dyDescent="0.25">
      <c r="A969" s="2" t="s">
        <v>5956</v>
      </c>
      <c r="B969" s="2" t="s">
        <v>5957</v>
      </c>
      <c r="C969" s="2" t="s">
        <v>5958</v>
      </c>
      <c r="D969" s="2" t="s">
        <v>5959</v>
      </c>
      <c r="E969" s="2" t="s">
        <v>5960</v>
      </c>
      <c r="F969" s="2" t="s">
        <v>353</v>
      </c>
      <c r="G969" s="2" t="s">
        <v>318</v>
      </c>
      <c r="H969" s="2" t="s">
        <v>348</v>
      </c>
      <c r="I969" t="s">
        <v>6190</v>
      </c>
    </row>
    <row r="970" spans="1:9" x14ac:dyDescent="0.25">
      <c r="A970" s="2" t="s">
        <v>5962</v>
      </c>
      <c r="B970" s="2" t="s">
        <v>5963</v>
      </c>
      <c r="C970" s="2" t="s">
        <v>5964</v>
      </c>
      <c r="D970" s="2" t="s">
        <v>5965</v>
      </c>
      <c r="E970" s="2" t="s">
        <v>5966</v>
      </c>
      <c r="F970" s="2" t="s">
        <v>293</v>
      </c>
      <c r="G970" s="2" t="s">
        <v>19</v>
      </c>
      <c r="H970" s="2">
        <v>32627</v>
      </c>
      <c r="I970" t="s">
        <v>6191</v>
      </c>
    </row>
    <row r="971" spans="1:9" x14ac:dyDescent="0.25">
      <c r="A971" s="2" t="s">
        <v>5968</v>
      </c>
      <c r="B971" s="2" t="s">
        <v>5969</v>
      </c>
      <c r="C971" s="2" t="s">
        <v>5970</v>
      </c>
      <c r="D971" s="2" t="s">
        <v>5971</v>
      </c>
      <c r="E971" s="2" t="s">
        <v>5972</v>
      </c>
      <c r="F971" s="2" t="s">
        <v>209</v>
      </c>
      <c r="G971" s="2" t="s">
        <v>19</v>
      </c>
      <c r="H971" s="2">
        <v>34620</v>
      </c>
      <c r="I971" t="s">
        <v>6190</v>
      </c>
    </row>
    <row r="972" spans="1:9" x14ac:dyDescent="0.25">
      <c r="A972" s="2" t="s">
        <v>5974</v>
      </c>
      <c r="B972" s="2" t="s">
        <v>5975</v>
      </c>
      <c r="C972" s="2"/>
      <c r="D972" s="2" t="s">
        <v>5976</v>
      </c>
      <c r="E972" s="2" t="s">
        <v>5977</v>
      </c>
      <c r="F972" s="2" t="s">
        <v>240</v>
      </c>
      <c r="G972" s="2" t="s">
        <v>19</v>
      </c>
      <c r="H972" s="2">
        <v>79165</v>
      </c>
      <c r="I972" t="s">
        <v>6191</v>
      </c>
    </row>
    <row r="973" spans="1:9" x14ac:dyDescent="0.25">
      <c r="A973" s="2" t="s">
        <v>5979</v>
      </c>
      <c r="B973" s="2" t="s">
        <v>5980</v>
      </c>
      <c r="C973" s="2" t="s">
        <v>5981</v>
      </c>
      <c r="D973" s="2" t="s">
        <v>5982</v>
      </c>
      <c r="E973" s="2" t="s">
        <v>5983</v>
      </c>
      <c r="F973" s="2" t="s">
        <v>106</v>
      </c>
      <c r="G973" s="2" t="s">
        <v>19</v>
      </c>
      <c r="H973" s="2">
        <v>76121</v>
      </c>
      <c r="I973" t="s">
        <v>6191</v>
      </c>
    </row>
    <row r="974" spans="1:9" x14ac:dyDescent="0.25">
      <c r="A974" s="2" t="s">
        <v>5985</v>
      </c>
      <c r="B974" s="2" t="s">
        <v>5986</v>
      </c>
      <c r="C974" s="2"/>
      <c r="D974" s="2" t="s">
        <v>5987</v>
      </c>
      <c r="E974" s="2" t="s">
        <v>5988</v>
      </c>
      <c r="F974" s="2" t="s">
        <v>331</v>
      </c>
      <c r="G974" s="2" t="s">
        <v>318</v>
      </c>
      <c r="H974" s="2" t="s">
        <v>332</v>
      </c>
      <c r="I974" t="s">
        <v>6190</v>
      </c>
    </row>
    <row r="975" spans="1:9" x14ac:dyDescent="0.25">
      <c r="A975" s="2" t="s">
        <v>5990</v>
      </c>
      <c r="B975" s="2" t="s">
        <v>5991</v>
      </c>
      <c r="C975" s="2" t="s">
        <v>5992</v>
      </c>
      <c r="D975" s="2" t="s">
        <v>5993</v>
      </c>
      <c r="E975" s="2" t="s">
        <v>5994</v>
      </c>
      <c r="F975" s="2" t="s">
        <v>250</v>
      </c>
      <c r="G975" s="2" t="s">
        <v>19</v>
      </c>
      <c r="H975" s="2">
        <v>32575</v>
      </c>
      <c r="I975" t="s">
        <v>6191</v>
      </c>
    </row>
    <row r="976" spans="1:9" x14ac:dyDescent="0.25">
      <c r="A976" s="2" t="s">
        <v>5996</v>
      </c>
      <c r="B976" s="2" t="s">
        <v>5997</v>
      </c>
      <c r="C976" s="2" t="s">
        <v>5998</v>
      </c>
      <c r="D976" s="2" t="s">
        <v>5999</v>
      </c>
      <c r="E976" s="2" t="s">
        <v>6000</v>
      </c>
      <c r="F976" s="2" t="s">
        <v>134</v>
      </c>
      <c r="G976" s="2" t="s">
        <v>19</v>
      </c>
      <c r="H976" s="2">
        <v>98405</v>
      </c>
      <c r="I976" t="s">
        <v>6190</v>
      </c>
    </row>
    <row r="977" spans="1:9" x14ac:dyDescent="0.25">
      <c r="A977" s="2" t="s">
        <v>6002</v>
      </c>
      <c r="B977" s="2" t="s">
        <v>6003</v>
      </c>
      <c r="C977" s="2" t="s">
        <v>6004</v>
      </c>
      <c r="D977" s="2" t="s">
        <v>6005</v>
      </c>
      <c r="E977" s="2" t="s">
        <v>6006</v>
      </c>
      <c r="F977" s="2" t="s">
        <v>485</v>
      </c>
      <c r="G977" s="2" t="s">
        <v>318</v>
      </c>
      <c r="H977" s="2" t="s">
        <v>442</v>
      </c>
      <c r="I977" t="s">
        <v>6190</v>
      </c>
    </row>
    <row r="978" spans="1:9" x14ac:dyDescent="0.25">
      <c r="A978" s="2" t="s">
        <v>6008</v>
      </c>
      <c r="B978" s="2" t="s">
        <v>6009</v>
      </c>
      <c r="C978" s="2" t="s">
        <v>6010</v>
      </c>
      <c r="D978" s="2" t="s">
        <v>6011</v>
      </c>
      <c r="E978" s="2" t="s">
        <v>6012</v>
      </c>
      <c r="F978" s="2" t="s">
        <v>66</v>
      </c>
      <c r="G978" s="2" t="s">
        <v>19</v>
      </c>
      <c r="H978" s="2">
        <v>46896</v>
      </c>
      <c r="I978" t="s">
        <v>6190</v>
      </c>
    </row>
    <row r="979" spans="1:9" x14ac:dyDescent="0.25">
      <c r="A979" s="2" t="s">
        <v>6014</v>
      </c>
      <c r="B979" s="2" t="s">
        <v>6015</v>
      </c>
      <c r="C979" s="2" t="s">
        <v>6016</v>
      </c>
      <c r="D979" s="2" t="s">
        <v>6017</v>
      </c>
      <c r="E979" s="2" t="s">
        <v>6018</v>
      </c>
      <c r="F979" s="2" t="s">
        <v>240</v>
      </c>
      <c r="G979" s="2" t="s">
        <v>19</v>
      </c>
      <c r="H979" s="2">
        <v>79105</v>
      </c>
      <c r="I979" t="s">
        <v>6191</v>
      </c>
    </row>
    <row r="980" spans="1:9" x14ac:dyDescent="0.25">
      <c r="A980" s="2" t="s">
        <v>6020</v>
      </c>
      <c r="B980" s="2" t="s">
        <v>6021</v>
      </c>
      <c r="C980" s="2" t="s">
        <v>6022</v>
      </c>
      <c r="D980" s="2" t="s">
        <v>6023</v>
      </c>
      <c r="E980" s="2" t="s">
        <v>6024</v>
      </c>
      <c r="F980" s="2" t="s">
        <v>47</v>
      </c>
      <c r="G980" s="2" t="s">
        <v>19</v>
      </c>
      <c r="H980" s="2">
        <v>20436</v>
      </c>
      <c r="I980" t="s">
        <v>6190</v>
      </c>
    </row>
    <row r="981" spans="1:9" x14ac:dyDescent="0.25">
      <c r="A981" s="2" t="s">
        <v>6026</v>
      </c>
      <c r="B981" s="2" t="s">
        <v>6027</v>
      </c>
      <c r="C981" s="2"/>
      <c r="D981" s="2" t="s">
        <v>6028</v>
      </c>
      <c r="E981" s="2" t="s">
        <v>6029</v>
      </c>
      <c r="F981" s="2" t="s">
        <v>312</v>
      </c>
      <c r="G981" s="2" t="s">
        <v>19</v>
      </c>
      <c r="H981" s="2">
        <v>20910</v>
      </c>
      <c r="I981" t="s">
        <v>6191</v>
      </c>
    </row>
    <row r="982" spans="1:9" x14ac:dyDescent="0.25">
      <c r="A982" s="2" t="s">
        <v>6031</v>
      </c>
      <c r="B982" s="2" t="s">
        <v>6032</v>
      </c>
      <c r="C982" s="2"/>
      <c r="D982" s="2" t="s">
        <v>6033</v>
      </c>
      <c r="E982" s="2" t="s">
        <v>6034</v>
      </c>
      <c r="F982" s="2" t="s">
        <v>231</v>
      </c>
      <c r="G982" s="2" t="s">
        <v>19</v>
      </c>
      <c r="H982" s="2">
        <v>53726</v>
      </c>
      <c r="I982" t="s">
        <v>6190</v>
      </c>
    </row>
    <row r="983" spans="1:9" x14ac:dyDescent="0.25">
      <c r="A983" s="2" t="s">
        <v>6036</v>
      </c>
      <c r="B983" s="2" t="s">
        <v>6037</v>
      </c>
      <c r="C983" s="2" t="s">
        <v>6038</v>
      </c>
      <c r="D983" s="2" t="s">
        <v>6039</v>
      </c>
      <c r="E983" s="2" t="s">
        <v>6040</v>
      </c>
      <c r="F983" s="2" t="s">
        <v>226</v>
      </c>
      <c r="G983" s="2" t="s">
        <v>19</v>
      </c>
      <c r="H983" s="2">
        <v>77305</v>
      </c>
      <c r="I983" t="s">
        <v>6190</v>
      </c>
    </row>
    <row r="984" spans="1:9" x14ac:dyDescent="0.25">
      <c r="A984" s="2" t="s">
        <v>6042</v>
      </c>
      <c r="B984" s="2" t="s">
        <v>6043</v>
      </c>
      <c r="C984" s="2" t="s">
        <v>6044</v>
      </c>
      <c r="D984" s="2" t="s">
        <v>6045</v>
      </c>
      <c r="E984" s="2" t="s">
        <v>6046</v>
      </c>
      <c r="F984" s="2" t="s">
        <v>190</v>
      </c>
      <c r="G984" s="2" t="s">
        <v>19</v>
      </c>
      <c r="H984" s="2">
        <v>76205</v>
      </c>
      <c r="I984" t="s">
        <v>6190</v>
      </c>
    </row>
    <row r="985" spans="1:9" x14ac:dyDescent="0.25">
      <c r="A985" s="2" t="s">
        <v>6048</v>
      </c>
      <c r="B985" s="2" t="s">
        <v>6049</v>
      </c>
      <c r="C985" s="2" t="s">
        <v>6050</v>
      </c>
      <c r="D985" s="2" t="s">
        <v>6051</v>
      </c>
      <c r="E985" s="2" t="s">
        <v>6052</v>
      </c>
      <c r="F985" s="2" t="s">
        <v>39</v>
      </c>
      <c r="G985" s="2" t="s">
        <v>19</v>
      </c>
      <c r="H985" s="2">
        <v>43231</v>
      </c>
      <c r="I985" t="s">
        <v>6190</v>
      </c>
    </row>
    <row r="986" spans="1:9" x14ac:dyDescent="0.25">
      <c r="A986" s="2" t="s">
        <v>6054</v>
      </c>
      <c r="B986" s="2" t="s">
        <v>6055</v>
      </c>
      <c r="C986" s="2" t="s">
        <v>6056</v>
      </c>
      <c r="D986" s="2"/>
      <c r="E986" s="2" t="s">
        <v>6057</v>
      </c>
      <c r="F986" s="2" t="s">
        <v>407</v>
      </c>
      <c r="G986" s="2" t="s">
        <v>318</v>
      </c>
      <c r="H986" s="2" t="s">
        <v>404</v>
      </c>
      <c r="I986" t="s">
        <v>6190</v>
      </c>
    </row>
    <row r="987" spans="1:9" x14ac:dyDescent="0.25">
      <c r="A987" s="2" t="s">
        <v>6059</v>
      </c>
      <c r="B987" s="2" t="s">
        <v>6060</v>
      </c>
      <c r="C987" s="2" t="s">
        <v>6061</v>
      </c>
      <c r="D987" s="2" t="s">
        <v>6062</v>
      </c>
      <c r="E987" s="2" t="s">
        <v>6063</v>
      </c>
      <c r="F987" s="2" t="s">
        <v>133</v>
      </c>
      <c r="G987" s="2" t="s">
        <v>19</v>
      </c>
      <c r="H987" s="2">
        <v>80045</v>
      </c>
      <c r="I987" t="s">
        <v>6191</v>
      </c>
    </row>
    <row r="988" spans="1:9" x14ac:dyDescent="0.25">
      <c r="A988" s="2" t="s">
        <v>6065</v>
      </c>
      <c r="B988" s="2" t="s">
        <v>6066</v>
      </c>
      <c r="C988" s="2" t="s">
        <v>6067</v>
      </c>
      <c r="D988" s="2" t="s">
        <v>6068</v>
      </c>
      <c r="E988" s="2" t="s">
        <v>6069</v>
      </c>
      <c r="F988" s="2" t="s">
        <v>147</v>
      </c>
      <c r="G988" s="2" t="s">
        <v>19</v>
      </c>
      <c r="H988" s="2">
        <v>32128</v>
      </c>
      <c r="I988" t="s">
        <v>6191</v>
      </c>
    </row>
    <row r="989" spans="1:9" x14ac:dyDescent="0.25">
      <c r="A989" s="2" t="s">
        <v>6071</v>
      </c>
      <c r="B989" s="2" t="s">
        <v>6072</v>
      </c>
      <c r="C989" s="2" t="s">
        <v>6073</v>
      </c>
      <c r="D989" s="2" t="s">
        <v>6074</v>
      </c>
      <c r="E989" s="2" t="s">
        <v>6075</v>
      </c>
      <c r="F989" s="2" t="s">
        <v>251</v>
      </c>
      <c r="G989" s="2" t="s">
        <v>28</v>
      </c>
      <c r="H989" s="2" t="s">
        <v>114</v>
      </c>
      <c r="I989" t="s">
        <v>6190</v>
      </c>
    </row>
    <row r="990" spans="1:9" x14ac:dyDescent="0.25">
      <c r="A990" s="2" t="s">
        <v>6077</v>
      </c>
      <c r="B990" s="2" t="s">
        <v>6078</v>
      </c>
      <c r="C990" s="2"/>
      <c r="D990" s="2" t="s">
        <v>6079</v>
      </c>
      <c r="E990" s="2" t="s">
        <v>6080</v>
      </c>
      <c r="F990" s="2" t="s">
        <v>367</v>
      </c>
      <c r="G990" s="2" t="s">
        <v>28</v>
      </c>
      <c r="H990" s="2" t="s">
        <v>368</v>
      </c>
      <c r="I990" t="s">
        <v>6190</v>
      </c>
    </row>
    <row r="991" spans="1:9" x14ac:dyDescent="0.25">
      <c r="A991" s="2" t="s">
        <v>6082</v>
      </c>
      <c r="B991" s="2" t="s">
        <v>6083</v>
      </c>
      <c r="C991" s="2"/>
      <c r="D991" s="2" t="s">
        <v>6084</v>
      </c>
      <c r="E991" s="2" t="s">
        <v>6085</v>
      </c>
      <c r="F991" s="2" t="s">
        <v>104</v>
      </c>
      <c r="G991" s="2" t="s">
        <v>19</v>
      </c>
      <c r="H991" s="2">
        <v>63131</v>
      </c>
      <c r="I991" t="s">
        <v>6190</v>
      </c>
    </row>
    <row r="992" spans="1:9" x14ac:dyDescent="0.25">
      <c r="A992" s="2" t="s">
        <v>6087</v>
      </c>
      <c r="B992" s="2" t="s">
        <v>6088</v>
      </c>
      <c r="C992" s="2" t="s">
        <v>6089</v>
      </c>
      <c r="D992" s="2" t="s">
        <v>6090</v>
      </c>
      <c r="E992" s="2" t="s">
        <v>6091</v>
      </c>
      <c r="F992" s="2" t="s">
        <v>290</v>
      </c>
      <c r="G992" s="2" t="s">
        <v>19</v>
      </c>
      <c r="H992" s="2">
        <v>92056</v>
      </c>
      <c r="I992" t="s">
        <v>6191</v>
      </c>
    </row>
    <row r="993" spans="1:9" x14ac:dyDescent="0.25">
      <c r="A993" s="2" t="s">
        <v>6092</v>
      </c>
      <c r="B993" s="2" t="s">
        <v>6093</v>
      </c>
      <c r="C993" s="2"/>
      <c r="D993" s="2" t="s">
        <v>6094</v>
      </c>
      <c r="E993" s="2" t="s">
        <v>6095</v>
      </c>
      <c r="F993" s="2" t="s">
        <v>65</v>
      </c>
      <c r="G993" s="2" t="s">
        <v>19</v>
      </c>
      <c r="H993" s="2">
        <v>37416</v>
      </c>
      <c r="I993" t="s">
        <v>6190</v>
      </c>
    </row>
    <row r="994" spans="1:9" x14ac:dyDescent="0.25">
      <c r="A994" s="2" t="s">
        <v>6097</v>
      </c>
      <c r="B994" s="2" t="s">
        <v>6098</v>
      </c>
      <c r="C994" s="2"/>
      <c r="D994" s="2" t="s">
        <v>6099</v>
      </c>
      <c r="E994" s="2" t="s">
        <v>6100</v>
      </c>
      <c r="F994" s="2" t="s">
        <v>488</v>
      </c>
      <c r="G994" s="2" t="s">
        <v>318</v>
      </c>
      <c r="H994" s="2" t="s">
        <v>363</v>
      </c>
      <c r="I994" t="s">
        <v>6191</v>
      </c>
    </row>
    <row r="995" spans="1:9" x14ac:dyDescent="0.25">
      <c r="A995" s="2" t="s">
        <v>6102</v>
      </c>
      <c r="B995" s="2" t="s">
        <v>6103</v>
      </c>
      <c r="C995" s="2"/>
      <c r="D995" s="2" t="s">
        <v>6104</v>
      </c>
      <c r="E995" s="2" t="s">
        <v>6105</v>
      </c>
      <c r="F995" s="2" t="s">
        <v>46</v>
      </c>
      <c r="G995" s="2" t="s">
        <v>19</v>
      </c>
      <c r="H995" s="2">
        <v>19125</v>
      </c>
      <c r="I995" t="s">
        <v>6191</v>
      </c>
    </row>
    <row r="996" spans="1:9" x14ac:dyDescent="0.25">
      <c r="A996" s="2" t="s">
        <v>6107</v>
      </c>
      <c r="B996" s="2" t="s">
        <v>6108</v>
      </c>
      <c r="C996" s="2"/>
      <c r="D996" s="2" t="s">
        <v>6109</v>
      </c>
      <c r="E996" s="2" t="s">
        <v>6110</v>
      </c>
      <c r="F996" s="2" t="s">
        <v>465</v>
      </c>
      <c r="G996" s="2" t="s">
        <v>318</v>
      </c>
      <c r="H996" s="2" t="s">
        <v>383</v>
      </c>
      <c r="I996" t="s">
        <v>6191</v>
      </c>
    </row>
    <row r="997" spans="1:9" x14ac:dyDescent="0.25">
      <c r="A997" s="2" t="s">
        <v>6112</v>
      </c>
      <c r="B997" s="2" t="s">
        <v>6113</v>
      </c>
      <c r="C997" s="2" t="s">
        <v>6114</v>
      </c>
      <c r="D997" s="2" t="s">
        <v>6115</v>
      </c>
      <c r="E997" s="2" t="s">
        <v>6116</v>
      </c>
      <c r="F997" s="2" t="s">
        <v>52</v>
      </c>
      <c r="G997" s="2" t="s">
        <v>19</v>
      </c>
      <c r="H997" s="2">
        <v>75210</v>
      </c>
      <c r="I997" t="s">
        <v>6191</v>
      </c>
    </row>
    <row r="998" spans="1:9" x14ac:dyDescent="0.25">
      <c r="A998" s="2" t="s">
        <v>6118</v>
      </c>
      <c r="B998" s="2" t="s">
        <v>6119</v>
      </c>
      <c r="C998" s="2"/>
      <c r="D998" s="2" t="s">
        <v>6120</v>
      </c>
      <c r="E998" s="2" t="s">
        <v>6121</v>
      </c>
      <c r="F998" s="2" t="s">
        <v>4511</v>
      </c>
      <c r="G998" s="2" t="s">
        <v>19</v>
      </c>
      <c r="H998" s="2">
        <v>72905</v>
      </c>
      <c r="I998" t="s">
        <v>6191</v>
      </c>
    </row>
    <row r="999" spans="1:9" x14ac:dyDescent="0.25">
      <c r="A999" s="2" t="s">
        <v>6123</v>
      </c>
      <c r="B999" s="2" t="s">
        <v>6124</v>
      </c>
      <c r="C999" s="2"/>
      <c r="D999" s="2" t="s">
        <v>6125</v>
      </c>
      <c r="E999" s="2" t="s">
        <v>6126</v>
      </c>
      <c r="F999" s="2" t="s">
        <v>78</v>
      </c>
      <c r="G999" s="2" t="s">
        <v>19</v>
      </c>
      <c r="H999" s="2">
        <v>80920</v>
      </c>
      <c r="I999" t="s">
        <v>6190</v>
      </c>
    </row>
    <row r="1000" spans="1:9" x14ac:dyDescent="0.25">
      <c r="A1000" s="2" t="s">
        <v>6128</v>
      </c>
      <c r="B1000" s="2" t="s">
        <v>6129</v>
      </c>
      <c r="C1000" s="2" t="s">
        <v>6130</v>
      </c>
      <c r="D1000" s="2" t="s">
        <v>6131</v>
      </c>
      <c r="E1000" s="2" t="s">
        <v>6132</v>
      </c>
      <c r="F1000" s="2" t="s">
        <v>146</v>
      </c>
      <c r="G1000" s="2" t="s">
        <v>19</v>
      </c>
      <c r="H1000" s="2">
        <v>90610</v>
      </c>
      <c r="I1000" t="s">
        <v>6191</v>
      </c>
    </row>
    <row r="1001" spans="1:9" x14ac:dyDescent="0.25">
      <c r="A1001" s="2" t="s">
        <v>6134</v>
      </c>
      <c r="B1001" s="2" t="s">
        <v>6135</v>
      </c>
      <c r="C1001" s="2"/>
      <c r="D1001" s="2" t="s">
        <v>6136</v>
      </c>
      <c r="E1001" s="2" t="s">
        <v>6137</v>
      </c>
      <c r="F1001" s="2" t="s">
        <v>180</v>
      </c>
      <c r="G1001" s="2" t="s">
        <v>28</v>
      </c>
      <c r="H1001" s="2" t="s">
        <v>301</v>
      </c>
      <c r="I1001" t="s">
        <v>6190</v>
      </c>
    </row>
  </sheetData>
  <autoFilter ref="A1:I100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9"/>
  <sheetViews>
    <sheetView workbookViewId="0">
      <selection activeCell="L13" sqref="L13"/>
    </sheetView>
  </sheetViews>
  <sheetFormatPr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x14ac:dyDescent="0.25">
      <c r="A1" t="s">
        <v>11</v>
      </c>
      <c r="B1" t="s">
        <v>9</v>
      </c>
      <c r="C1" t="s">
        <v>10</v>
      </c>
      <c r="D1" t="s">
        <v>12</v>
      </c>
      <c r="E1" t="s">
        <v>13</v>
      </c>
      <c r="F1" t="s">
        <v>17</v>
      </c>
      <c r="G1"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TotalSales</vt:lpstr>
      <vt:lpstr>Dashboard</vt:lpstr>
      <vt:lpstr> CountryBarChart</vt:lpstr>
      <vt:lpstr>Top5Customers</vt:lpstr>
      <vt:lpstr>orders</vt:lpstr>
      <vt:lpstr>customers</vt:lpstr>
      <vt:lpstr>products</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dc:creator>
  <cp:keywords/>
  <dc:description/>
  <cp:lastModifiedBy>hp</cp:lastModifiedBy>
  <cp:revision/>
  <dcterms:created xsi:type="dcterms:W3CDTF">2022-11-26T09:51:45Z</dcterms:created>
  <dcterms:modified xsi:type="dcterms:W3CDTF">2026-05-21T00:54:09Z</dcterms:modified>
  <cp:category/>
  <cp:contentStatus/>
</cp:coreProperties>
</file>